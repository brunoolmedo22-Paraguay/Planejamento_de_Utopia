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mdf\Downloads\"/>
    </mc:Choice>
  </mc:AlternateContent>
  <xr:revisionPtr revIDLastSave="0" documentId="8_{008D639A-5BE7-4256-A187-FF3663E4D2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MO CATARINA" sheetId="1" r:id="rId1"/>
    <sheet name="RESUMO NICODEMUS" sheetId="2" r:id="rId2"/>
    <sheet name="RESUMO SARAGOÇA" sheetId="3" r:id="rId3"/>
    <sheet name="RESUMO SANTA BÁRBARA" sheetId="4" r:id="rId4"/>
    <sheet name="RESUMO RURAL" sheetId="5" r:id="rId5"/>
    <sheet name="RESUMO UTÓPIA" sheetId="6" r:id="rId6"/>
  </sheets>
  <externalReferences>
    <externalReference r:id="rId7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6" l="1"/>
  <c r="R2" i="5"/>
  <c r="R2" i="4"/>
  <c r="R2" i="3"/>
  <c r="R2" i="2"/>
  <c r="A2" i="1"/>
  <c r="A3" i="1" l="1"/>
  <c r="A4" i="1" s="1"/>
  <c r="A5" i="1"/>
  <c r="A6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</calcChain>
</file>

<file path=xl/sharedStrings.xml><?xml version="1.0" encoding="utf-8"?>
<sst xmlns="http://schemas.openxmlformats.org/spreadsheetml/2006/main" count="420" uniqueCount="70">
  <si>
    <t>ANO</t>
  </si>
  <si>
    <t>POPULAÇÃO</t>
  </si>
  <si>
    <t>PIB</t>
  </si>
  <si>
    <t>PIB PC</t>
  </si>
  <si>
    <t>PEA</t>
  </si>
  <si>
    <t>IDH_R</t>
  </si>
  <si>
    <t>IDH_E</t>
  </si>
  <si>
    <t>IDH_S</t>
  </si>
  <si>
    <t>IDH</t>
  </si>
  <si>
    <t>ANOS ESTUDO</t>
  </si>
  <si>
    <t>No RES Alta</t>
  </si>
  <si>
    <t>No RES Média</t>
  </si>
  <si>
    <t>No RES Baixa</t>
  </si>
  <si>
    <t>No RES</t>
  </si>
  <si>
    <t>EE RES A</t>
  </si>
  <si>
    <t>EE RES M</t>
  </si>
  <si>
    <t>EE RES B</t>
  </si>
  <si>
    <t>EE RES</t>
  </si>
  <si>
    <t>AR RES A</t>
  </si>
  <si>
    <t>AR RES M</t>
  </si>
  <si>
    <t>AR RES B</t>
  </si>
  <si>
    <t>AR RES</t>
  </si>
  <si>
    <t>No IND P</t>
  </si>
  <si>
    <t>No IND M</t>
  </si>
  <si>
    <t>No IND G</t>
  </si>
  <si>
    <t>No IND</t>
  </si>
  <si>
    <t>PIB IND</t>
  </si>
  <si>
    <t>EE IND P</t>
  </si>
  <si>
    <t>EE IND M</t>
  </si>
  <si>
    <t>EE IND G</t>
  </si>
  <si>
    <t>EE IND</t>
  </si>
  <si>
    <t>AR IND</t>
  </si>
  <si>
    <t>No SER P</t>
  </si>
  <si>
    <t>No SER M</t>
  </si>
  <si>
    <t>No SER G</t>
  </si>
  <si>
    <t>No SER</t>
  </si>
  <si>
    <t>PIB SER</t>
  </si>
  <si>
    <t>EE SER P</t>
  </si>
  <si>
    <t>EE SER M</t>
  </si>
  <si>
    <t>EE SER G</t>
  </si>
  <si>
    <t>EE SER</t>
  </si>
  <si>
    <t>AR SER</t>
  </si>
  <si>
    <t>No MIN P</t>
  </si>
  <si>
    <t>No MIN M</t>
  </si>
  <si>
    <t>No MIN G</t>
  </si>
  <si>
    <t>No MIN</t>
  </si>
  <si>
    <t>PIB MIN</t>
  </si>
  <si>
    <t>EE MIN P</t>
  </si>
  <si>
    <t>EE MIN M</t>
  </si>
  <si>
    <t>EE MIN G</t>
  </si>
  <si>
    <t>EE MIN</t>
  </si>
  <si>
    <t>AR MIN</t>
  </si>
  <si>
    <t>No AGR P</t>
  </si>
  <si>
    <t>No AGR M</t>
  </si>
  <si>
    <t>No AGR G</t>
  </si>
  <si>
    <t>No AGR</t>
  </si>
  <si>
    <t>PIB AGR</t>
  </si>
  <si>
    <t>EE AGR P</t>
  </si>
  <si>
    <t>EE AGR M</t>
  </si>
  <si>
    <t>EE AGR G</t>
  </si>
  <si>
    <t>EE AGR</t>
  </si>
  <si>
    <t>AR AGR</t>
  </si>
  <si>
    <t>EE UTIL P</t>
  </si>
  <si>
    <t>EE UTIL M</t>
  </si>
  <si>
    <t>EE UTIL G</t>
  </si>
  <si>
    <t>EE UTIL</t>
  </si>
  <si>
    <t>AR UTIL</t>
  </si>
  <si>
    <t>EE</t>
  </si>
  <si>
    <t>AR PUB</t>
  </si>
  <si>
    <t>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</si>
</sst>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#,##0.000"/>
    <numFmt numFmtId="167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POPULAÇÃO (HAB)"/>
      <sheetName val="PIB (UT$)"/>
      <sheetName val="IDH"/>
      <sheetName val="INDÚSTRIAS"/>
      <sheetName val="SERVIÇOS"/>
      <sheetName val="MINERAÇÃO"/>
      <sheetName val="AGROPECUÁRIA"/>
      <sheetName val="CAPITAL (UT$)"/>
      <sheetName val="RESIDÊNCIAS (RES)"/>
      <sheetName val="CONSUMO RESIDENCIAL (kWh)"/>
      <sheetName val="ÁREA (km^2)"/>
      <sheetName val="CLASSES SOCIAIS"/>
      <sheetName val="INVESTIMENTO (% PIB)"/>
      <sheetName val="EDUCAÇÃO"/>
      <sheetName val="TECNOLOGIA"/>
      <sheetName val="BALANÇA COMERCIAL (UT$)"/>
      <sheetName val="RESUMO CATARINA"/>
      <sheetName val="RESUMO NICODEMUS"/>
      <sheetName val="RESUMO SARAGOÇA"/>
      <sheetName val="RESUMO SANTA BÁRBARA"/>
      <sheetName val="RESUMO RURAL"/>
      <sheetName val="RESUMO UTÓPIA"/>
    </sheetNames>
    <sheetDataSet>
      <sheetData sheetId="0" refreshError="1">
        <row r="1">
          <cell r="B1">
            <v>1975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2"/>
  <sheetViews>
    <sheetView topLeftCell="A27" workbookViewId="0">
      <selection activeCell="A52" sqref="A52"/>
    </sheetView>
  </sheetViews>
  <sheetFormatPr defaultRowHeight="14.4" x14ac:dyDescent="0.3"/>
  <cols>
    <col min="1" max="1" width="5" bestFit="1" customWidth="1"/>
    <col min="2" max="2" width="11.44140625" style="1" bestFit="1" customWidth="1"/>
    <col min="3" max="3" width="12.6640625" style="2" bestFit="1" customWidth="1"/>
    <col min="4" max="4" width="6.5546875" style="3" bestFit="1" customWidth="1"/>
    <col min="5" max="5" width="7.5546875" style="1" bestFit="1" customWidth="1"/>
    <col min="6" max="9" width="6.5546875" style="4" bestFit="1" customWidth="1"/>
    <col min="10" max="10" width="12.77734375" style="5" bestFit="1" customWidth="1"/>
    <col min="11" max="11" width="10.21875" bestFit="1" customWidth="1"/>
    <col min="12" max="12" width="12" bestFit="1" customWidth="1"/>
    <col min="13" max="13" width="11.44140625" bestFit="1" customWidth="1"/>
    <col min="14" max="14" width="7" bestFit="1" customWidth="1"/>
    <col min="15" max="16" width="14.77734375" style="6" bestFit="1" customWidth="1"/>
    <col min="17" max="17" width="13.77734375" style="6" bestFit="1" customWidth="1"/>
    <col min="18" max="18" width="16.33203125" style="6" bestFit="1" customWidth="1"/>
    <col min="19" max="19" width="8.109375" style="2" bestFit="1" customWidth="1"/>
    <col min="20" max="20" width="8.44140625" style="2" bestFit="1" customWidth="1"/>
    <col min="21" max="21" width="8.109375" style="2" bestFit="1" customWidth="1"/>
    <col min="22" max="22" width="6.6640625" style="2" bestFit="1" customWidth="1"/>
    <col min="23" max="23" width="8.109375" bestFit="1" customWidth="1"/>
    <col min="24" max="24" width="8.44140625" bestFit="1" customWidth="1"/>
    <col min="25" max="25" width="8.33203125" bestFit="1" customWidth="1"/>
    <col min="26" max="26" width="6.6640625" bestFit="1" customWidth="1"/>
    <col min="27" max="27" width="12.6640625" style="2" bestFit="1" customWidth="1"/>
    <col min="28" max="28" width="12.6640625" style="6" bestFit="1" customWidth="1"/>
    <col min="29" max="29" width="11.109375" style="6" bestFit="1" customWidth="1"/>
    <col min="30" max="30" width="8" style="6" bestFit="1" customWidth="1"/>
    <col min="31" max="31" width="12.6640625" style="6" bestFit="1" customWidth="1"/>
    <col min="32" max="32" width="6.5546875" style="3" bestFit="1" customWidth="1"/>
    <col min="33" max="33" width="8.21875" bestFit="1" customWidth="1"/>
    <col min="34" max="34" width="8.5546875" bestFit="1" customWidth="1"/>
    <col min="35" max="35" width="8.44140625" bestFit="1" customWidth="1"/>
    <col min="36" max="36" width="6.77734375" bestFit="1" customWidth="1"/>
    <col min="37" max="37" width="12.6640625" style="2" bestFit="1" customWidth="1"/>
    <col min="38" max="38" width="12.6640625" style="6" bestFit="1" customWidth="1"/>
    <col min="39" max="39" width="10.109375" style="6" bestFit="1" customWidth="1"/>
    <col min="40" max="40" width="8.109375" style="6" bestFit="1" customWidth="1"/>
    <col min="41" max="41" width="12.6640625" style="6" bestFit="1" customWidth="1"/>
    <col min="42" max="42" width="6.6640625" style="3" bestFit="1" customWidth="1"/>
    <col min="43" max="43" width="8.33203125" bestFit="1" customWidth="1"/>
    <col min="44" max="44" width="8.6640625" bestFit="1" customWidth="1"/>
    <col min="45" max="45" width="8.5546875" bestFit="1" customWidth="1"/>
    <col min="46" max="46" width="6.88671875" bestFit="1" customWidth="1"/>
    <col min="47" max="47" width="7.21875" style="2" bestFit="1" customWidth="1"/>
    <col min="48" max="48" width="8" style="6" bestFit="1" customWidth="1"/>
    <col min="49" max="49" width="8.33203125" style="6" bestFit="1" customWidth="1"/>
    <col min="50" max="50" width="8.21875" style="6" bestFit="1" customWidth="1"/>
    <col min="51" max="51" width="6.5546875" style="6" bestFit="1" customWidth="1"/>
    <col min="52" max="52" width="6.77734375" style="3" bestFit="1" customWidth="1"/>
    <col min="53" max="53" width="8.6640625" bestFit="1" customWidth="1"/>
    <col min="54" max="54" width="9" bestFit="1" customWidth="1"/>
    <col min="56" max="56" width="7.21875" bestFit="1" customWidth="1"/>
    <col min="57" max="57" width="9.109375" style="2" bestFit="1" customWidth="1"/>
    <col min="58" max="58" width="10.109375" style="6" bestFit="1" customWidth="1"/>
    <col min="59" max="59" width="8.6640625" style="6" bestFit="1" customWidth="1"/>
    <col min="60" max="60" width="8.5546875" style="6" bestFit="1" customWidth="1"/>
    <col min="61" max="61" width="10.109375" style="6" bestFit="1" customWidth="1"/>
    <col min="62" max="62" width="7.109375" style="3" bestFit="1" customWidth="1"/>
    <col min="63" max="63" width="12.6640625" style="6" bestFit="1" customWidth="1"/>
    <col min="64" max="64" width="11.109375" style="6" bestFit="1" customWidth="1"/>
    <col min="65" max="65" width="8.44140625" style="6" bestFit="1" customWidth="1"/>
    <col min="66" max="66" width="12.6640625" style="6" bestFit="1" customWidth="1"/>
    <col min="67" max="67" width="7" style="3" bestFit="1" customWidth="1"/>
    <col min="68" max="68" width="13.6640625" style="7" bestFit="1" customWidth="1"/>
    <col min="69" max="69" width="7" style="2" bestFit="1" customWidth="1"/>
    <col min="70" max="70" width="8.6640625" style="2" bestFit="1" customWidth="1"/>
  </cols>
  <sheetData>
    <row r="1" spans="1:70" x14ac:dyDescent="0.3">
      <c r="A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t="s">
        <v>10</v>
      </c>
      <c r="L1" t="s">
        <v>11</v>
      </c>
      <c r="M1" t="s">
        <v>12</v>
      </c>
      <c r="N1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3" t="s">
        <v>31</v>
      </c>
      <c r="AG1" t="s">
        <v>32</v>
      </c>
      <c r="AH1" t="s">
        <v>33</v>
      </c>
      <c r="AI1" t="s">
        <v>34</v>
      </c>
      <c r="AJ1" t="s">
        <v>35</v>
      </c>
      <c r="AK1" s="2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3" t="s">
        <v>41</v>
      </c>
      <c r="AQ1" t="s">
        <v>42</v>
      </c>
      <c r="AR1" t="s">
        <v>43</v>
      </c>
      <c r="AS1" t="s">
        <v>44</v>
      </c>
      <c r="AT1" t="s">
        <v>45</v>
      </c>
      <c r="AU1" s="2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3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3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3" t="s">
        <v>66</v>
      </c>
      <c r="BP1" s="7" t="s">
        <v>67</v>
      </c>
      <c r="BQ1" s="2" t="s">
        <v>68</v>
      </c>
      <c r="BR1" s="2" t="s">
        <v>69</v>
      </c>
    </row>
    <row r="2" spans="1:70" x14ac:dyDescent="0.3">
      <c r="A2">
        <f>[1]GLOBAL!B1</f>
        <v>1975</v>
      </c>
      <c r="B2" s="1">
        <v>180000</v>
      </c>
      <c r="C2" s="2">
        <v>5732999.8758594636</v>
      </c>
      <c r="D2" s="3">
        <v>31.84999931033035</v>
      </c>
      <c r="E2" s="1">
        <v>108000</v>
      </c>
      <c r="F2" s="4">
        <v>0.5228095298025347</v>
      </c>
      <c r="G2" s="4">
        <v>0.4</v>
      </c>
      <c r="H2" s="4">
        <v>0.91451084978141528</v>
      </c>
      <c r="I2" s="4">
        <v>0.57614365443995263</v>
      </c>
      <c r="J2" s="5">
        <v>6</v>
      </c>
      <c r="K2">
        <v>2510</v>
      </c>
      <c r="L2">
        <v>30013</v>
      </c>
      <c r="M2">
        <v>30264</v>
      </c>
      <c r="N2">
        <v>62787</v>
      </c>
      <c r="O2" s="6">
        <v>18825</v>
      </c>
      <c r="P2" s="6">
        <v>75032.5</v>
      </c>
      <c r="Q2" s="6">
        <v>36316.800000000003</v>
      </c>
      <c r="R2" s="6">
        <v>130174.3</v>
      </c>
      <c r="S2" s="2">
        <v>11.994999999999999</v>
      </c>
      <c r="T2" s="2">
        <v>19.12</v>
      </c>
      <c r="U2" s="2">
        <v>5.7840666666666669</v>
      </c>
      <c r="V2" s="2">
        <v>36.89906666666667</v>
      </c>
      <c r="W2">
        <v>11</v>
      </c>
      <c r="X2">
        <v>0</v>
      </c>
      <c r="Y2">
        <v>0</v>
      </c>
      <c r="Z2">
        <v>11</v>
      </c>
      <c r="AA2" s="2">
        <v>545880.56613054068</v>
      </c>
      <c r="AB2" s="6">
        <v>269.5</v>
      </c>
      <c r="AC2" s="6">
        <v>0</v>
      </c>
      <c r="AD2" s="6">
        <v>0</v>
      </c>
      <c r="AE2" s="6">
        <v>269.5</v>
      </c>
      <c r="AF2" s="3">
        <v>0.216</v>
      </c>
      <c r="AG2">
        <v>11</v>
      </c>
      <c r="AH2">
        <v>0</v>
      </c>
      <c r="AI2">
        <v>0</v>
      </c>
      <c r="AJ2">
        <v>11</v>
      </c>
      <c r="AK2" s="2">
        <v>5120874.2611699281</v>
      </c>
      <c r="AL2" s="6">
        <v>86.68</v>
      </c>
      <c r="AM2" s="6">
        <v>0</v>
      </c>
      <c r="AN2" s="6">
        <v>0</v>
      </c>
      <c r="AO2" s="6">
        <v>86.68</v>
      </c>
      <c r="AP2" s="3">
        <v>0.13500000000000001</v>
      </c>
      <c r="AQ2">
        <v>0</v>
      </c>
      <c r="AR2">
        <v>0</v>
      </c>
      <c r="AS2">
        <v>0</v>
      </c>
      <c r="AT2">
        <v>0</v>
      </c>
      <c r="AU2" s="2">
        <v>0</v>
      </c>
      <c r="AV2" s="6">
        <v>0</v>
      </c>
      <c r="AW2" s="6">
        <v>0</v>
      </c>
      <c r="AX2" s="6">
        <v>0</v>
      </c>
      <c r="AY2" s="6">
        <v>0</v>
      </c>
      <c r="AZ2" s="3">
        <v>0</v>
      </c>
      <c r="BA2">
        <v>7</v>
      </c>
      <c r="BB2">
        <v>0</v>
      </c>
      <c r="BC2">
        <v>0</v>
      </c>
      <c r="BD2">
        <v>7</v>
      </c>
      <c r="BE2" s="2">
        <v>66245.048558994706</v>
      </c>
      <c r="BF2" s="6">
        <v>40.11</v>
      </c>
      <c r="BG2" s="6">
        <v>0</v>
      </c>
      <c r="BH2" s="6">
        <v>0</v>
      </c>
      <c r="BI2" s="6">
        <v>40.11</v>
      </c>
      <c r="BJ2" s="3">
        <v>5.4</v>
      </c>
      <c r="BK2" s="6">
        <v>396.29</v>
      </c>
      <c r="BL2" s="6">
        <v>0</v>
      </c>
      <c r="BM2" s="6">
        <v>0</v>
      </c>
      <c r="BN2" s="6">
        <v>396.29</v>
      </c>
      <c r="BO2" s="3">
        <v>5.7510000000000003</v>
      </c>
      <c r="BP2" s="7">
        <v>130570.59</v>
      </c>
      <c r="BQ2" s="2">
        <v>12.795019999999999</v>
      </c>
      <c r="BR2" s="2">
        <v>55.445086666666668</v>
      </c>
    </row>
    <row r="3" spans="1:70" x14ac:dyDescent="0.3">
      <c r="A3">
        <f t="shared" ref="A3:A34" si="0">A2+1</f>
        <v>1976</v>
      </c>
      <c r="B3" s="1">
        <v>184052</v>
      </c>
      <c r="C3" s="2">
        <v>6501110.4241509037</v>
      </c>
      <c r="D3" s="3">
        <v>35.322139526606087</v>
      </c>
      <c r="E3" s="1">
        <v>110431</v>
      </c>
      <c r="F3" s="4">
        <v>0.538056605719343</v>
      </c>
      <c r="G3" s="4">
        <v>0.42091229911876099</v>
      </c>
      <c r="H3" s="4">
        <v>0.95540134918424913</v>
      </c>
      <c r="I3" s="4">
        <v>0.60034626258466395</v>
      </c>
      <c r="J3" s="5">
        <v>6.3136844867814146</v>
      </c>
      <c r="K3">
        <v>3058</v>
      </c>
      <c r="L3">
        <v>32080</v>
      </c>
      <c r="M3">
        <v>30523</v>
      </c>
      <c r="N3">
        <v>65661</v>
      </c>
      <c r="O3" s="6">
        <v>22935</v>
      </c>
      <c r="P3" s="6">
        <v>80200</v>
      </c>
      <c r="Q3" s="6">
        <v>36627.599999999999</v>
      </c>
      <c r="R3" s="6">
        <v>139762.6</v>
      </c>
      <c r="S3" s="2">
        <v>14.285</v>
      </c>
      <c r="T3" s="2">
        <v>19.98266666666667</v>
      </c>
      <c r="U3" s="2">
        <v>5.7038000000000002</v>
      </c>
      <c r="V3" s="2">
        <v>39.971466666666672</v>
      </c>
      <c r="W3">
        <v>19</v>
      </c>
      <c r="X3">
        <v>0</v>
      </c>
      <c r="Y3">
        <v>0</v>
      </c>
      <c r="Z3">
        <v>19</v>
      </c>
      <c r="AA3" s="2">
        <v>934231.67767825339</v>
      </c>
      <c r="AB3" s="6">
        <v>456</v>
      </c>
      <c r="AC3" s="6">
        <v>0</v>
      </c>
      <c r="AD3" s="6">
        <v>0</v>
      </c>
      <c r="AE3" s="6">
        <v>456</v>
      </c>
      <c r="AF3" s="3">
        <v>0.66167999006875711</v>
      </c>
      <c r="AG3">
        <v>19</v>
      </c>
      <c r="AH3">
        <v>0</v>
      </c>
      <c r="AI3">
        <v>0</v>
      </c>
      <c r="AJ3">
        <v>19</v>
      </c>
      <c r="AK3" s="2">
        <v>5497678.8693052204</v>
      </c>
      <c r="AL3" s="6">
        <v>148.96</v>
      </c>
      <c r="AM3" s="6">
        <v>0</v>
      </c>
      <c r="AN3" s="6">
        <v>0</v>
      </c>
      <c r="AO3" s="6">
        <v>148.96</v>
      </c>
      <c r="AP3" s="3">
        <v>0.14050499979309911</v>
      </c>
      <c r="AQ3">
        <v>0</v>
      </c>
      <c r="AR3">
        <v>0</v>
      </c>
      <c r="AS3">
        <v>0</v>
      </c>
      <c r="AT3">
        <v>0</v>
      </c>
      <c r="AU3" s="2">
        <v>0</v>
      </c>
      <c r="AV3" s="6">
        <v>0</v>
      </c>
      <c r="AW3" s="6">
        <v>0</v>
      </c>
      <c r="AX3" s="6">
        <v>0</v>
      </c>
      <c r="AY3" s="6">
        <v>0</v>
      </c>
      <c r="AZ3" s="3">
        <v>0</v>
      </c>
      <c r="BA3">
        <v>7</v>
      </c>
      <c r="BB3">
        <v>0</v>
      </c>
      <c r="BC3">
        <v>0</v>
      </c>
      <c r="BD3">
        <v>7</v>
      </c>
      <c r="BE3" s="2">
        <v>69199.87716743091</v>
      </c>
      <c r="BF3" s="6">
        <v>40.11</v>
      </c>
      <c r="BG3" s="6">
        <v>0</v>
      </c>
      <c r="BH3" s="6">
        <v>0</v>
      </c>
      <c r="BI3" s="6">
        <v>40.11</v>
      </c>
      <c r="BJ3" s="3">
        <v>6.7709999586198224</v>
      </c>
      <c r="BK3" s="6">
        <v>645.07000000000005</v>
      </c>
      <c r="BL3" s="6">
        <v>0</v>
      </c>
      <c r="BM3" s="6">
        <v>0</v>
      </c>
      <c r="BN3" s="6">
        <v>645.07000000000005</v>
      </c>
      <c r="BO3" s="3">
        <v>7.5731849484816776</v>
      </c>
      <c r="BP3" s="7">
        <v>140407.67000000001</v>
      </c>
      <c r="BQ3" s="2">
        <v>14.2633954845445</v>
      </c>
      <c r="BR3" s="2">
        <v>61.80804709969285</v>
      </c>
    </row>
    <row r="4" spans="1:70" x14ac:dyDescent="0.3">
      <c r="A4">
        <f t="shared" si="0"/>
        <v>1977</v>
      </c>
      <c r="B4" s="1">
        <v>187792</v>
      </c>
      <c r="C4" s="2">
        <v>7202943.9816251323</v>
      </c>
      <c r="D4" s="3">
        <v>38.355968207512213</v>
      </c>
      <c r="E4" s="1">
        <v>112675</v>
      </c>
      <c r="F4" s="4">
        <v>0.55022771104598589</v>
      </c>
      <c r="G4" s="4">
        <v>0.44100461526046092</v>
      </c>
      <c r="H4" s="4">
        <v>0.97518535703159615</v>
      </c>
      <c r="I4" s="4">
        <v>0.61852547049265272</v>
      </c>
      <c r="J4" s="5">
        <v>6.615069228906914</v>
      </c>
      <c r="K4">
        <v>3623</v>
      </c>
      <c r="L4">
        <v>33864</v>
      </c>
      <c r="M4">
        <v>30758</v>
      </c>
      <c r="N4">
        <v>68245</v>
      </c>
      <c r="O4" s="6">
        <v>27172.5</v>
      </c>
      <c r="P4" s="6">
        <v>84660</v>
      </c>
      <c r="Q4" s="6">
        <v>36909.599999999999</v>
      </c>
      <c r="R4" s="6">
        <v>148742.1</v>
      </c>
      <c r="S4" s="2">
        <v>16.618333333333329</v>
      </c>
      <c r="T4" s="2">
        <v>20.707111111111111</v>
      </c>
      <c r="U4" s="2">
        <v>5.6424666666666674</v>
      </c>
      <c r="V4" s="2">
        <v>42.967911111111107</v>
      </c>
      <c r="W4">
        <v>24</v>
      </c>
      <c r="X4">
        <v>0</v>
      </c>
      <c r="Y4">
        <v>0</v>
      </c>
      <c r="Z4">
        <v>24</v>
      </c>
      <c r="AA4" s="2">
        <v>1232708.751313376</v>
      </c>
      <c r="AB4" s="6">
        <v>585.6</v>
      </c>
      <c r="AC4" s="6">
        <v>0</v>
      </c>
      <c r="AD4" s="6">
        <v>0</v>
      </c>
      <c r="AE4" s="6">
        <v>585.6</v>
      </c>
      <c r="AF4" s="3">
        <v>1.1420680245967041</v>
      </c>
      <c r="AG4">
        <v>24</v>
      </c>
      <c r="AH4">
        <v>0</v>
      </c>
      <c r="AI4">
        <v>0</v>
      </c>
      <c r="AJ4">
        <v>24</v>
      </c>
      <c r="AK4" s="2">
        <v>5898356.3264237642</v>
      </c>
      <c r="AL4" s="6">
        <v>187.2</v>
      </c>
      <c r="AM4" s="6">
        <v>0</v>
      </c>
      <c r="AN4" s="6">
        <v>0</v>
      </c>
      <c r="AO4" s="6">
        <v>187.2</v>
      </c>
      <c r="AP4" s="3">
        <v>0.14712503383955761</v>
      </c>
      <c r="AQ4">
        <v>0</v>
      </c>
      <c r="AR4">
        <v>0</v>
      </c>
      <c r="AS4">
        <v>0</v>
      </c>
      <c r="AT4">
        <v>0</v>
      </c>
      <c r="AU4" s="2">
        <v>0</v>
      </c>
      <c r="AV4" s="6">
        <v>0</v>
      </c>
      <c r="AW4" s="6">
        <v>0</v>
      </c>
      <c r="AX4" s="6">
        <v>0</v>
      </c>
      <c r="AY4" s="6">
        <v>0</v>
      </c>
      <c r="AZ4" s="3">
        <v>0</v>
      </c>
      <c r="BA4">
        <v>8</v>
      </c>
      <c r="BB4">
        <v>0</v>
      </c>
      <c r="BC4">
        <v>0</v>
      </c>
      <c r="BD4">
        <v>8</v>
      </c>
      <c r="BE4" s="2">
        <v>71878.903887991371</v>
      </c>
      <c r="BF4" s="6">
        <v>45.84</v>
      </c>
      <c r="BG4" s="6">
        <v>0</v>
      </c>
      <c r="BH4" s="6">
        <v>0</v>
      </c>
      <c r="BI4" s="6">
        <v>45.84</v>
      </c>
      <c r="BJ4" s="3">
        <v>8.2609367708081418</v>
      </c>
      <c r="BK4" s="6">
        <v>818.64</v>
      </c>
      <c r="BL4" s="6">
        <v>0</v>
      </c>
      <c r="BM4" s="6">
        <v>0</v>
      </c>
      <c r="BN4" s="6">
        <v>818.64</v>
      </c>
      <c r="BO4" s="3">
        <v>9.550129829244403</v>
      </c>
      <c r="BP4" s="7">
        <v>149560.74</v>
      </c>
      <c r="BQ4" s="2">
        <v>15.755412282106651</v>
      </c>
      <c r="BR4" s="2">
        <v>68.273453222462166</v>
      </c>
    </row>
    <row r="5" spans="1:70" x14ac:dyDescent="0.3">
      <c r="A5">
        <f t="shared" si="0"/>
        <v>1978</v>
      </c>
      <c r="B5" s="1">
        <v>191131</v>
      </c>
      <c r="C5" s="2">
        <v>7891802.9021288622</v>
      </c>
      <c r="D5" s="3">
        <v>41.290020468311589</v>
      </c>
      <c r="E5" s="1">
        <v>114678</v>
      </c>
      <c r="F5" s="4">
        <v>0.56114967701678553</v>
      </c>
      <c r="G5" s="4">
        <v>0.46030910041751599</v>
      </c>
      <c r="H5" s="4">
        <v>0.98604692586675047</v>
      </c>
      <c r="I5" s="4">
        <v>0.63388229349647751</v>
      </c>
      <c r="J5" s="5">
        <v>6.9046365062627402</v>
      </c>
      <c r="K5">
        <v>4220</v>
      </c>
      <c r="L5">
        <v>35498</v>
      </c>
      <c r="M5">
        <v>30924</v>
      </c>
      <c r="N5">
        <v>70642</v>
      </c>
      <c r="O5" s="6">
        <v>31650</v>
      </c>
      <c r="P5" s="6">
        <v>88745</v>
      </c>
      <c r="Q5" s="6">
        <v>37108.800000000003</v>
      </c>
      <c r="R5" s="6">
        <v>157503.79999999999</v>
      </c>
      <c r="S5" s="2">
        <v>19.03166666666667</v>
      </c>
      <c r="T5" s="2">
        <v>21.34266666666667</v>
      </c>
      <c r="U5" s="2">
        <v>5.577866666666667</v>
      </c>
      <c r="V5" s="2">
        <v>45.952199999999998</v>
      </c>
      <c r="W5">
        <v>29</v>
      </c>
      <c r="X5">
        <v>0</v>
      </c>
      <c r="Y5">
        <v>0</v>
      </c>
      <c r="Z5">
        <v>29</v>
      </c>
      <c r="AA5" s="2">
        <v>1498200.6642560021</v>
      </c>
      <c r="AB5" s="6">
        <v>716.3</v>
      </c>
      <c r="AC5" s="6">
        <v>0</v>
      </c>
      <c r="AD5" s="6">
        <v>0</v>
      </c>
      <c r="AE5" s="6">
        <v>716.3</v>
      </c>
      <c r="AF5" s="3">
        <v>1.649779461650912</v>
      </c>
      <c r="AG5">
        <v>29</v>
      </c>
      <c r="AH5">
        <v>0</v>
      </c>
      <c r="AI5">
        <v>0</v>
      </c>
      <c r="AJ5">
        <v>29</v>
      </c>
      <c r="AK5" s="2">
        <v>6319362.177429596</v>
      </c>
      <c r="AL5" s="6">
        <v>222.72</v>
      </c>
      <c r="AM5" s="6">
        <v>0</v>
      </c>
      <c r="AN5" s="6">
        <v>0</v>
      </c>
      <c r="AO5" s="6">
        <v>222.72</v>
      </c>
      <c r="AP5" s="3">
        <v>0.1547161894604128</v>
      </c>
      <c r="AQ5">
        <v>0</v>
      </c>
      <c r="AR5">
        <v>0</v>
      </c>
      <c r="AS5">
        <v>0</v>
      </c>
      <c r="AT5">
        <v>0</v>
      </c>
      <c r="AU5" s="2">
        <v>0</v>
      </c>
      <c r="AV5" s="6">
        <v>0</v>
      </c>
      <c r="AW5" s="6">
        <v>0</v>
      </c>
      <c r="AX5" s="6">
        <v>0</v>
      </c>
      <c r="AY5" s="6">
        <v>0</v>
      </c>
      <c r="AZ5" s="3">
        <v>0</v>
      </c>
      <c r="BA5">
        <v>8</v>
      </c>
      <c r="BB5">
        <v>0</v>
      </c>
      <c r="BC5">
        <v>0</v>
      </c>
      <c r="BD5">
        <v>8</v>
      </c>
      <c r="BE5" s="2">
        <v>74240.060443263297</v>
      </c>
      <c r="BF5" s="6">
        <v>44.4</v>
      </c>
      <c r="BG5" s="6">
        <v>0</v>
      </c>
      <c r="BH5" s="6">
        <v>0</v>
      </c>
      <c r="BI5" s="6">
        <v>44.4</v>
      </c>
      <c r="BJ5" s="3">
        <v>9.8358244209357046</v>
      </c>
      <c r="BK5" s="6">
        <v>983.42</v>
      </c>
      <c r="BL5" s="6">
        <v>0</v>
      </c>
      <c r="BM5" s="6">
        <v>0</v>
      </c>
      <c r="BN5" s="6">
        <v>983.42</v>
      </c>
      <c r="BO5" s="3">
        <v>11.640320072047031</v>
      </c>
      <c r="BP5" s="7">
        <v>158487.22</v>
      </c>
      <c r="BQ5" s="2">
        <v>17.27775602161411</v>
      </c>
      <c r="BR5" s="2">
        <v>74.870276093661133</v>
      </c>
    </row>
    <row r="6" spans="1:70" x14ac:dyDescent="0.3">
      <c r="A6">
        <f t="shared" si="0"/>
        <v>1979</v>
      </c>
      <c r="B6" s="1">
        <v>194011</v>
      </c>
      <c r="C6" s="2">
        <v>8580856.4813221637</v>
      </c>
      <c r="D6" s="3">
        <v>44.228711162367929</v>
      </c>
      <c r="E6" s="1">
        <v>116406</v>
      </c>
      <c r="F6" s="4">
        <v>0.5713690061645561</v>
      </c>
      <c r="G6" s="4">
        <v>0.47885664588468729</v>
      </c>
      <c r="H6" s="4">
        <v>0.99219954543737454</v>
      </c>
      <c r="I6" s="4">
        <v>0.64750094580974593</v>
      </c>
      <c r="J6" s="5">
        <v>7.1828496882703092</v>
      </c>
      <c r="K6">
        <v>4849</v>
      </c>
      <c r="L6">
        <v>37011</v>
      </c>
      <c r="M6">
        <v>31003</v>
      </c>
      <c r="N6">
        <v>72863</v>
      </c>
      <c r="O6" s="6">
        <v>36367.5</v>
      </c>
      <c r="P6" s="6">
        <v>92527.5</v>
      </c>
      <c r="Q6" s="6">
        <v>37203.599999999999</v>
      </c>
      <c r="R6" s="6">
        <v>166098.6</v>
      </c>
      <c r="S6" s="2">
        <v>21.518333333333331</v>
      </c>
      <c r="T6" s="2">
        <v>21.899333333333331</v>
      </c>
      <c r="U6" s="2">
        <v>5.5034666666666663</v>
      </c>
      <c r="V6" s="2">
        <v>48.921133333333337</v>
      </c>
      <c r="W6">
        <v>34</v>
      </c>
      <c r="X6">
        <v>0</v>
      </c>
      <c r="Y6">
        <v>0</v>
      </c>
      <c r="Z6">
        <v>34</v>
      </c>
      <c r="AA6" s="2">
        <v>1746295.581247509</v>
      </c>
      <c r="AB6" s="6">
        <v>826.2</v>
      </c>
      <c r="AC6" s="6">
        <v>0</v>
      </c>
      <c r="AD6" s="6">
        <v>0</v>
      </c>
      <c r="AE6" s="6">
        <v>826.2</v>
      </c>
      <c r="AF6" s="3">
        <v>2.1821369261221659</v>
      </c>
      <c r="AG6">
        <v>34</v>
      </c>
      <c r="AH6">
        <v>0</v>
      </c>
      <c r="AI6">
        <v>0</v>
      </c>
      <c r="AJ6">
        <v>34</v>
      </c>
      <c r="AK6" s="2">
        <v>6758289.7649274739</v>
      </c>
      <c r="AL6" s="6">
        <v>259.76</v>
      </c>
      <c r="AM6" s="6">
        <v>0</v>
      </c>
      <c r="AN6" s="6">
        <v>0</v>
      </c>
      <c r="AO6" s="6">
        <v>259.76</v>
      </c>
      <c r="AP6" s="3">
        <v>0.16322770861348179</v>
      </c>
      <c r="AQ6">
        <v>0</v>
      </c>
      <c r="AR6">
        <v>0</v>
      </c>
      <c r="AS6">
        <v>0</v>
      </c>
      <c r="AT6">
        <v>0</v>
      </c>
      <c r="AU6" s="2">
        <v>0</v>
      </c>
      <c r="AV6" s="6">
        <v>0</v>
      </c>
      <c r="AW6" s="6">
        <v>0</v>
      </c>
      <c r="AX6" s="6">
        <v>0</v>
      </c>
      <c r="AY6" s="6">
        <v>0</v>
      </c>
      <c r="AZ6" s="3">
        <v>0</v>
      </c>
      <c r="BA6">
        <v>8</v>
      </c>
      <c r="BB6">
        <v>0</v>
      </c>
      <c r="BC6">
        <v>0</v>
      </c>
      <c r="BD6">
        <v>8</v>
      </c>
      <c r="BE6" s="2">
        <v>76271.135147181747</v>
      </c>
      <c r="BF6" s="6">
        <v>44.4</v>
      </c>
      <c r="BG6" s="6">
        <v>0</v>
      </c>
      <c r="BH6" s="6">
        <v>0</v>
      </c>
      <c r="BI6" s="6">
        <v>44.4</v>
      </c>
      <c r="BJ6" s="3">
        <v>11.482842946218421</v>
      </c>
      <c r="BK6" s="6">
        <v>1130.3599999999999</v>
      </c>
      <c r="BL6" s="6">
        <v>0</v>
      </c>
      <c r="BM6" s="6">
        <v>0</v>
      </c>
      <c r="BN6" s="6">
        <v>1130.3599999999999</v>
      </c>
      <c r="BO6" s="3">
        <v>13.82820758095407</v>
      </c>
      <c r="BP6" s="7">
        <v>167228.96</v>
      </c>
      <c r="BQ6" s="2">
        <v>18.82480227428622</v>
      </c>
      <c r="BR6" s="2">
        <v>81.574143188573629</v>
      </c>
    </row>
    <row r="7" spans="1:70" x14ac:dyDescent="0.3">
      <c r="A7">
        <f t="shared" si="0"/>
        <v>1980</v>
      </c>
      <c r="B7" s="1">
        <v>196419</v>
      </c>
      <c r="C7" s="2">
        <v>9274966.927556308</v>
      </c>
      <c r="D7" s="3">
        <v>47.220314366513968</v>
      </c>
      <c r="E7" s="1">
        <v>117851</v>
      </c>
      <c r="F7" s="4">
        <v>0.58112471464231008</v>
      </c>
      <c r="G7" s="4">
        <v>0.49667693169174298</v>
      </c>
      <c r="H7" s="4">
        <v>0.99569671007090721</v>
      </c>
      <c r="I7" s="4">
        <v>0.6599182453751139</v>
      </c>
      <c r="J7" s="5">
        <v>7.4501539753761454</v>
      </c>
      <c r="K7">
        <v>5506</v>
      </c>
      <c r="L7">
        <v>38410</v>
      </c>
      <c r="M7">
        <v>30991</v>
      </c>
      <c r="N7">
        <v>74907</v>
      </c>
      <c r="O7" s="6">
        <v>41295</v>
      </c>
      <c r="P7" s="6">
        <v>96025</v>
      </c>
      <c r="Q7" s="6">
        <v>37189.199999999997</v>
      </c>
      <c r="R7" s="6">
        <v>174509.2</v>
      </c>
      <c r="S7" s="2">
        <v>24.063333333333329</v>
      </c>
      <c r="T7" s="2">
        <v>22.381555555555551</v>
      </c>
      <c r="U7" s="2">
        <v>5.4175333333333331</v>
      </c>
      <c r="V7" s="2">
        <v>51.862422222222207</v>
      </c>
      <c r="W7">
        <v>38</v>
      </c>
      <c r="X7">
        <v>0</v>
      </c>
      <c r="Y7">
        <v>0</v>
      </c>
      <c r="Z7">
        <v>38</v>
      </c>
      <c r="AA7" s="2">
        <v>1983442.513096889</v>
      </c>
      <c r="AB7" s="6">
        <v>912</v>
      </c>
      <c r="AC7" s="6">
        <v>0</v>
      </c>
      <c r="AD7" s="6">
        <v>0</v>
      </c>
      <c r="AE7" s="6">
        <v>912</v>
      </c>
      <c r="AF7" s="3">
        <v>2.7376772290606088</v>
      </c>
      <c r="AG7">
        <v>38</v>
      </c>
      <c r="AH7">
        <v>0</v>
      </c>
      <c r="AI7">
        <v>0</v>
      </c>
      <c r="AJ7">
        <v>38</v>
      </c>
      <c r="AK7" s="2">
        <v>7213549.4511893624</v>
      </c>
      <c r="AL7" s="6">
        <v>299.44</v>
      </c>
      <c r="AM7" s="6">
        <v>0</v>
      </c>
      <c r="AN7" s="6">
        <v>0</v>
      </c>
      <c r="AO7" s="6">
        <v>299.44</v>
      </c>
      <c r="AP7" s="3">
        <v>0.17263230482394759</v>
      </c>
      <c r="AQ7">
        <v>0</v>
      </c>
      <c r="AR7">
        <v>0</v>
      </c>
      <c r="AS7">
        <v>0</v>
      </c>
      <c r="AT7">
        <v>0</v>
      </c>
      <c r="AU7" s="2">
        <v>0</v>
      </c>
      <c r="AV7" s="6">
        <v>0</v>
      </c>
      <c r="AW7" s="6">
        <v>0</v>
      </c>
      <c r="AX7" s="6">
        <v>0</v>
      </c>
      <c r="AY7" s="6">
        <v>0</v>
      </c>
      <c r="AZ7" s="3">
        <v>0</v>
      </c>
      <c r="BA7">
        <v>8</v>
      </c>
      <c r="BB7">
        <v>0</v>
      </c>
      <c r="BC7">
        <v>0</v>
      </c>
      <c r="BD7">
        <v>8</v>
      </c>
      <c r="BE7" s="2">
        <v>77974.963270057226</v>
      </c>
      <c r="BF7" s="6">
        <v>46.2</v>
      </c>
      <c r="BG7" s="6">
        <v>0</v>
      </c>
      <c r="BH7" s="6">
        <v>0</v>
      </c>
      <c r="BI7" s="6">
        <v>46.2</v>
      </c>
      <c r="BJ7" s="3">
        <v>13.194844145370631</v>
      </c>
      <c r="BK7" s="6">
        <v>1257.6400000000001</v>
      </c>
      <c r="BL7" s="6">
        <v>0</v>
      </c>
      <c r="BM7" s="6">
        <v>0</v>
      </c>
      <c r="BN7" s="6">
        <v>1257.6400000000001</v>
      </c>
      <c r="BO7" s="3">
        <v>16.105153679255189</v>
      </c>
      <c r="BP7" s="7">
        <v>175766.84</v>
      </c>
      <c r="BQ7" s="2">
        <v>20.390272770443222</v>
      </c>
      <c r="BR7" s="2">
        <v>88.357848671920621</v>
      </c>
    </row>
    <row r="8" spans="1:70" x14ac:dyDescent="0.3">
      <c r="A8">
        <f t="shared" si="0"/>
        <v>1981</v>
      </c>
      <c r="B8" s="1">
        <v>198387</v>
      </c>
      <c r="C8" s="2">
        <v>9976847.6989356074</v>
      </c>
      <c r="D8" s="3">
        <v>50.289825940891333</v>
      </c>
      <c r="E8" s="1">
        <v>119032</v>
      </c>
      <c r="F8" s="4">
        <v>0.5905344950988094</v>
      </c>
      <c r="G8" s="4">
        <v>0.51379847409783819</v>
      </c>
      <c r="H8" s="4">
        <v>0.99766630309056092</v>
      </c>
      <c r="I8" s="4">
        <v>0.67144090442213777</v>
      </c>
      <c r="J8" s="5">
        <v>7.7069771114675723</v>
      </c>
      <c r="K8">
        <v>6189</v>
      </c>
      <c r="L8">
        <v>39705</v>
      </c>
      <c r="M8">
        <v>30893</v>
      </c>
      <c r="N8">
        <v>76787</v>
      </c>
      <c r="O8" s="6">
        <v>46417.5</v>
      </c>
      <c r="P8" s="6">
        <v>99262.5</v>
      </c>
      <c r="Q8" s="6">
        <v>37071.599999999999</v>
      </c>
      <c r="R8" s="6">
        <v>182751.6</v>
      </c>
      <c r="S8" s="2">
        <v>26.651666666666671</v>
      </c>
      <c r="T8" s="2">
        <v>22.795777777777779</v>
      </c>
      <c r="U8" s="2">
        <v>5.3208666666666664</v>
      </c>
      <c r="V8" s="2">
        <v>54.76831111111111</v>
      </c>
      <c r="W8">
        <v>42</v>
      </c>
      <c r="X8">
        <v>0</v>
      </c>
      <c r="Y8">
        <v>0</v>
      </c>
      <c r="Z8">
        <v>42</v>
      </c>
      <c r="AA8" s="2">
        <v>2212944.7649041638</v>
      </c>
      <c r="AB8" s="6">
        <v>1016.4</v>
      </c>
      <c r="AC8" s="6">
        <v>0</v>
      </c>
      <c r="AD8" s="6">
        <v>0</v>
      </c>
      <c r="AE8" s="6">
        <v>1016.4</v>
      </c>
      <c r="AF8" s="3">
        <v>3.3154139495214769</v>
      </c>
      <c r="AG8">
        <v>42</v>
      </c>
      <c r="AH8">
        <v>0</v>
      </c>
      <c r="AI8">
        <v>0</v>
      </c>
      <c r="AJ8">
        <v>42</v>
      </c>
      <c r="AK8" s="2">
        <v>7684533.818792575</v>
      </c>
      <c r="AL8" s="6">
        <v>324.24</v>
      </c>
      <c r="AM8" s="6">
        <v>0</v>
      </c>
      <c r="AN8" s="6">
        <v>0</v>
      </c>
      <c r="AO8" s="6">
        <v>324.24</v>
      </c>
      <c r="AP8" s="3">
        <v>0.18291161389182301</v>
      </c>
      <c r="AQ8">
        <v>0</v>
      </c>
      <c r="AR8">
        <v>0</v>
      </c>
      <c r="AS8">
        <v>0</v>
      </c>
      <c r="AT8">
        <v>0</v>
      </c>
      <c r="AU8" s="2">
        <v>0</v>
      </c>
      <c r="AV8" s="6">
        <v>0</v>
      </c>
      <c r="AW8" s="6">
        <v>0</v>
      </c>
      <c r="AX8" s="6">
        <v>0</v>
      </c>
      <c r="AY8" s="6">
        <v>0</v>
      </c>
      <c r="AZ8" s="3">
        <v>0</v>
      </c>
      <c r="BA8">
        <v>8</v>
      </c>
      <c r="BB8">
        <v>0</v>
      </c>
      <c r="BC8">
        <v>0</v>
      </c>
      <c r="BD8">
        <v>8</v>
      </c>
      <c r="BE8" s="2">
        <v>79369.11523887029</v>
      </c>
      <c r="BF8" s="6">
        <v>44.4</v>
      </c>
      <c r="BG8" s="6">
        <v>0</v>
      </c>
      <c r="BH8" s="6">
        <v>0</v>
      </c>
      <c r="BI8" s="6">
        <v>44.4</v>
      </c>
      <c r="BJ8" s="3">
        <v>14.967015373352339</v>
      </c>
      <c r="BK8" s="6">
        <v>1385.04</v>
      </c>
      <c r="BL8" s="6">
        <v>0</v>
      </c>
      <c r="BM8" s="6">
        <v>0</v>
      </c>
      <c r="BN8" s="6">
        <v>1385.04</v>
      </c>
      <c r="BO8" s="3">
        <v>18.465340936765639</v>
      </c>
      <c r="BP8" s="7">
        <v>184136.64</v>
      </c>
      <c r="BQ8" s="2">
        <v>21.970095614363021</v>
      </c>
      <c r="BR8" s="2">
        <v>95.203747662239763</v>
      </c>
    </row>
    <row r="9" spans="1:70" x14ac:dyDescent="0.3">
      <c r="A9">
        <f t="shared" si="0"/>
        <v>1982</v>
      </c>
      <c r="B9" s="1">
        <v>199983</v>
      </c>
      <c r="C9" s="2">
        <v>10688971.3272001</v>
      </c>
      <c r="D9" s="3">
        <v>53.449399834986473</v>
      </c>
      <c r="E9" s="1">
        <v>119989</v>
      </c>
      <c r="F9" s="4">
        <v>0.59965635417423047</v>
      </c>
      <c r="G9" s="4">
        <v>0.53024867122361308</v>
      </c>
      <c r="H9" s="4">
        <v>0.99875811218618649</v>
      </c>
      <c r="I9" s="4">
        <v>0.68225613486801207</v>
      </c>
      <c r="J9" s="5">
        <v>7.9537300683541963</v>
      </c>
      <c r="K9">
        <v>6896</v>
      </c>
      <c r="L9">
        <v>40905</v>
      </c>
      <c r="M9">
        <v>30720</v>
      </c>
      <c r="N9">
        <v>78521</v>
      </c>
      <c r="O9" s="6">
        <v>51720</v>
      </c>
      <c r="P9" s="6">
        <v>102262.5</v>
      </c>
      <c r="Q9" s="6">
        <v>36864</v>
      </c>
      <c r="R9" s="6">
        <v>190846.5</v>
      </c>
      <c r="S9" s="2">
        <v>29.27333333333333</v>
      </c>
      <c r="T9" s="2">
        <v>23.15088888888889</v>
      </c>
      <c r="U9" s="2">
        <v>5.2158666666666669</v>
      </c>
      <c r="V9" s="2">
        <v>57.640088888888897</v>
      </c>
      <c r="W9">
        <v>46</v>
      </c>
      <c r="X9">
        <v>0</v>
      </c>
      <c r="Y9">
        <v>0</v>
      </c>
      <c r="Z9">
        <v>46</v>
      </c>
      <c r="AA9" s="2">
        <v>2436857.5857155118</v>
      </c>
      <c r="AB9" s="6">
        <v>1104</v>
      </c>
      <c r="AC9" s="6">
        <v>0</v>
      </c>
      <c r="AD9" s="6">
        <v>0</v>
      </c>
      <c r="AE9" s="6">
        <v>1104</v>
      </c>
      <c r="AF9" s="3">
        <v>3.9146369284650362</v>
      </c>
      <c r="AG9">
        <v>46</v>
      </c>
      <c r="AH9">
        <v>0</v>
      </c>
      <c r="AI9">
        <v>0</v>
      </c>
      <c r="AJ9">
        <v>46</v>
      </c>
      <c r="AK9" s="2">
        <v>8171630.5314142685</v>
      </c>
      <c r="AL9" s="6">
        <v>360.64</v>
      </c>
      <c r="AM9" s="6">
        <v>0</v>
      </c>
      <c r="AN9" s="6">
        <v>0</v>
      </c>
      <c r="AO9" s="6">
        <v>360.64</v>
      </c>
      <c r="AP9" s="3">
        <v>0.19405234497329429</v>
      </c>
      <c r="AQ9">
        <v>0</v>
      </c>
      <c r="AR9">
        <v>0</v>
      </c>
      <c r="AS9">
        <v>0</v>
      </c>
      <c r="AT9">
        <v>0</v>
      </c>
      <c r="AU9" s="2">
        <v>0</v>
      </c>
      <c r="AV9" s="6">
        <v>0</v>
      </c>
      <c r="AW9" s="6">
        <v>0</v>
      </c>
      <c r="AX9" s="6">
        <v>0</v>
      </c>
      <c r="AY9" s="6">
        <v>0</v>
      </c>
      <c r="AZ9" s="3">
        <v>0</v>
      </c>
      <c r="BA9">
        <v>8</v>
      </c>
      <c r="BB9">
        <v>0</v>
      </c>
      <c r="BC9">
        <v>0</v>
      </c>
      <c r="BD9">
        <v>8</v>
      </c>
      <c r="BE9" s="2">
        <v>80483.21007032007</v>
      </c>
      <c r="BF9" s="6">
        <v>44.76</v>
      </c>
      <c r="BG9" s="6">
        <v>0</v>
      </c>
      <c r="BH9" s="6">
        <v>0</v>
      </c>
      <c r="BI9" s="6">
        <v>44.76</v>
      </c>
      <c r="BJ9" s="3">
        <v>16.795929735662309</v>
      </c>
      <c r="BK9" s="6">
        <v>1509.4</v>
      </c>
      <c r="BL9" s="6">
        <v>0</v>
      </c>
      <c r="BM9" s="6">
        <v>0</v>
      </c>
      <c r="BN9" s="6">
        <v>1509.4</v>
      </c>
      <c r="BO9" s="3">
        <v>20.904619009100639</v>
      </c>
      <c r="BP9" s="7">
        <v>192355.9</v>
      </c>
      <c r="BQ9" s="2">
        <v>23.563412369396861</v>
      </c>
      <c r="BR9" s="2">
        <v>102.1081202673864</v>
      </c>
    </row>
    <row r="10" spans="1:70" x14ac:dyDescent="0.3">
      <c r="A10">
        <f t="shared" si="0"/>
        <v>1983</v>
      </c>
      <c r="B10" s="1">
        <v>201290</v>
      </c>
      <c r="C10" s="2">
        <v>11414153.582501121</v>
      </c>
      <c r="D10" s="3">
        <v>56.705020530086543</v>
      </c>
      <c r="E10" s="1">
        <v>120774</v>
      </c>
      <c r="F10" s="4">
        <v>0.60852168428069131</v>
      </c>
      <c r="G10" s="4">
        <v>0.54605384689403147</v>
      </c>
      <c r="H10" s="4">
        <v>0.99935202101651399</v>
      </c>
      <c r="I10" s="4">
        <v>0.69248442233569907</v>
      </c>
      <c r="J10" s="5">
        <v>8.1908077034104725</v>
      </c>
      <c r="K10">
        <v>7624</v>
      </c>
      <c r="L10">
        <v>42022</v>
      </c>
      <c r="M10">
        <v>30487</v>
      </c>
      <c r="N10">
        <v>80133</v>
      </c>
      <c r="O10" s="6">
        <v>57180</v>
      </c>
      <c r="P10" s="6">
        <v>105055</v>
      </c>
      <c r="Q10" s="6">
        <v>36584.400000000001</v>
      </c>
      <c r="R10" s="6">
        <v>198819.4</v>
      </c>
      <c r="S10" s="2">
        <v>31.92</v>
      </c>
      <c r="T10" s="2">
        <v>23.456888888888891</v>
      </c>
      <c r="U10" s="2">
        <v>5.1053333333333333</v>
      </c>
      <c r="V10" s="2">
        <v>60.482222222222219</v>
      </c>
      <c r="W10">
        <v>50</v>
      </c>
      <c r="X10">
        <v>0</v>
      </c>
      <c r="Y10">
        <v>0</v>
      </c>
      <c r="Z10">
        <v>50</v>
      </c>
      <c r="AA10" s="2">
        <v>2656720.4280367838</v>
      </c>
      <c r="AB10" s="6">
        <v>1220</v>
      </c>
      <c r="AC10" s="6">
        <v>0</v>
      </c>
      <c r="AD10" s="6">
        <v>0</v>
      </c>
      <c r="AE10" s="6">
        <v>1220</v>
      </c>
      <c r="AF10" s="3">
        <v>4.5348764189331421</v>
      </c>
      <c r="AG10">
        <v>50</v>
      </c>
      <c r="AH10">
        <v>0</v>
      </c>
      <c r="AI10">
        <v>0</v>
      </c>
      <c r="AJ10">
        <v>50</v>
      </c>
      <c r="AK10" s="2">
        <v>8676079.0261149276</v>
      </c>
      <c r="AL10" s="6">
        <v>386</v>
      </c>
      <c r="AM10" s="6">
        <v>0</v>
      </c>
      <c r="AN10" s="6">
        <v>0</v>
      </c>
      <c r="AO10" s="6">
        <v>386</v>
      </c>
      <c r="AP10" s="3">
        <v>0.20604572683609571</v>
      </c>
      <c r="AQ10">
        <v>0</v>
      </c>
      <c r="AR10">
        <v>0</v>
      </c>
      <c r="AS10">
        <v>0</v>
      </c>
      <c r="AT10">
        <v>0</v>
      </c>
      <c r="AU10" s="2">
        <v>0</v>
      </c>
      <c r="AV10" s="6">
        <v>0</v>
      </c>
      <c r="AW10" s="6">
        <v>0</v>
      </c>
      <c r="AX10" s="6">
        <v>0</v>
      </c>
      <c r="AY10" s="6">
        <v>0</v>
      </c>
      <c r="AZ10" s="3">
        <v>0</v>
      </c>
      <c r="BA10">
        <v>8</v>
      </c>
      <c r="BB10">
        <v>0</v>
      </c>
      <c r="BC10">
        <v>0</v>
      </c>
      <c r="BD10">
        <v>8</v>
      </c>
      <c r="BE10" s="2">
        <v>81354.128349406106</v>
      </c>
      <c r="BF10" s="6">
        <v>45.12</v>
      </c>
      <c r="BG10" s="6">
        <v>0</v>
      </c>
      <c r="BH10" s="6">
        <v>0</v>
      </c>
      <c r="BI10" s="6">
        <v>45.12</v>
      </c>
      <c r="BJ10" s="3">
        <v>18.679327204496111</v>
      </c>
      <c r="BK10" s="6">
        <v>1651.12</v>
      </c>
      <c r="BL10" s="6">
        <v>0</v>
      </c>
      <c r="BM10" s="6">
        <v>0</v>
      </c>
      <c r="BN10" s="6">
        <v>1651.12</v>
      </c>
      <c r="BO10" s="3">
        <v>23.420249350265351</v>
      </c>
      <c r="BP10" s="7">
        <v>200470.52</v>
      </c>
      <c r="BQ10" s="2">
        <v>25.170741471746268</v>
      </c>
      <c r="BR10" s="2">
        <v>109.0732130442338</v>
      </c>
    </row>
    <row r="11" spans="1:70" x14ac:dyDescent="0.3">
      <c r="A11">
        <f t="shared" si="0"/>
        <v>1984</v>
      </c>
      <c r="B11" s="1">
        <v>202387</v>
      </c>
      <c r="C11" s="2">
        <v>12154927.87701224</v>
      </c>
      <c r="D11" s="3">
        <v>60.057848957750458</v>
      </c>
      <c r="E11" s="1">
        <v>121432</v>
      </c>
      <c r="F11" s="4">
        <v>0.61714522073946099</v>
      </c>
      <c r="G11" s="4">
        <v>0.56123929276211681</v>
      </c>
      <c r="H11" s="4">
        <v>0.99966850616319225</v>
      </c>
      <c r="I11" s="4">
        <v>0.70220483640839459</v>
      </c>
      <c r="J11" s="5">
        <v>8.4185893914317518</v>
      </c>
      <c r="K11">
        <v>8372</v>
      </c>
      <c r="L11">
        <v>43068</v>
      </c>
      <c r="M11">
        <v>30207</v>
      </c>
      <c r="N11">
        <v>81647</v>
      </c>
      <c r="O11" s="6">
        <v>62790</v>
      </c>
      <c r="P11" s="6">
        <v>107670</v>
      </c>
      <c r="Q11" s="6">
        <v>36248.400000000001</v>
      </c>
      <c r="R11" s="6">
        <v>206708.4</v>
      </c>
      <c r="S11" s="2">
        <v>34.586666666666673</v>
      </c>
      <c r="T11" s="2">
        <v>23.72355555555556</v>
      </c>
      <c r="U11" s="2">
        <v>4.9917999999999996</v>
      </c>
      <c r="V11" s="2">
        <v>63.30202222222222</v>
      </c>
      <c r="W11">
        <v>54</v>
      </c>
      <c r="X11">
        <v>0</v>
      </c>
      <c r="Y11">
        <v>0</v>
      </c>
      <c r="Z11">
        <v>54</v>
      </c>
      <c r="AA11" s="2">
        <v>2873715.4754836741</v>
      </c>
      <c r="AB11" s="6">
        <v>1312.2</v>
      </c>
      <c r="AC11" s="6">
        <v>0</v>
      </c>
      <c r="AD11" s="6">
        <v>0</v>
      </c>
      <c r="AE11" s="6">
        <v>1312.2</v>
      </c>
      <c r="AF11" s="3">
        <v>5.1759161203972432</v>
      </c>
      <c r="AG11">
        <v>54</v>
      </c>
      <c r="AH11">
        <v>0</v>
      </c>
      <c r="AI11">
        <v>0</v>
      </c>
      <c r="AJ11">
        <v>54</v>
      </c>
      <c r="AK11" s="2">
        <v>9199197.7602561507</v>
      </c>
      <c r="AL11" s="6">
        <v>423.36</v>
      </c>
      <c r="AM11" s="6">
        <v>0</v>
      </c>
      <c r="AN11" s="6">
        <v>0</v>
      </c>
      <c r="AO11" s="6">
        <v>423.36</v>
      </c>
      <c r="AP11" s="3">
        <v>0.2188879443351813</v>
      </c>
      <c r="AQ11">
        <v>0</v>
      </c>
      <c r="AR11">
        <v>0</v>
      </c>
      <c r="AS11">
        <v>0</v>
      </c>
      <c r="AT11">
        <v>0</v>
      </c>
      <c r="AU11" s="2">
        <v>0</v>
      </c>
      <c r="AV11" s="6">
        <v>0</v>
      </c>
      <c r="AW11" s="6">
        <v>0</v>
      </c>
      <c r="AX11" s="6">
        <v>0</v>
      </c>
      <c r="AY11" s="6">
        <v>0</v>
      </c>
      <c r="AZ11" s="3">
        <v>0</v>
      </c>
      <c r="BA11">
        <v>8</v>
      </c>
      <c r="BB11">
        <v>0</v>
      </c>
      <c r="BC11">
        <v>0</v>
      </c>
      <c r="BD11">
        <v>8</v>
      </c>
      <c r="BE11" s="2">
        <v>82014.64127241727</v>
      </c>
      <c r="BF11" s="6">
        <v>44.76</v>
      </c>
      <c r="BG11" s="6">
        <v>0</v>
      </c>
      <c r="BH11" s="6">
        <v>0</v>
      </c>
      <c r="BI11" s="6">
        <v>44.76</v>
      </c>
      <c r="BJ11" s="3">
        <v>20.616112344880211</v>
      </c>
      <c r="BK11" s="6">
        <v>1780.32</v>
      </c>
      <c r="BL11" s="6">
        <v>0</v>
      </c>
      <c r="BM11" s="6">
        <v>0</v>
      </c>
      <c r="BN11" s="6">
        <v>1780.32</v>
      </c>
      <c r="BO11" s="3">
        <v>26.010916409612641</v>
      </c>
      <c r="BP11" s="7">
        <v>208488.72</v>
      </c>
      <c r="BQ11" s="2">
        <v>26.793881589550459</v>
      </c>
      <c r="BR11" s="2">
        <v>116.10682022138531</v>
      </c>
    </row>
    <row r="12" spans="1:70" x14ac:dyDescent="0.3">
      <c r="A12">
        <f t="shared" si="0"/>
        <v>1985</v>
      </c>
      <c r="B12" s="1">
        <v>203342</v>
      </c>
      <c r="C12" s="2">
        <v>12913930.918748129</v>
      </c>
      <c r="D12" s="3">
        <v>63.508428749339181</v>
      </c>
      <c r="E12" s="1">
        <v>122005</v>
      </c>
      <c r="F12" s="4">
        <v>0.6255391045220422</v>
      </c>
      <c r="G12" s="4">
        <v>0.57582930878099237</v>
      </c>
      <c r="H12" s="4">
        <v>0.99983372242728563</v>
      </c>
      <c r="I12" s="4">
        <v>0.71147340415876403</v>
      </c>
      <c r="J12" s="5">
        <v>8.6374396317148854</v>
      </c>
      <c r="K12">
        <v>9137</v>
      </c>
      <c r="L12">
        <v>44053</v>
      </c>
      <c r="M12">
        <v>29892</v>
      </c>
      <c r="N12">
        <v>83082</v>
      </c>
      <c r="O12" s="6">
        <v>68527.5</v>
      </c>
      <c r="P12" s="6">
        <v>110132.5</v>
      </c>
      <c r="Q12" s="6">
        <v>35870.400000000001</v>
      </c>
      <c r="R12" s="6">
        <v>214530.4</v>
      </c>
      <c r="S12" s="2">
        <v>37.271666666666668</v>
      </c>
      <c r="T12" s="2">
        <v>23.959555555555561</v>
      </c>
      <c r="U12" s="2">
        <v>4.8773333333333344</v>
      </c>
      <c r="V12" s="2">
        <v>66.108555555555569</v>
      </c>
      <c r="W12">
        <v>57</v>
      </c>
      <c r="X12">
        <v>0</v>
      </c>
      <c r="Y12">
        <v>0</v>
      </c>
      <c r="Z12">
        <v>57</v>
      </c>
      <c r="AA12" s="2">
        <v>3088860.6311393739</v>
      </c>
      <c r="AB12" s="6">
        <v>1407.9</v>
      </c>
      <c r="AC12" s="6">
        <v>0</v>
      </c>
      <c r="AD12" s="6">
        <v>0</v>
      </c>
      <c r="AE12" s="6">
        <v>1407.9</v>
      </c>
      <c r="AF12" s="3">
        <v>5.8377553833343869</v>
      </c>
      <c r="AG12">
        <v>57</v>
      </c>
      <c r="AH12">
        <v>0</v>
      </c>
      <c r="AI12">
        <v>0</v>
      </c>
      <c r="AJ12">
        <v>57</v>
      </c>
      <c r="AK12" s="2">
        <v>9742574.7139776163</v>
      </c>
      <c r="AL12" s="6">
        <v>451.44</v>
      </c>
      <c r="AM12" s="6">
        <v>0</v>
      </c>
      <c r="AN12" s="6">
        <v>0</v>
      </c>
      <c r="AO12" s="6">
        <v>451.44</v>
      </c>
      <c r="AP12" s="3">
        <v>0.23257951913347971</v>
      </c>
      <c r="AQ12">
        <v>0</v>
      </c>
      <c r="AR12">
        <v>0</v>
      </c>
      <c r="AS12">
        <v>0</v>
      </c>
      <c r="AT12">
        <v>0</v>
      </c>
      <c r="AU12" s="2">
        <v>0</v>
      </c>
      <c r="AV12" s="6">
        <v>0</v>
      </c>
      <c r="AW12" s="6">
        <v>0</v>
      </c>
      <c r="AX12" s="6">
        <v>0</v>
      </c>
      <c r="AY12" s="6">
        <v>0</v>
      </c>
      <c r="AZ12" s="3">
        <v>0</v>
      </c>
      <c r="BA12">
        <v>8</v>
      </c>
      <c r="BB12">
        <v>0</v>
      </c>
      <c r="BC12">
        <v>0</v>
      </c>
      <c r="BD12">
        <v>8</v>
      </c>
      <c r="BE12" s="2">
        <v>82495.573631135427</v>
      </c>
      <c r="BF12" s="6">
        <v>45.12</v>
      </c>
      <c r="BG12" s="6">
        <v>0</v>
      </c>
      <c r="BH12" s="6">
        <v>0</v>
      </c>
      <c r="BI12" s="6">
        <v>45.12</v>
      </c>
      <c r="BJ12" s="3">
        <v>22.60614373606294</v>
      </c>
      <c r="BK12" s="6">
        <v>1904.46</v>
      </c>
      <c r="BL12" s="6">
        <v>0</v>
      </c>
      <c r="BM12" s="6">
        <v>0</v>
      </c>
      <c r="BN12" s="6">
        <v>1904.46</v>
      </c>
      <c r="BO12" s="3">
        <v>28.676478638530799</v>
      </c>
      <c r="BP12" s="7">
        <v>216434.86</v>
      </c>
      <c r="BQ12" s="2">
        <v>28.435510258225911</v>
      </c>
      <c r="BR12" s="2">
        <v>123.2205444523123</v>
      </c>
    </row>
    <row r="13" spans="1:70" x14ac:dyDescent="0.3">
      <c r="A13">
        <f t="shared" si="0"/>
        <v>1986</v>
      </c>
      <c r="B13" s="1">
        <v>204204</v>
      </c>
      <c r="C13" s="2">
        <v>13693264.86452955</v>
      </c>
      <c r="D13" s="3">
        <v>67.056790584560304</v>
      </c>
      <c r="E13" s="1">
        <v>122522</v>
      </c>
      <c r="F13" s="4">
        <v>0.63371368840019304</v>
      </c>
      <c r="G13" s="4">
        <v>0.5898472420889912</v>
      </c>
      <c r="H13" s="4">
        <v>0.99991821689723503</v>
      </c>
      <c r="I13" s="4">
        <v>0.72033144547067895</v>
      </c>
      <c r="J13" s="5">
        <v>8.8477086313348678</v>
      </c>
      <c r="K13">
        <v>9918</v>
      </c>
      <c r="L13">
        <v>44984</v>
      </c>
      <c r="M13">
        <v>29550</v>
      </c>
      <c r="N13">
        <v>84452</v>
      </c>
      <c r="O13" s="6">
        <v>74385</v>
      </c>
      <c r="P13" s="6">
        <v>112460</v>
      </c>
      <c r="Q13" s="6">
        <v>35460</v>
      </c>
      <c r="R13" s="6">
        <v>222305</v>
      </c>
      <c r="S13" s="2">
        <v>39.968333333333327</v>
      </c>
      <c r="T13" s="2">
        <v>24.171111111111109</v>
      </c>
      <c r="U13" s="2">
        <v>4.7633999999999999</v>
      </c>
      <c r="V13" s="2">
        <v>68.902844444444455</v>
      </c>
      <c r="W13">
        <v>61</v>
      </c>
      <c r="X13">
        <v>0</v>
      </c>
      <c r="Y13">
        <v>0</v>
      </c>
      <c r="Z13">
        <v>61</v>
      </c>
      <c r="AA13" s="2">
        <v>3302949.2361064469</v>
      </c>
      <c r="AB13" s="6">
        <v>1512.8</v>
      </c>
      <c r="AC13" s="6">
        <v>0</v>
      </c>
      <c r="AD13" s="6">
        <v>0</v>
      </c>
      <c r="AE13" s="6">
        <v>1512.8</v>
      </c>
      <c r="AF13" s="3">
        <v>6.5206045338341738</v>
      </c>
      <c r="AG13">
        <v>61</v>
      </c>
      <c r="AH13">
        <v>0</v>
      </c>
      <c r="AI13">
        <v>0</v>
      </c>
      <c r="AJ13">
        <v>61</v>
      </c>
      <c r="AK13" s="2">
        <v>10307496.078407809</v>
      </c>
      <c r="AL13" s="6">
        <v>468.48</v>
      </c>
      <c r="AM13" s="6">
        <v>0</v>
      </c>
      <c r="AN13" s="6">
        <v>0</v>
      </c>
      <c r="AO13" s="6">
        <v>468.48</v>
      </c>
      <c r="AP13" s="3">
        <v>0.24712535175738881</v>
      </c>
      <c r="AQ13">
        <v>0</v>
      </c>
      <c r="AR13">
        <v>0</v>
      </c>
      <c r="AS13">
        <v>0</v>
      </c>
      <c r="AT13">
        <v>0</v>
      </c>
      <c r="AU13" s="2">
        <v>0</v>
      </c>
      <c r="AV13" s="6">
        <v>0</v>
      </c>
      <c r="AW13" s="6">
        <v>0</v>
      </c>
      <c r="AX13" s="6">
        <v>0</v>
      </c>
      <c r="AY13" s="6">
        <v>0</v>
      </c>
      <c r="AZ13" s="3">
        <v>0</v>
      </c>
      <c r="BA13">
        <v>8</v>
      </c>
      <c r="BB13">
        <v>0</v>
      </c>
      <c r="BC13">
        <v>0</v>
      </c>
      <c r="BD13">
        <v>8</v>
      </c>
      <c r="BE13" s="2">
        <v>82819.550015294837</v>
      </c>
      <c r="BF13" s="6">
        <v>46.56</v>
      </c>
      <c r="BG13" s="6">
        <v>0</v>
      </c>
      <c r="BH13" s="6">
        <v>0</v>
      </c>
      <c r="BI13" s="6">
        <v>46.56</v>
      </c>
      <c r="BJ13" s="3">
        <v>24.650173002039349</v>
      </c>
      <c r="BK13" s="6">
        <v>2027.84</v>
      </c>
      <c r="BL13" s="6">
        <v>0</v>
      </c>
      <c r="BM13" s="6">
        <v>0</v>
      </c>
      <c r="BN13" s="6">
        <v>2027.84</v>
      </c>
      <c r="BO13" s="3">
        <v>31.41790288763092</v>
      </c>
      <c r="BP13" s="7">
        <v>224332.84</v>
      </c>
      <c r="BQ13" s="2">
        <v>30.096224199622611</v>
      </c>
      <c r="BR13" s="2">
        <v>130.41697153169801</v>
      </c>
    </row>
    <row r="14" spans="1:70" x14ac:dyDescent="0.3">
      <c r="A14">
        <f t="shared" si="0"/>
        <v>1987</v>
      </c>
      <c r="B14" s="1">
        <v>205008</v>
      </c>
      <c r="C14" s="2">
        <v>14494720.03644461</v>
      </c>
      <c r="D14" s="3">
        <v>70.703192248324996</v>
      </c>
      <c r="E14" s="1">
        <v>123004</v>
      </c>
      <c r="F14" s="4">
        <v>0.64167943790139303</v>
      </c>
      <c r="G14" s="4">
        <v>0.6033155243700582</v>
      </c>
      <c r="H14" s="4">
        <v>0.99996055794371319</v>
      </c>
      <c r="I14" s="4">
        <v>0.72881141235077596</v>
      </c>
      <c r="J14" s="5">
        <v>9.0497328655508724</v>
      </c>
      <c r="K14">
        <v>10713</v>
      </c>
      <c r="L14">
        <v>45867</v>
      </c>
      <c r="M14">
        <v>29187</v>
      </c>
      <c r="N14">
        <v>85767</v>
      </c>
      <c r="O14" s="6">
        <v>80347.5</v>
      </c>
      <c r="P14" s="6">
        <v>114667.5</v>
      </c>
      <c r="Q14" s="6">
        <v>35024.400000000001</v>
      </c>
      <c r="R14" s="6">
        <v>230039.4</v>
      </c>
      <c r="S14" s="2">
        <v>42.678333333333327</v>
      </c>
      <c r="T14" s="2">
        <v>24.363555555555561</v>
      </c>
      <c r="U14" s="2">
        <v>4.6509333333333336</v>
      </c>
      <c r="V14" s="2">
        <v>71.692822222222219</v>
      </c>
      <c r="W14">
        <v>64</v>
      </c>
      <c r="X14">
        <v>0</v>
      </c>
      <c r="Y14">
        <v>0</v>
      </c>
      <c r="Z14">
        <v>64</v>
      </c>
      <c r="AA14" s="2">
        <v>3516620.0607146649</v>
      </c>
      <c r="AB14" s="6">
        <v>1568</v>
      </c>
      <c r="AC14" s="6">
        <v>0</v>
      </c>
      <c r="AD14" s="6">
        <v>0</v>
      </c>
      <c r="AE14" s="6">
        <v>1568</v>
      </c>
      <c r="AF14" s="3">
        <v>7.2248294509664861</v>
      </c>
      <c r="AG14">
        <v>64</v>
      </c>
      <c r="AH14">
        <v>0</v>
      </c>
      <c r="AI14">
        <v>0</v>
      </c>
      <c r="AJ14">
        <v>64</v>
      </c>
      <c r="AK14" s="2">
        <v>10895096.13552431</v>
      </c>
      <c r="AL14" s="6">
        <v>496.64</v>
      </c>
      <c r="AM14" s="6">
        <v>0</v>
      </c>
      <c r="AN14" s="6">
        <v>0</v>
      </c>
      <c r="AO14" s="6">
        <v>496.64</v>
      </c>
      <c r="AP14" s="3">
        <v>0.26253369931221637</v>
      </c>
      <c r="AQ14">
        <v>0</v>
      </c>
      <c r="AR14">
        <v>0</v>
      </c>
      <c r="AS14">
        <v>0</v>
      </c>
      <c r="AT14">
        <v>0</v>
      </c>
      <c r="AU14" s="2">
        <v>0</v>
      </c>
      <c r="AV14" s="6">
        <v>0</v>
      </c>
      <c r="AW14" s="6">
        <v>0</v>
      </c>
      <c r="AX14" s="6">
        <v>0</v>
      </c>
      <c r="AY14" s="6">
        <v>0</v>
      </c>
      <c r="AZ14" s="3">
        <v>0</v>
      </c>
      <c r="BA14">
        <v>8</v>
      </c>
      <c r="BB14">
        <v>0</v>
      </c>
      <c r="BC14">
        <v>0</v>
      </c>
      <c r="BD14">
        <v>8</v>
      </c>
      <c r="BE14" s="2">
        <v>83003.840205633038</v>
      </c>
      <c r="BF14" s="6">
        <v>45.12</v>
      </c>
      <c r="BG14" s="6">
        <v>0</v>
      </c>
      <c r="BH14" s="6">
        <v>0</v>
      </c>
      <c r="BI14" s="6">
        <v>45.12</v>
      </c>
      <c r="BJ14" s="3">
        <v>26.749577323345271</v>
      </c>
      <c r="BK14" s="6">
        <v>2109.7600000000002</v>
      </c>
      <c r="BL14" s="6">
        <v>0</v>
      </c>
      <c r="BM14" s="6">
        <v>0</v>
      </c>
      <c r="BN14" s="6">
        <v>2109.7600000000002</v>
      </c>
      <c r="BO14" s="3">
        <v>34.236940473623967</v>
      </c>
      <c r="BP14" s="7">
        <v>232149.16</v>
      </c>
      <c r="BQ14" s="2">
        <v>31.778928808753861</v>
      </c>
      <c r="BR14" s="2">
        <v>137.70869150460001</v>
      </c>
    </row>
    <row r="15" spans="1:70" x14ac:dyDescent="0.3">
      <c r="A15">
        <f t="shared" si="0"/>
        <v>1988</v>
      </c>
      <c r="B15" s="1">
        <v>205778</v>
      </c>
      <c r="C15" s="2">
        <v>15319838.68108676</v>
      </c>
      <c r="D15" s="3">
        <v>74.448379715454323</v>
      </c>
      <c r="E15" s="1">
        <v>123466</v>
      </c>
      <c r="F15" s="4">
        <v>0.64944733042701086</v>
      </c>
      <c r="G15" s="4">
        <v>0.61625570774922978</v>
      </c>
      <c r="H15" s="4">
        <v>0.99998135056286397</v>
      </c>
      <c r="I15" s="4">
        <v>0.73694022693749484</v>
      </c>
      <c r="J15" s="5">
        <v>9.2438356162384459</v>
      </c>
      <c r="K15">
        <v>11520</v>
      </c>
      <c r="L15">
        <v>46707</v>
      </c>
      <c r="M15">
        <v>28807</v>
      </c>
      <c r="N15">
        <v>87034</v>
      </c>
      <c r="O15" s="6">
        <v>86400</v>
      </c>
      <c r="P15" s="6">
        <v>116767.5</v>
      </c>
      <c r="Q15" s="6">
        <v>34568.400000000001</v>
      </c>
      <c r="R15" s="6">
        <v>237735.9</v>
      </c>
      <c r="S15" s="2">
        <v>45.393333333333331</v>
      </c>
      <c r="T15" s="2">
        <v>24.540222222222219</v>
      </c>
      <c r="U15" s="2">
        <v>4.5406000000000004</v>
      </c>
      <c r="V15" s="2">
        <v>74.474155555555555</v>
      </c>
      <c r="W15">
        <v>67</v>
      </c>
      <c r="X15">
        <v>0</v>
      </c>
      <c r="Y15">
        <v>0</v>
      </c>
      <c r="Z15">
        <v>67</v>
      </c>
      <c r="AA15" s="2">
        <v>3730389.1385762771</v>
      </c>
      <c r="AB15" s="6">
        <v>1661.6</v>
      </c>
      <c r="AC15" s="6">
        <v>0</v>
      </c>
      <c r="AD15" s="6">
        <v>0</v>
      </c>
      <c r="AE15" s="6">
        <v>1661.6</v>
      </c>
      <c r="AF15" s="3">
        <v>7.9509172868240654</v>
      </c>
      <c r="AG15">
        <v>67</v>
      </c>
      <c r="AH15">
        <v>0</v>
      </c>
      <c r="AI15">
        <v>0</v>
      </c>
      <c r="AJ15">
        <v>67</v>
      </c>
      <c r="AK15" s="2">
        <v>11506388.02058154</v>
      </c>
      <c r="AL15" s="6">
        <v>519.91999999999996</v>
      </c>
      <c r="AM15" s="6">
        <v>0</v>
      </c>
      <c r="AN15" s="6">
        <v>0</v>
      </c>
      <c r="AO15" s="6">
        <v>519.91999999999996</v>
      </c>
      <c r="AP15" s="3">
        <v>0.27881555506025762</v>
      </c>
      <c r="AQ15">
        <v>0</v>
      </c>
      <c r="AR15">
        <v>0</v>
      </c>
      <c r="AS15">
        <v>0</v>
      </c>
      <c r="AT15">
        <v>0</v>
      </c>
      <c r="AU15" s="2">
        <v>0</v>
      </c>
      <c r="AV15" s="6">
        <v>0</v>
      </c>
      <c r="AW15" s="6">
        <v>0</v>
      </c>
      <c r="AX15" s="6">
        <v>0</v>
      </c>
      <c r="AY15" s="6">
        <v>0</v>
      </c>
      <c r="AZ15" s="3">
        <v>0</v>
      </c>
      <c r="BA15">
        <v>8</v>
      </c>
      <c r="BB15">
        <v>0</v>
      </c>
      <c r="BC15">
        <v>0</v>
      </c>
      <c r="BD15">
        <v>8</v>
      </c>
      <c r="BE15" s="2">
        <v>83061.521928943199</v>
      </c>
      <c r="BF15" s="6">
        <v>44.76</v>
      </c>
      <c r="BG15" s="6">
        <v>0</v>
      </c>
      <c r="BH15" s="6">
        <v>0</v>
      </c>
      <c r="BI15" s="6">
        <v>44.76</v>
      </c>
      <c r="BJ15" s="3">
        <v>28.906192936492278</v>
      </c>
      <c r="BK15" s="6">
        <v>2226.2800000000002</v>
      </c>
      <c r="BL15" s="6">
        <v>0</v>
      </c>
      <c r="BM15" s="6">
        <v>0</v>
      </c>
      <c r="BN15" s="6">
        <v>2226.2800000000002</v>
      </c>
      <c r="BO15" s="3">
        <v>37.135925778376603</v>
      </c>
      <c r="BP15" s="7">
        <v>239962.18</v>
      </c>
      <c r="BQ15" s="2">
        <v>33.483024400179637</v>
      </c>
      <c r="BR15" s="2">
        <v>145.09310573411179</v>
      </c>
    </row>
    <row r="16" spans="1:70" x14ac:dyDescent="0.3">
      <c r="A16">
        <f t="shared" si="0"/>
        <v>1989</v>
      </c>
      <c r="B16" s="1">
        <v>206528</v>
      </c>
      <c r="C16" s="2">
        <v>16169744.653022179</v>
      </c>
      <c r="D16" s="3">
        <v>78.293232167174324</v>
      </c>
      <c r="E16" s="1">
        <v>123916</v>
      </c>
      <c r="F16" s="4">
        <v>0.65702790453457216</v>
      </c>
      <c r="G16" s="4">
        <v>0.62868849928063208</v>
      </c>
      <c r="H16" s="4">
        <v>0.99999135608607703</v>
      </c>
      <c r="I16" s="4">
        <v>0.74474087757666252</v>
      </c>
      <c r="J16" s="5">
        <v>9.4303274892094819</v>
      </c>
      <c r="K16">
        <v>12336</v>
      </c>
      <c r="L16">
        <v>47505</v>
      </c>
      <c r="M16">
        <v>28413</v>
      </c>
      <c r="N16">
        <v>88254</v>
      </c>
      <c r="O16" s="6">
        <v>92520</v>
      </c>
      <c r="P16" s="6">
        <v>118762.5</v>
      </c>
      <c r="Q16" s="6">
        <v>34095.599999999999</v>
      </c>
      <c r="R16" s="6">
        <v>245378.1</v>
      </c>
      <c r="S16" s="2">
        <v>48.115000000000002</v>
      </c>
      <c r="T16" s="2">
        <v>24.704000000000001</v>
      </c>
      <c r="U16" s="2">
        <v>4.432666666666667</v>
      </c>
      <c r="V16" s="2">
        <v>77.251666666666665</v>
      </c>
      <c r="W16">
        <v>70</v>
      </c>
      <c r="X16">
        <v>0</v>
      </c>
      <c r="Y16">
        <v>0</v>
      </c>
      <c r="Z16">
        <v>70</v>
      </c>
      <c r="AA16" s="2">
        <v>3944628.6394372308</v>
      </c>
      <c r="AB16" s="6">
        <v>1708</v>
      </c>
      <c r="AC16" s="6">
        <v>0</v>
      </c>
      <c r="AD16" s="6">
        <v>0</v>
      </c>
      <c r="AE16" s="6">
        <v>1708</v>
      </c>
      <c r="AF16" s="3">
        <v>8.6994493441015628</v>
      </c>
      <c r="AG16">
        <v>70</v>
      </c>
      <c r="AH16">
        <v>0</v>
      </c>
      <c r="AI16">
        <v>0</v>
      </c>
      <c r="AJ16">
        <v>70</v>
      </c>
      <c r="AK16" s="2">
        <v>12142115.120673651</v>
      </c>
      <c r="AL16" s="6">
        <v>543.20000000000005</v>
      </c>
      <c r="AM16" s="6">
        <v>0</v>
      </c>
      <c r="AN16" s="6">
        <v>0</v>
      </c>
      <c r="AO16" s="6">
        <v>543.20000000000005</v>
      </c>
      <c r="AP16" s="3">
        <v>0.29598415287692781</v>
      </c>
      <c r="AQ16">
        <v>0</v>
      </c>
      <c r="AR16">
        <v>0</v>
      </c>
      <c r="AS16">
        <v>0</v>
      </c>
      <c r="AT16">
        <v>0</v>
      </c>
      <c r="AU16" s="2">
        <v>0</v>
      </c>
      <c r="AV16" s="6">
        <v>0</v>
      </c>
      <c r="AW16" s="6">
        <v>0</v>
      </c>
      <c r="AX16" s="6">
        <v>0</v>
      </c>
      <c r="AY16" s="6">
        <v>0</v>
      </c>
      <c r="AZ16" s="3">
        <v>0</v>
      </c>
      <c r="BA16">
        <v>8</v>
      </c>
      <c r="BB16">
        <v>0</v>
      </c>
      <c r="BC16">
        <v>0</v>
      </c>
      <c r="BD16">
        <v>8</v>
      </c>
      <c r="BE16" s="2">
        <v>83000.892911292292</v>
      </c>
      <c r="BF16" s="6">
        <v>46.92</v>
      </c>
      <c r="BG16" s="6">
        <v>0</v>
      </c>
      <c r="BH16" s="6">
        <v>0</v>
      </c>
      <c r="BI16" s="6">
        <v>46.92</v>
      </c>
      <c r="BJ16" s="3">
        <v>31.122186536538639</v>
      </c>
      <c r="BK16" s="6">
        <v>2298.12</v>
      </c>
      <c r="BL16" s="6">
        <v>0</v>
      </c>
      <c r="BM16" s="6">
        <v>0</v>
      </c>
      <c r="BN16" s="6">
        <v>2298.12</v>
      </c>
      <c r="BO16" s="3">
        <v>40.117620033517127</v>
      </c>
      <c r="BP16" s="7">
        <v>247676.22</v>
      </c>
      <c r="BQ16" s="2">
        <v>35.210786010055138</v>
      </c>
      <c r="BR16" s="2">
        <v>152.58007271023891</v>
      </c>
    </row>
    <row r="17" spans="1:70" x14ac:dyDescent="0.3">
      <c r="A17">
        <f t="shared" si="0"/>
        <v>1990</v>
      </c>
      <c r="B17" s="1">
        <v>207267</v>
      </c>
      <c r="C17" s="2">
        <v>17045468.3605689</v>
      </c>
      <c r="D17" s="3">
        <v>82.239181155557318</v>
      </c>
      <c r="E17" s="1">
        <v>124360</v>
      </c>
      <c r="F17" s="4">
        <v>0.66443199171374667</v>
      </c>
      <c r="G17" s="4">
        <v>0.64063379408318588</v>
      </c>
      <c r="H17" s="4">
        <v>0.99999607380642463</v>
      </c>
      <c r="I17" s="4">
        <v>0.7522338828897317</v>
      </c>
      <c r="J17" s="5">
        <v>9.609506911247788</v>
      </c>
      <c r="K17">
        <v>13161</v>
      </c>
      <c r="L17">
        <v>48264</v>
      </c>
      <c r="M17">
        <v>28007</v>
      </c>
      <c r="N17">
        <v>89432</v>
      </c>
      <c r="O17" s="6">
        <v>98707.5</v>
      </c>
      <c r="P17" s="6">
        <v>120660</v>
      </c>
      <c r="Q17" s="6">
        <v>33608.400000000001</v>
      </c>
      <c r="R17" s="6">
        <v>252975.9</v>
      </c>
      <c r="S17" s="2">
        <v>50.835000000000001</v>
      </c>
      <c r="T17" s="2">
        <v>24.856666666666669</v>
      </c>
      <c r="U17" s="2">
        <v>4.3272666666666666</v>
      </c>
      <c r="V17" s="2">
        <v>80.018933333333337</v>
      </c>
      <c r="W17">
        <v>73</v>
      </c>
      <c r="X17">
        <v>0</v>
      </c>
      <c r="Y17">
        <v>0</v>
      </c>
      <c r="Z17">
        <v>73</v>
      </c>
      <c r="AA17" s="2">
        <v>4159640.3508833372</v>
      </c>
      <c r="AB17" s="6">
        <v>1759.3</v>
      </c>
      <c r="AC17" s="6">
        <v>0</v>
      </c>
      <c r="AD17" s="6">
        <v>0</v>
      </c>
      <c r="AE17" s="6">
        <v>1759.3</v>
      </c>
      <c r="AF17" s="3">
        <v>9.4710619556972429</v>
      </c>
      <c r="AG17">
        <v>73</v>
      </c>
      <c r="AH17">
        <v>0</v>
      </c>
      <c r="AI17">
        <v>0</v>
      </c>
      <c r="AJ17">
        <v>73</v>
      </c>
      <c r="AK17" s="2">
        <v>12802999.46809667</v>
      </c>
      <c r="AL17" s="6">
        <v>566.48</v>
      </c>
      <c r="AM17" s="6">
        <v>0</v>
      </c>
      <c r="AN17" s="6">
        <v>0</v>
      </c>
      <c r="AO17" s="6">
        <v>566.48</v>
      </c>
      <c r="AP17" s="3">
        <v>0.31405420271232359</v>
      </c>
      <c r="AQ17">
        <v>0</v>
      </c>
      <c r="AR17">
        <v>0</v>
      </c>
      <c r="AS17">
        <v>0</v>
      </c>
      <c r="AT17">
        <v>0</v>
      </c>
      <c r="AU17" s="2">
        <v>0</v>
      </c>
      <c r="AV17" s="6">
        <v>0</v>
      </c>
      <c r="AW17" s="6">
        <v>0</v>
      </c>
      <c r="AX17" s="6">
        <v>0</v>
      </c>
      <c r="AY17" s="6">
        <v>0</v>
      </c>
      <c r="AZ17" s="3">
        <v>0</v>
      </c>
      <c r="BA17">
        <v>8</v>
      </c>
      <c r="BB17">
        <v>0</v>
      </c>
      <c r="BC17">
        <v>0</v>
      </c>
      <c r="BD17">
        <v>8</v>
      </c>
      <c r="BE17" s="2">
        <v>82828.541588892447</v>
      </c>
      <c r="BF17" s="6">
        <v>46.2</v>
      </c>
      <c r="BG17" s="6">
        <v>0</v>
      </c>
      <c r="BH17" s="6">
        <v>0</v>
      </c>
      <c r="BI17" s="6">
        <v>46.2</v>
      </c>
      <c r="BJ17" s="3">
        <v>33.399882767225513</v>
      </c>
      <c r="BK17" s="6">
        <v>2371.98</v>
      </c>
      <c r="BL17" s="6">
        <v>0</v>
      </c>
      <c r="BM17" s="6">
        <v>0</v>
      </c>
      <c r="BN17" s="6">
        <v>2371.98</v>
      </c>
      <c r="BO17" s="3">
        <v>43.184998925635071</v>
      </c>
      <c r="BP17" s="7">
        <v>255347.88</v>
      </c>
      <c r="BQ17" s="2">
        <v>36.961179677690517</v>
      </c>
      <c r="BR17" s="2">
        <v>160.16511193665889</v>
      </c>
    </row>
    <row r="18" spans="1:70" x14ac:dyDescent="0.3">
      <c r="A18">
        <f t="shared" si="0"/>
        <v>1991</v>
      </c>
      <c r="B18" s="1">
        <v>208001</v>
      </c>
      <c r="C18" s="2">
        <v>17947732.305498369</v>
      </c>
      <c r="D18" s="3">
        <v>86.286759705474324</v>
      </c>
      <c r="E18" s="1">
        <v>124800</v>
      </c>
      <c r="F18" s="4">
        <v>0.67166900616389213</v>
      </c>
      <c r="G18" s="4">
        <v>0.65211070717704078</v>
      </c>
      <c r="H18" s="4">
        <v>0.99999825255124586</v>
      </c>
      <c r="I18" s="4">
        <v>0.75943736359265657</v>
      </c>
      <c r="J18" s="5">
        <v>9.7816606076556116</v>
      </c>
      <c r="K18">
        <v>13991</v>
      </c>
      <c r="L18">
        <v>48985</v>
      </c>
      <c r="M18">
        <v>27592</v>
      </c>
      <c r="N18">
        <v>90568</v>
      </c>
      <c r="O18" s="6">
        <v>104932.5</v>
      </c>
      <c r="P18" s="6">
        <v>122462.5</v>
      </c>
      <c r="Q18" s="6">
        <v>33110.400000000001</v>
      </c>
      <c r="R18" s="6">
        <v>260505.4</v>
      </c>
      <c r="S18" s="2">
        <v>53.553333333333327</v>
      </c>
      <c r="T18" s="2">
        <v>25</v>
      </c>
      <c r="U18" s="2">
        <v>4.2244666666666664</v>
      </c>
      <c r="V18" s="2">
        <v>82.777800000000013</v>
      </c>
      <c r="W18">
        <v>76</v>
      </c>
      <c r="X18">
        <v>0</v>
      </c>
      <c r="Y18">
        <v>0</v>
      </c>
      <c r="Z18">
        <v>76</v>
      </c>
      <c r="AA18" s="2">
        <v>4375621.5100234617</v>
      </c>
      <c r="AB18" s="6">
        <v>1839.2</v>
      </c>
      <c r="AC18" s="6">
        <v>0</v>
      </c>
      <c r="AD18" s="6">
        <v>0</v>
      </c>
      <c r="AE18" s="6">
        <v>1839.2</v>
      </c>
      <c r="AF18" s="3">
        <v>10.26643570720092</v>
      </c>
      <c r="AG18">
        <v>76</v>
      </c>
      <c r="AH18">
        <v>0</v>
      </c>
      <c r="AI18">
        <v>0</v>
      </c>
      <c r="AJ18">
        <v>76</v>
      </c>
      <c r="AK18" s="2">
        <v>13489562.57002889</v>
      </c>
      <c r="AL18" s="6">
        <v>589.76</v>
      </c>
      <c r="AM18" s="6">
        <v>0</v>
      </c>
      <c r="AN18" s="6">
        <v>0</v>
      </c>
      <c r="AO18" s="6">
        <v>589.76</v>
      </c>
      <c r="AP18" s="3">
        <v>0.33304169056523542</v>
      </c>
      <c r="AQ18">
        <v>0</v>
      </c>
      <c r="AR18">
        <v>0</v>
      </c>
      <c r="AS18">
        <v>0</v>
      </c>
      <c r="AT18">
        <v>0</v>
      </c>
      <c r="AU18" s="2">
        <v>0</v>
      </c>
      <c r="AV18" s="6">
        <v>0</v>
      </c>
      <c r="AW18" s="6">
        <v>0</v>
      </c>
      <c r="AX18" s="6">
        <v>0</v>
      </c>
      <c r="AY18" s="6">
        <v>0</v>
      </c>
      <c r="AZ18" s="3">
        <v>0</v>
      </c>
      <c r="BA18">
        <v>8</v>
      </c>
      <c r="BB18">
        <v>0</v>
      </c>
      <c r="BC18">
        <v>0</v>
      </c>
      <c r="BD18">
        <v>8</v>
      </c>
      <c r="BE18" s="2">
        <v>82548.225446020704</v>
      </c>
      <c r="BF18" s="6">
        <v>46.2</v>
      </c>
      <c r="BG18" s="6">
        <v>0</v>
      </c>
      <c r="BH18" s="6">
        <v>0</v>
      </c>
      <c r="BI18" s="6">
        <v>46.2</v>
      </c>
      <c r="BJ18" s="3">
        <v>35.741717277359257</v>
      </c>
      <c r="BK18" s="6">
        <v>2475.16</v>
      </c>
      <c r="BL18" s="6">
        <v>0</v>
      </c>
      <c r="BM18" s="6">
        <v>0</v>
      </c>
      <c r="BN18" s="6">
        <v>2475.16</v>
      </c>
      <c r="BO18" s="3">
        <v>46.341194675125408</v>
      </c>
      <c r="BP18" s="7">
        <v>262980.56</v>
      </c>
      <c r="BQ18" s="2">
        <v>38.735698402537622</v>
      </c>
      <c r="BR18" s="2">
        <v>167.854693077663</v>
      </c>
    </row>
    <row r="19" spans="1:70" x14ac:dyDescent="0.3">
      <c r="A19">
        <f t="shared" si="0"/>
        <v>1992</v>
      </c>
      <c r="B19" s="1">
        <v>208734</v>
      </c>
      <c r="C19" s="2">
        <v>18877467.398161869</v>
      </c>
      <c r="D19" s="3">
        <v>90.437913316287066</v>
      </c>
      <c r="E19" s="1">
        <v>125240</v>
      </c>
      <c r="F19" s="4">
        <v>0.67874795348684624</v>
      </c>
      <c r="G19" s="4">
        <v>0.66313760407168565</v>
      </c>
      <c r="H19" s="4">
        <v>0.99999923820125103</v>
      </c>
      <c r="I19" s="4">
        <v>0.7663678654211431</v>
      </c>
      <c r="J19" s="5">
        <v>9.9470640610752845</v>
      </c>
      <c r="K19">
        <v>14825</v>
      </c>
      <c r="L19">
        <v>49668</v>
      </c>
      <c r="M19">
        <v>27167</v>
      </c>
      <c r="N19">
        <v>91660</v>
      </c>
      <c r="O19" s="6">
        <v>111187.5</v>
      </c>
      <c r="P19" s="6">
        <v>124170</v>
      </c>
      <c r="Q19" s="6">
        <v>32600.400000000001</v>
      </c>
      <c r="R19" s="6">
        <v>267957.90000000002</v>
      </c>
      <c r="S19" s="2">
        <v>56.266666666666673</v>
      </c>
      <c r="T19" s="2">
        <v>25.134888888888892</v>
      </c>
      <c r="U19" s="2">
        <v>4.1243999999999996</v>
      </c>
      <c r="V19" s="2">
        <v>85.525955555555541</v>
      </c>
      <c r="W19">
        <v>79</v>
      </c>
      <c r="X19">
        <v>0</v>
      </c>
      <c r="Y19">
        <v>0</v>
      </c>
      <c r="Z19">
        <v>79</v>
      </c>
      <c r="AA19" s="2">
        <v>4592774.1979174921</v>
      </c>
      <c r="AB19" s="6">
        <v>1959.2</v>
      </c>
      <c r="AC19" s="6">
        <v>0</v>
      </c>
      <c r="AD19" s="6">
        <v>0</v>
      </c>
      <c r="AE19" s="6">
        <v>1959.2</v>
      </c>
      <c r="AF19" s="3">
        <v>11.086268149208729</v>
      </c>
      <c r="AG19">
        <v>79</v>
      </c>
      <c r="AH19">
        <v>0</v>
      </c>
      <c r="AI19">
        <v>0</v>
      </c>
      <c r="AJ19">
        <v>79</v>
      </c>
      <c r="AK19" s="2">
        <v>14202528.68094812</v>
      </c>
      <c r="AL19" s="6">
        <v>609.88</v>
      </c>
      <c r="AM19" s="6">
        <v>0</v>
      </c>
      <c r="AN19" s="6">
        <v>0</v>
      </c>
      <c r="AO19" s="6">
        <v>609.88</v>
      </c>
      <c r="AP19" s="3">
        <v>0.35296332702410887</v>
      </c>
      <c r="AQ19">
        <v>0</v>
      </c>
      <c r="AR19">
        <v>0</v>
      </c>
      <c r="AS19">
        <v>0</v>
      </c>
      <c r="AT19">
        <v>0</v>
      </c>
      <c r="AU19" s="2">
        <v>0</v>
      </c>
      <c r="AV19" s="6">
        <v>0</v>
      </c>
      <c r="AW19" s="6">
        <v>0</v>
      </c>
      <c r="AX19" s="6">
        <v>0</v>
      </c>
      <c r="AY19" s="6">
        <v>0</v>
      </c>
      <c r="AZ19" s="3">
        <v>0</v>
      </c>
      <c r="BA19">
        <v>8</v>
      </c>
      <c r="BB19">
        <v>0</v>
      </c>
      <c r="BC19">
        <v>0</v>
      </c>
      <c r="BD19">
        <v>8</v>
      </c>
      <c r="BE19" s="2">
        <v>82164.519296250175</v>
      </c>
      <c r="BF19" s="6">
        <v>45.84</v>
      </c>
      <c r="BG19" s="6">
        <v>0</v>
      </c>
      <c r="BH19" s="6">
        <v>0</v>
      </c>
      <c r="BI19" s="6">
        <v>45.84</v>
      </c>
      <c r="BJ19" s="3">
        <v>38.150122984789448</v>
      </c>
      <c r="BK19" s="6">
        <v>2614.92</v>
      </c>
      <c r="BL19" s="6">
        <v>0</v>
      </c>
      <c r="BM19" s="6">
        <v>0</v>
      </c>
      <c r="BN19" s="6">
        <v>2614.92</v>
      </c>
      <c r="BO19" s="3">
        <v>49.589354461022303</v>
      </c>
      <c r="BP19" s="7">
        <v>270572.82</v>
      </c>
      <c r="BQ19" s="2">
        <v>40.534593004973352</v>
      </c>
      <c r="BR19" s="2">
        <v>175.64990302155121</v>
      </c>
    </row>
    <row r="20" spans="1:70" x14ac:dyDescent="0.3">
      <c r="A20">
        <f t="shared" si="0"/>
        <v>1993</v>
      </c>
      <c r="B20" s="1">
        <v>209467</v>
      </c>
      <c r="C20" s="2">
        <v>19835249.812026259</v>
      </c>
      <c r="D20" s="3">
        <v>94.693912702364869</v>
      </c>
      <c r="E20" s="1">
        <v>125680</v>
      </c>
      <c r="F20" s="4">
        <v>0.68567695523429706</v>
      </c>
      <c r="G20" s="4">
        <v>0.6737321301546817</v>
      </c>
      <c r="H20" s="4">
        <v>0.99999967478614815</v>
      </c>
      <c r="I20" s="4">
        <v>0.77304045807283528</v>
      </c>
      <c r="J20" s="5">
        <v>10.10598195232023</v>
      </c>
      <c r="K20">
        <v>15660</v>
      </c>
      <c r="L20">
        <v>50316</v>
      </c>
      <c r="M20">
        <v>26734</v>
      </c>
      <c r="N20">
        <v>92710</v>
      </c>
      <c r="O20" s="6">
        <v>117450</v>
      </c>
      <c r="P20" s="6">
        <v>125790</v>
      </c>
      <c r="Q20" s="6">
        <v>32080.799999999999</v>
      </c>
      <c r="R20" s="6">
        <v>275320.8</v>
      </c>
      <c r="S20" s="2">
        <v>58.97</v>
      </c>
      <c r="T20" s="2">
        <v>25.262444444444441</v>
      </c>
      <c r="U20" s="2">
        <v>4.0267999999999997</v>
      </c>
      <c r="V20" s="2">
        <v>88.259244444444434</v>
      </c>
      <c r="W20">
        <v>82</v>
      </c>
      <c r="X20">
        <v>0</v>
      </c>
      <c r="Y20">
        <v>0</v>
      </c>
      <c r="Z20">
        <v>82</v>
      </c>
      <c r="AA20" s="2">
        <v>4811199.4868755667</v>
      </c>
      <c r="AB20" s="6">
        <v>1976.2</v>
      </c>
      <c r="AC20" s="6">
        <v>0</v>
      </c>
      <c r="AD20" s="6">
        <v>0</v>
      </c>
      <c r="AE20" s="6">
        <v>1976.2</v>
      </c>
      <c r="AF20" s="3">
        <v>11.93128945210916</v>
      </c>
      <c r="AG20">
        <v>82</v>
      </c>
      <c r="AH20">
        <v>0</v>
      </c>
      <c r="AI20">
        <v>0</v>
      </c>
      <c r="AJ20">
        <v>82</v>
      </c>
      <c r="AK20" s="2">
        <v>14942371.009418029</v>
      </c>
      <c r="AL20" s="6">
        <v>639.6</v>
      </c>
      <c r="AM20" s="6">
        <v>0</v>
      </c>
      <c r="AN20" s="6">
        <v>0</v>
      </c>
      <c r="AO20" s="6">
        <v>639.6</v>
      </c>
      <c r="AP20" s="3">
        <v>0.37383687287698869</v>
      </c>
      <c r="AQ20">
        <v>0</v>
      </c>
      <c r="AR20">
        <v>0</v>
      </c>
      <c r="AS20">
        <v>0</v>
      </c>
      <c r="AT20">
        <v>0</v>
      </c>
      <c r="AU20" s="2">
        <v>0</v>
      </c>
      <c r="AV20" s="6">
        <v>0</v>
      </c>
      <c r="AW20" s="6">
        <v>0</v>
      </c>
      <c r="AX20" s="6">
        <v>0</v>
      </c>
      <c r="AY20" s="6">
        <v>0</v>
      </c>
      <c r="AZ20" s="3">
        <v>0</v>
      </c>
      <c r="BA20">
        <v>8</v>
      </c>
      <c r="BB20">
        <v>0</v>
      </c>
      <c r="BC20">
        <v>0</v>
      </c>
      <c r="BD20">
        <v>8</v>
      </c>
      <c r="BE20" s="2">
        <v>81679.315732662217</v>
      </c>
      <c r="BF20" s="6">
        <v>45.12</v>
      </c>
      <c r="BG20" s="6">
        <v>0</v>
      </c>
      <c r="BH20" s="6">
        <v>0</v>
      </c>
      <c r="BI20" s="6">
        <v>45.12</v>
      </c>
      <c r="BJ20" s="3">
        <v>40.627599819031133</v>
      </c>
      <c r="BK20" s="6">
        <v>2660.92</v>
      </c>
      <c r="BL20" s="6">
        <v>0</v>
      </c>
      <c r="BM20" s="6">
        <v>0</v>
      </c>
      <c r="BN20" s="6">
        <v>2660.92</v>
      </c>
      <c r="BO20" s="3">
        <v>52.93272614401728</v>
      </c>
      <c r="BP20" s="7">
        <v>277981.71999999997</v>
      </c>
      <c r="BQ20" s="2">
        <v>42.357591176538513</v>
      </c>
      <c r="BR20" s="2">
        <v>183.54956176500019</v>
      </c>
    </row>
    <row r="21" spans="1:70" x14ac:dyDescent="0.3">
      <c r="A21">
        <f t="shared" si="0"/>
        <v>1994</v>
      </c>
      <c r="B21" s="1">
        <v>210201</v>
      </c>
      <c r="C21" s="2">
        <v>20821641.697209481</v>
      </c>
      <c r="D21" s="3">
        <v>99.055864135800903</v>
      </c>
      <c r="E21" s="1">
        <v>126120</v>
      </c>
      <c r="F21" s="4">
        <v>0.69246318113529071</v>
      </c>
      <c r="G21" s="4">
        <v>0.6839112389280485</v>
      </c>
      <c r="H21" s="4">
        <v>0.99999986407641217</v>
      </c>
      <c r="I21" s="4">
        <v>0.7794688953825375</v>
      </c>
      <c r="J21" s="5">
        <v>10.258668583920731</v>
      </c>
      <c r="K21">
        <v>16495</v>
      </c>
      <c r="L21">
        <v>50928</v>
      </c>
      <c r="M21">
        <v>26295</v>
      </c>
      <c r="N21">
        <v>93718</v>
      </c>
      <c r="O21" s="6">
        <v>123712.5</v>
      </c>
      <c r="P21" s="6">
        <v>127320</v>
      </c>
      <c r="Q21" s="6">
        <v>31554</v>
      </c>
      <c r="R21" s="6">
        <v>282586.5</v>
      </c>
      <c r="S21" s="2">
        <v>61.66</v>
      </c>
      <c r="T21" s="2">
        <v>25.38355555555556</v>
      </c>
      <c r="U21" s="2">
        <v>3.9318666666666671</v>
      </c>
      <c r="V21" s="2">
        <v>90.975422222222221</v>
      </c>
      <c r="W21">
        <v>85</v>
      </c>
      <c r="X21">
        <v>0</v>
      </c>
      <c r="Y21">
        <v>0</v>
      </c>
      <c r="Z21">
        <v>85</v>
      </c>
      <c r="AA21" s="2">
        <v>5030968.2288549161</v>
      </c>
      <c r="AB21" s="6">
        <v>2074</v>
      </c>
      <c r="AC21" s="6">
        <v>0</v>
      </c>
      <c r="AD21" s="6">
        <v>0</v>
      </c>
      <c r="AE21" s="6">
        <v>2074</v>
      </c>
      <c r="AF21" s="3">
        <v>12.80223206994471</v>
      </c>
      <c r="AG21">
        <v>85</v>
      </c>
      <c r="AH21">
        <v>0</v>
      </c>
      <c r="AI21">
        <v>0</v>
      </c>
      <c r="AJ21">
        <v>85</v>
      </c>
      <c r="AK21" s="2">
        <v>15709579.21017826</v>
      </c>
      <c r="AL21" s="6">
        <v>649.4</v>
      </c>
      <c r="AM21" s="6">
        <v>0</v>
      </c>
      <c r="AN21" s="6">
        <v>0</v>
      </c>
      <c r="AO21" s="6">
        <v>649.4</v>
      </c>
      <c r="AP21" s="3">
        <v>0.39568051637738949</v>
      </c>
      <c r="AQ21">
        <v>0</v>
      </c>
      <c r="AR21">
        <v>0</v>
      </c>
      <c r="AS21">
        <v>0</v>
      </c>
      <c r="AT21">
        <v>0</v>
      </c>
      <c r="AU21" s="2">
        <v>0</v>
      </c>
      <c r="AV21" s="6">
        <v>0</v>
      </c>
      <c r="AW21" s="6">
        <v>0</v>
      </c>
      <c r="AX21" s="6">
        <v>0</v>
      </c>
      <c r="AY21" s="6">
        <v>0</v>
      </c>
      <c r="AZ21" s="3">
        <v>0</v>
      </c>
      <c r="BA21">
        <v>7</v>
      </c>
      <c r="BB21">
        <v>0</v>
      </c>
      <c r="BC21">
        <v>0</v>
      </c>
      <c r="BD21">
        <v>7</v>
      </c>
      <c r="BE21" s="2">
        <v>81094.258176306685</v>
      </c>
      <c r="BF21" s="6">
        <v>39.164999999999999</v>
      </c>
      <c r="BG21" s="6">
        <v>0</v>
      </c>
      <c r="BH21" s="6">
        <v>0</v>
      </c>
      <c r="BI21" s="6">
        <v>39.164999999999999</v>
      </c>
      <c r="BJ21" s="3">
        <v>43.176589774470109</v>
      </c>
      <c r="BK21" s="6">
        <v>2762.5650000000001</v>
      </c>
      <c r="BL21" s="6">
        <v>0</v>
      </c>
      <c r="BM21" s="6">
        <v>0</v>
      </c>
      <c r="BN21" s="6">
        <v>2762.5650000000001</v>
      </c>
      <c r="BO21" s="3">
        <v>56.374502360792214</v>
      </c>
      <c r="BP21" s="7">
        <v>285349.065</v>
      </c>
      <c r="BQ21" s="2">
        <v>44.204977374904317</v>
      </c>
      <c r="BR21" s="2">
        <v>191.55490195791879</v>
      </c>
    </row>
    <row r="22" spans="1:70" x14ac:dyDescent="0.3">
      <c r="A22">
        <f t="shared" si="0"/>
        <v>1995</v>
      </c>
      <c r="B22" s="1">
        <v>210937</v>
      </c>
      <c r="C22" s="2">
        <v>21837425.828988168</v>
      </c>
      <c r="D22" s="3">
        <v>103.5258196949239</v>
      </c>
      <c r="E22" s="1">
        <v>126562</v>
      </c>
      <c r="F22" s="4">
        <v>0.69911456508640635</v>
      </c>
      <c r="G22" s="4">
        <v>0.69369121913748188</v>
      </c>
      <c r="H22" s="4">
        <v>0.99999994440452344</v>
      </c>
      <c r="I22" s="4">
        <v>0.7856663891263439</v>
      </c>
      <c r="J22" s="5">
        <v>10.405368287062229</v>
      </c>
      <c r="K22">
        <v>17327</v>
      </c>
      <c r="L22">
        <v>51506</v>
      </c>
      <c r="M22">
        <v>25850</v>
      </c>
      <c r="N22">
        <v>94683</v>
      </c>
      <c r="O22" s="6">
        <v>129952.5</v>
      </c>
      <c r="P22" s="6">
        <v>128765</v>
      </c>
      <c r="Q22" s="6">
        <v>31020</v>
      </c>
      <c r="R22" s="6">
        <v>289737.5</v>
      </c>
      <c r="S22" s="2">
        <v>64.336666666666673</v>
      </c>
      <c r="T22" s="2">
        <v>25.498666666666669</v>
      </c>
      <c r="U22" s="2">
        <v>3.8393333333333328</v>
      </c>
      <c r="V22" s="2">
        <v>93.674666666666667</v>
      </c>
      <c r="W22">
        <v>87</v>
      </c>
      <c r="X22">
        <v>0</v>
      </c>
      <c r="Y22">
        <v>0</v>
      </c>
      <c r="Z22">
        <v>87</v>
      </c>
      <c r="AA22" s="2">
        <v>5252171.6760054454</v>
      </c>
      <c r="AB22" s="6">
        <v>2122.8000000000002</v>
      </c>
      <c r="AC22" s="6">
        <v>0</v>
      </c>
      <c r="AD22" s="6">
        <v>0</v>
      </c>
      <c r="AE22" s="6">
        <v>2122.8000000000002</v>
      </c>
      <c r="AF22" s="3">
        <v>13.69982948152478</v>
      </c>
      <c r="AG22">
        <v>87</v>
      </c>
      <c r="AH22">
        <v>0</v>
      </c>
      <c r="AI22">
        <v>0</v>
      </c>
      <c r="AJ22">
        <v>87</v>
      </c>
      <c r="AK22" s="2">
        <v>16504842.22665997</v>
      </c>
      <c r="AL22" s="6">
        <v>668.16</v>
      </c>
      <c r="AM22" s="6">
        <v>0</v>
      </c>
      <c r="AN22" s="6">
        <v>0</v>
      </c>
      <c r="AO22" s="6">
        <v>668.16</v>
      </c>
      <c r="AP22" s="3">
        <v>0.41851283704808362</v>
      </c>
      <c r="AQ22">
        <v>0</v>
      </c>
      <c r="AR22">
        <v>0</v>
      </c>
      <c r="AS22">
        <v>0</v>
      </c>
      <c r="AT22">
        <v>0</v>
      </c>
      <c r="AU22" s="2">
        <v>0</v>
      </c>
      <c r="AV22" s="6">
        <v>0</v>
      </c>
      <c r="AW22" s="6">
        <v>0</v>
      </c>
      <c r="AX22" s="6">
        <v>0</v>
      </c>
      <c r="AY22" s="6">
        <v>0</v>
      </c>
      <c r="AZ22" s="3">
        <v>0</v>
      </c>
      <c r="BA22">
        <v>7</v>
      </c>
      <c r="BB22">
        <v>0</v>
      </c>
      <c r="BC22">
        <v>0</v>
      </c>
      <c r="BD22">
        <v>7</v>
      </c>
      <c r="BE22" s="2">
        <v>80411.926322749263</v>
      </c>
      <c r="BF22" s="6">
        <v>39.164999999999999</v>
      </c>
      <c r="BG22" s="6">
        <v>0</v>
      </c>
      <c r="BH22" s="6">
        <v>0</v>
      </c>
      <c r="BI22" s="6">
        <v>39.164999999999999</v>
      </c>
      <c r="BJ22" s="3">
        <v>45.799478029426261</v>
      </c>
      <c r="BK22" s="6">
        <v>2830.125</v>
      </c>
      <c r="BL22" s="6">
        <v>0</v>
      </c>
      <c r="BM22" s="6">
        <v>0</v>
      </c>
      <c r="BN22" s="6">
        <v>2830.125</v>
      </c>
      <c r="BO22" s="3">
        <v>59.917820347999132</v>
      </c>
      <c r="BP22" s="7">
        <v>292567.625</v>
      </c>
      <c r="BQ22" s="2">
        <v>46.077746104399729</v>
      </c>
      <c r="BR22" s="2">
        <v>199.6702331190655</v>
      </c>
    </row>
    <row r="23" spans="1:70" x14ac:dyDescent="0.3">
      <c r="A23">
        <f t="shared" si="0"/>
        <v>1996</v>
      </c>
      <c r="B23" s="1">
        <v>211675</v>
      </c>
      <c r="C23" s="2">
        <v>22883069.467942119</v>
      </c>
      <c r="D23" s="3">
        <v>108.1047335204541</v>
      </c>
      <c r="E23" s="1">
        <v>127005</v>
      </c>
      <c r="F23" s="4">
        <v>0.70563675634034317</v>
      </c>
      <c r="G23" s="4">
        <v>0.70308772083782423</v>
      </c>
      <c r="H23" s="4">
        <v>0.99999997775050953</v>
      </c>
      <c r="I23" s="4">
        <v>0.79164456198471633</v>
      </c>
      <c r="J23" s="5">
        <v>10.546315812567361</v>
      </c>
      <c r="K23">
        <v>18156</v>
      </c>
      <c r="L23">
        <v>52051</v>
      </c>
      <c r="M23">
        <v>25402</v>
      </c>
      <c r="N23">
        <v>95609</v>
      </c>
      <c r="O23" s="6">
        <v>136170</v>
      </c>
      <c r="P23" s="6">
        <v>130127.5</v>
      </c>
      <c r="Q23" s="6">
        <v>30482.400000000001</v>
      </c>
      <c r="R23" s="6">
        <v>296779.90000000002</v>
      </c>
      <c r="S23" s="2">
        <v>66.995000000000005</v>
      </c>
      <c r="T23" s="2">
        <v>25.608444444444441</v>
      </c>
      <c r="U23" s="2">
        <v>3.7492000000000001</v>
      </c>
      <c r="V23" s="2">
        <v>96.352644444444451</v>
      </c>
      <c r="W23">
        <v>90</v>
      </c>
      <c r="X23">
        <v>0</v>
      </c>
      <c r="Y23">
        <v>0</v>
      </c>
      <c r="Z23">
        <v>90</v>
      </c>
      <c r="AA23" s="2">
        <v>5474818.6943548108</v>
      </c>
      <c r="AB23" s="6">
        <v>2169</v>
      </c>
      <c r="AC23" s="6">
        <v>0</v>
      </c>
      <c r="AD23" s="6">
        <v>0</v>
      </c>
      <c r="AE23" s="6">
        <v>2169</v>
      </c>
      <c r="AF23" s="3">
        <v>14.62483377895235</v>
      </c>
      <c r="AG23">
        <v>90</v>
      </c>
      <c r="AH23">
        <v>0</v>
      </c>
      <c r="AI23">
        <v>0</v>
      </c>
      <c r="AJ23">
        <v>90</v>
      </c>
      <c r="AK23" s="2">
        <v>17328617.789555609</v>
      </c>
      <c r="AL23" s="6">
        <v>691.2</v>
      </c>
      <c r="AM23" s="6">
        <v>0</v>
      </c>
      <c r="AN23" s="6">
        <v>0</v>
      </c>
      <c r="AO23" s="6">
        <v>691.2</v>
      </c>
      <c r="AP23" s="3">
        <v>0.44235316165162142</v>
      </c>
      <c r="AQ23">
        <v>0</v>
      </c>
      <c r="AR23">
        <v>0</v>
      </c>
      <c r="AS23">
        <v>0</v>
      </c>
      <c r="AT23">
        <v>0</v>
      </c>
      <c r="AU23" s="2">
        <v>0</v>
      </c>
      <c r="AV23" s="6">
        <v>0</v>
      </c>
      <c r="AW23" s="6">
        <v>0</v>
      </c>
      <c r="AX23" s="6">
        <v>0</v>
      </c>
      <c r="AY23" s="6">
        <v>0</v>
      </c>
      <c r="AZ23" s="3">
        <v>0</v>
      </c>
      <c r="BA23">
        <v>7</v>
      </c>
      <c r="BB23">
        <v>0</v>
      </c>
      <c r="BC23">
        <v>0</v>
      </c>
      <c r="BD23">
        <v>7</v>
      </c>
      <c r="BE23" s="2">
        <v>79632.984031698958</v>
      </c>
      <c r="BF23" s="6">
        <v>41.37</v>
      </c>
      <c r="BG23" s="6">
        <v>0</v>
      </c>
      <c r="BH23" s="6">
        <v>0</v>
      </c>
      <c r="BI23" s="6">
        <v>41.37</v>
      </c>
      <c r="BJ23" s="3">
        <v>48.49867216947969</v>
      </c>
      <c r="BK23" s="6">
        <v>2901.57</v>
      </c>
      <c r="BL23" s="6">
        <v>0</v>
      </c>
      <c r="BM23" s="6">
        <v>0</v>
      </c>
      <c r="BN23" s="6">
        <v>2901.57</v>
      </c>
      <c r="BO23" s="3">
        <v>63.565859110083657</v>
      </c>
      <c r="BP23" s="7">
        <v>299681.46999999997</v>
      </c>
      <c r="BQ23" s="2">
        <v>47.975551066358427</v>
      </c>
      <c r="BR23" s="2">
        <v>207.89405462088649</v>
      </c>
    </row>
    <row r="24" spans="1:70" x14ac:dyDescent="0.3">
      <c r="A24">
        <f t="shared" si="0"/>
        <v>1997</v>
      </c>
      <c r="B24" s="1">
        <v>212416</v>
      </c>
      <c r="C24" s="2">
        <v>23959140.941307198</v>
      </c>
      <c r="D24" s="3">
        <v>112.7934851485161</v>
      </c>
      <c r="E24" s="1">
        <v>127449</v>
      </c>
      <c r="F24" s="4">
        <v>0.71203488258907066</v>
      </c>
      <c r="G24" s="4">
        <v>0.71211578043648993</v>
      </c>
      <c r="H24" s="4">
        <v>0.99999999128915507</v>
      </c>
      <c r="I24" s="4">
        <v>0.79741418831926458</v>
      </c>
      <c r="J24" s="5">
        <v>10.681736706547349</v>
      </c>
      <c r="K24">
        <v>18979</v>
      </c>
      <c r="L24">
        <v>52564</v>
      </c>
      <c r="M24">
        <v>24949</v>
      </c>
      <c r="N24">
        <v>96492</v>
      </c>
      <c r="O24" s="6">
        <v>142342.5</v>
      </c>
      <c r="P24" s="6">
        <v>131410</v>
      </c>
      <c r="Q24" s="6">
        <v>29938.799999999999</v>
      </c>
      <c r="R24" s="6">
        <v>303691.3</v>
      </c>
      <c r="S24" s="2">
        <v>69.635000000000005</v>
      </c>
      <c r="T24" s="2">
        <v>25.713777777777779</v>
      </c>
      <c r="U24" s="2">
        <v>3.6614666666666671</v>
      </c>
      <c r="V24" s="2">
        <v>99.010244444444453</v>
      </c>
      <c r="W24">
        <v>92</v>
      </c>
      <c r="X24">
        <v>0</v>
      </c>
      <c r="Y24">
        <v>0</v>
      </c>
      <c r="Z24">
        <v>92</v>
      </c>
      <c r="AA24" s="2">
        <v>5698919.2095050626</v>
      </c>
      <c r="AB24" s="6">
        <v>2226.4</v>
      </c>
      <c r="AC24" s="6">
        <v>0</v>
      </c>
      <c r="AD24" s="6">
        <v>0</v>
      </c>
      <c r="AE24" s="6">
        <v>2226.4</v>
      </c>
      <c r="AF24" s="3">
        <v>15.577989309650579</v>
      </c>
      <c r="AG24">
        <v>92</v>
      </c>
      <c r="AH24">
        <v>0</v>
      </c>
      <c r="AI24">
        <v>0</v>
      </c>
      <c r="AJ24">
        <v>92</v>
      </c>
      <c r="AK24" s="2">
        <v>18181463.214920841</v>
      </c>
      <c r="AL24" s="6">
        <v>721.28</v>
      </c>
      <c r="AM24" s="6">
        <v>0</v>
      </c>
      <c r="AN24" s="6">
        <v>0</v>
      </c>
      <c r="AO24" s="6">
        <v>721.28</v>
      </c>
      <c r="AP24" s="3">
        <v>0.46722101591530962</v>
      </c>
      <c r="AQ24">
        <v>0</v>
      </c>
      <c r="AR24">
        <v>0</v>
      </c>
      <c r="AS24">
        <v>0</v>
      </c>
      <c r="AT24">
        <v>0</v>
      </c>
      <c r="AU24" s="2">
        <v>0</v>
      </c>
      <c r="AV24" s="6">
        <v>0</v>
      </c>
      <c r="AW24" s="6">
        <v>0</v>
      </c>
      <c r="AX24" s="6">
        <v>0</v>
      </c>
      <c r="AY24" s="6">
        <v>0</v>
      </c>
      <c r="AZ24" s="3">
        <v>0</v>
      </c>
      <c r="BA24">
        <v>7</v>
      </c>
      <c r="BB24">
        <v>0</v>
      </c>
      <c r="BC24">
        <v>0</v>
      </c>
      <c r="BD24">
        <v>7</v>
      </c>
      <c r="BE24" s="2">
        <v>78758.516881299016</v>
      </c>
      <c r="BF24" s="6">
        <v>39.795000000000002</v>
      </c>
      <c r="BG24" s="6">
        <v>0</v>
      </c>
      <c r="BH24" s="6">
        <v>0</v>
      </c>
      <c r="BI24" s="6">
        <v>39.795000000000002</v>
      </c>
      <c r="BJ24" s="3">
        <v>51.276494775179103</v>
      </c>
      <c r="BK24" s="6">
        <v>2987.4749999999999</v>
      </c>
      <c r="BL24" s="6">
        <v>0</v>
      </c>
      <c r="BM24" s="6">
        <v>0</v>
      </c>
      <c r="BN24" s="6">
        <v>2987.4749999999999</v>
      </c>
      <c r="BO24" s="3">
        <v>67.321705100744978</v>
      </c>
      <c r="BP24" s="7">
        <v>306678.77500000002</v>
      </c>
      <c r="BQ24" s="2">
        <v>49.899584863556832</v>
      </c>
      <c r="BR24" s="2">
        <v>216.23153440874631</v>
      </c>
    </row>
    <row r="25" spans="1:70" x14ac:dyDescent="0.3">
      <c r="A25">
        <f t="shared" si="0"/>
        <v>1998</v>
      </c>
      <c r="B25" s="1">
        <v>213159</v>
      </c>
      <c r="C25" s="2">
        <v>25066341.581125021</v>
      </c>
      <c r="D25" s="3">
        <v>117.5945729766279</v>
      </c>
      <c r="E25" s="1">
        <v>127895</v>
      </c>
      <c r="F25" s="4">
        <v>0.71831578656395223</v>
      </c>
      <c r="G25" s="4">
        <v>0.7207898447549258</v>
      </c>
      <c r="H25" s="4">
        <v>0.99999999666540507</v>
      </c>
      <c r="I25" s="4">
        <v>0.80298609153508194</v>
      </c>
      <c r="J25" s="5">
        <v>10.811847671323889</v>
      </c>
      <c r="K25">
        <v>19796</v>
      </c>
      <c r="L25">
        <v>53046</v>
      </c>
      <c r="M25">
        <v>24494</v>
      </c>
      <c r="N25">
        <v>97336</v>
      </c>
      <c r="O25" s="6">
        <v>148470</v>
      </c>
      <c r="P25" s="6">
        <v>132615</v>
      </c>
      <c r="Q25" s="6">
        <v>29392.799999999999</v>
      </c>
      <c r="R25" s="6">
        <v>310477.8</v>
      </c>
      <c r="S25" s="2">
        <v>72.25333333333333</v>
      </c>
      <c r="T25" s="2">
        <v>25.814666666666671</v>
      </c>
      <c r="U25" s="2">
        <v>3.5760000000000001</v>
      </c>
      <c r="V25" s="2">
        <v>101.64400000000001</v>
      </c>
      <c r="W25">
        <v>94</v>
      </c>
      <c r="X25">
        <v>0</v>
      </c>
      <c r="Y25">
        <v>0</v>
      </c>
      <c r="Z25">
        <v>94</v>
      </c>
      <c r="AA25" s="2">
        <v>5924492.5219880585</v>
      </c>
      <c r="AB25" s="6">
        <v>2293.6</v>
      </c>
      <c r="AC25" s="6">
        <v>0</v>
      </c>
      <c r="AD25" s="6">
        <v>0</v>
      </c>
      <c r="AE25" s="6">
        <v>2293.6</v>
      </c>
      <c r="AF25" s="3">
        <v>16.560041226376121</v>
      </c>
      <c r="AG25">
        <v>94</v>
      </c>
      <c r="AH25">
        <v>0</v>
      </c>
      <c r="AI25">
        <v>0</v>
      </c>
      <c r="AJ25">
        <v>94</v>
      </c>
      <c r="AK25" s="2">
        <v>19064059.038122289</v>
      </c>
      <c r="AL25" s="6">
        <v>740.72</v>
      </c>
      <c r="AM25" s="6">
        <v>0</v>
      </c>
      <c r="AN25" s="6">
        <v>0</v>
      </c>
      <c r="AO25" s="6">
        <v>740.72</v>
      </c>
      <c r="AP25" s="3">
        <v>0.49313628700669571</v>
      </c>
      <c r="AQ25">
        <v>0</v>
      </c>
      <c r="AR25">
        <v>0</v>
      </c>
      <c r="AS25">
        <v>0</v>
      </c>
      <c r="AT25">
        <v>0</v>
      </c>
      <c r="AU25" s="2">
        <v>0</v>
      </c>
      <c r="AV25" s="6">
        <v>0</v>
      </c>
      <c r="AW25" s="6">
        <v>0</v>
      </c>
      <c r="AX25" s="6">
        <v>0</v>
      </c>
      <c r="AY25" s="6">
        <v>0</v>
      </c>
      <c r="AZ25" s="3">
        <v>0</v>
      </c>
      <c r="BA25">
        <v>7</v>
      </c>
      <c r="BB25">
        <v>0</v>
      </c>
      <c r="BC25">
        <v>0</v>
      </c>
      <c r="BD25">
        <v>7</v>
      </c>
      <c r="BE25" s="2">
        <v>77790.021014664468</v>
      </c>
      <c r="BF25" s="6">
        <v>38.85</v>
      </c>
      <c r="BG25" s="6">
        <v>0</v>
      </c>
      <c r="BH25" s="6">
        <v>0</v>
      </c>
      <c r="BI25" s="6">
        <v>38.85</v>
      </c>
      <c r="BJ25" s="3">
        <v>54.135225611430258</v>
      </c>
      <c r="BK25" s="6">
        <v>3073.17</v>
      </c>
      <c r="BL25" s="6">
        <v>0</v>
      </c>
      <c r="BM25" s="6">
        <v>0</v>
      </c>
      <c r="BN25" s="6">
        <v>3073.17</v>
      </c>
      <c r="BO25" s="3">
        <v>71.188403124813078</v>
      </c>
      <c r="BP25" s="7">
        <v>313550.96999999997</v>
      </c>
      <c r="BQ25" s="2">
        <v>51.849720937443927</v>
      </c>
      <c r="BR25" s="2">
        <v>224.682124062257</v>
      </c>
    </row>
    <row r="26" spans="1:70" x14ac:dyDescent="0.3">
      <c r="A26">
        <f t="shared" si="0"/>
        <v>1999</v>
      </c>
      <c r="B26" s="1">
        <v>213905</v>
      </c>
      <c r="C26" s="2">
        <v>26205267.92336097</v>
      </c>
      <c r="D26" s="3">
        <v>122.5089078018792</v>
      </c>
      <c r="E26" s="1">
        <v>128343</v>
      </c>
      <c r="F26" s="4">
        <v>0.72448372240069892</v>
      </c>
      <c r="G26" s="4">
        <v>0.729123794146607</v>
      </c>
      <c r="H26" s="4">
        <v>0.99999999875207235</v>
      </c>
      <c r="I26" s="4">
        <v>0.80836959032479394</v>
      </c>
      <c r="J26" s="5">
        <v>10.936856912199101</v>
      </c>
      <c r="K26">
        <v>20605</v>
      </c>
      <c r="L26">
        <v>53500</v>
      </c>
      <c r="M26">
        <v>24038</v>
      </c>
      <c r="N26">
        <v>98143</v>
      </c>
      <c r="O26" s="6">
        <v>154537.5</v>
      </c>
      <c r="P26" s="6">
        <v>133750</v>
      </c>
      <c r="Q26" s="6">
        <v>28845.599999999999</v>
      </c>
      <c r="R26" s="6">
        <v>317133.09999999998</v>
      </c>
      <c r="S26" s="2">
        <v>74.849999999999994</v>
      </c>
      <c r="T26" s="2">
        <v>25.911777777777779</v>
      </c>
      <c r="U26" s="2">
        <v>3.4927333333333328</v>
      </c>
      <c r="V26" s="2">
        <v>104.2545111111111</v>
      </c>
      <c r="W26">
        <v>97</v>
      </c>
      <c r="X26">
        <v>0</v>
      </c>
      <c r="Y26">
        <v>0</v>
      </c>
      <c r="Z26">
        <v>97</v>
      </c>
      <c r="AA26" s="2">
        <v>6151522.4817249738</v>
      </c>
      <c r="AB26" s="6">
        <v>2337.6999999999998</v>
      </c>
      <c r="AC26" s="6">
        <v>0</v>
      </c>
      <c r="AD26" s="6">
        <v>0</v>
      </c>
      <c r="AE26" s="6">
        <v>2337.6999999999998</v>
      </c>
      <c r="AF26" s="3">
        <v>17.57174607928355</v>
      </c>
      <c r="AG26">
        <v>97</v>
      </c>
      <c r="AH26">
        <v>0</v>
      </c>
      <c r="AI26">
        <v>0</v>
      </c>
      <c r="AJ26">
        <v>97</v>
      </c>
      <c r="AK26" s="2">
        <v>19977017.141456399</v>
      </c>
      <c r="AL26" s="6">
        <v>756.6</v>
      </c>
      <c r="AM26" s="6">
        <v>0</v>
      </c>
      <c r="AN26" s="6">
        <v>0</v>
      </c>
      <c r="AO26" s="6">
        <v>756.6</v>
      </c>
      <c r="AP26" s="3">
        <v>0.52011943436503649</v>
      </c>
      <c r="AQ26">
        <v>0</v>
      </c>
      <c r="AR26">
        <v>0</v>
      </c>
      <c r="AS26">
        <v>0</v>
      </c>
      <c r="AT26">
        <v>0</v>
      </c>
      <c r="AU26" s="2">
        <v>0</v>
      </c>
      <c r="AV26" s="6">
        <v>0</v>
      </c>
      <c r="AW26" s="6">
        <v>0</v>
      </c>
      <c r="AX26" s="6">
        <v>0</v>
      </c>
      <c r="AY26" s="6">
        <v>0</v>
      </c>
      <c r="AZ26" s="3">
        <v>0</v>
      </c>
      <c r="BA26">
        <v>7</v>
      </c>
      <c r="BB26">
        <v>0</v>
      </c>
      <c r="BC26">
        <v>0</v>
      </c>
      <c r="BD26">
        <v>7</v>
      </c>
      <c r="BE26" s="2">
        <v>76728.300179602462</v>
      </c>
      <c r="BF26" s="6">
        <v>38.85</v>
      </c>
      <c r="BG26" s="6">
        <v>0</v>
      </c>
      <c r="BH26" s="6">
        <v>0</v>
      </c>
      <c r="BI26" s="6">
        <v>38.85</v>
      </c>
      <c r="BJ26" s="3">
        <v>57.077150243995582</v>
      </c>
      <c r="BK26" s="6">
        <v>3133.15</v>
      </c>
      <c r="BL26" s="6">
        <v>0</v>
      </c>
      <c r="BM26" s="6">
        <v>0</v>
      </c>
      <c r="BN26" s="6">
        <v>3133.15</v>
      </c>
      <c r="BO26" s="3">
        <v>75.169015757644161</v>
      </c>
      <c r="BP26" s="7">
        <v>320266.25</v>
      </c>
      <c r="BQ26" s="2">
        <v>53.827058060626577</v>
      </c>
      <c r="BR26" s="2">
        <v>233.25058492938189</v>
      </c>
    </row>
    <row r="27" spans="1:70" x14ac:dyDescent="0.3">
      <c r="A27">
        <f t="shared" si="0"/>
        <v>2000</v>
      </c>
      <c r="B27" s="1">
        <v>214653</v>
      </c>
      <c r="C27" s="2">
        <v>27376241.515530892</v>
      </c>
      <c r="D27" s="3">
        <v>127.5371949869366</v>
      </c>
      <c r="E27" s="1">
        <v>128791</v>
      </c>
      <c r="F27" s="4">
        <v>0.73054242080152065</v>
      </c>
      <c r="G27" s="4">
        <v>0.7371309647085641</v>
      </c>
      <c r="H27" s="4">
        <v>0.99999999954350305</v>
      </c>
      <c r="I27" s="4">
        <v>0.81357332002081373</v>
      </c>
      <c r="J27" s="5">
        <v>11.05696447062846</v>
      </c>
      <c r="K27">
        <v>21406</v>
      </c>
      <c r="L27">
        <v>53926</v>
      </c>
      <c r="M27">
        <v>23581</v>
      </c>
      <c r="N27">
        <v>98913</v>
      </c>
      <c r="O27" s="6">
        <v>160545</v>
      </c>
      <c r="P27" s="6">
        <v>134815</v>
      </c>
      <c r="Q27" s="6">
        <v>28297.200000000001</v>
      </c>
      <c r="R27" s="6">
        <v>323657.2</v>
      </c>
      <c r="S27" s="2">
        <v>77.421666666666667</v>
      </c>
      <c r="T27" s="2">
        <v>26.00555555555556</v>
      </c>
      <c r="U27" s="2">
        <v>3.4115333333333329</v>
      </c>
      <c r="V27" s="2">
        <v>106.83875555555559</v>
      </c>
      <c r="W27">
        <v>99</v>
      </c>
      <c r="X27">
        <v>0</v>
      </c>
      <c r="Y27">
        <v>0</v>
      </c>
      <c r="Z27">
        <v>99</v>
      </c>
      <c r="AA27" s="2">
        <v>6379925.6473669149</v>
      </c>
      <c r="AB27" s="6">
        <v>2415.6</v>
      </c>
      <c r="AC27" s="6">
        <v>0</v>
      </c>
      <c r="AD27" s="6">
        <v>0</v>
      </c>
      <c r="AE27" s="6">
        <v>2415.6</v>
      </c>
      <c r="AF27" s="3">
        <v>18.613862748395409</v>
      </c>
      <c r="AG27">
        <v>99</v>
      </c>
      <c r="AH27">
        <v>0</v>
      </c>
      <c r="AI27">
        <v>0</v>
      </c>
      <c r="AJ27">
        <v>99</v>
      </c>
      <c r="AK27" s="2">
        <v>20920742.88347467</v>
      </c>
      <c r="AL27" s="6">
        <v>760.32</v>
      </c>
      <c r="AM27" s="6">
        <v>0</v>
      </c>
      <c r="AN27" s="6">
        <v>0</v>
      </c>
      <c r="AO27" s="6">
        <v>760.32</v>
      </c>
      <c r="AP27" s="3">
        <v>0.54819129787302034</v>
      </c>
      <c r="AQ27">
        <v>0</v>
      </c>
      <c r="AR27">
        <v>0</v>
      </c>
      <c r="AS27">
        <v>0</v>
      </c>
      <c r="AT27">
        <v>0</v>
      </c>
      <c r="AU27" s="2">
        <v>0</v>
      </c>
      <c r="AV27" s="6">
        <v>0</v>
      </c>
      <c r="AW27" s="6">
        <v>0</v>
      </c>
      <c r="AX27" s="6">
        <v>0</v>
      </c>
      <c r="AY27" s="6">
        <v>0</v>
      </c>
      <c r="AZ27" s="3">
        <v>0</v>
      </c>
      <c r="BA27">
        <v>7</v>
      </c>
      <c r="BB27">
        <v>0</v>
      </c>
      <c r="BC27">
        <v>0</v>
      </c>
      <c r="BD27">
        <v>7</v>
      </c>
      <c r="BE27" s="2">
        <v>75572.984689305405</v>
      </c>
      <c r="BF27" s="6">
        <v>40.74</v>
      </c>
      <c r="BG27" s="6">
        <v>0</v>
      </c>
      <c r="BH27" s="6">
        <v>0</v>
      </c>
      <c r="BI27" s="6">
        <v>40.74</v>
      </c>
      <c r="BJ27" s="3">
        <v>60.104524527382999</v>
      </c>
      <c r="BK27" s="6">
        <v>3216.66</v>
      </c>
      <c r="BL27" s="6">
        <v>0</v>
      </c>
      <c r="BM27" s="6">
        <v>0</v>
      </c>
      <c r="BN27" s="6">
        <v>3216.66</v>
      </c>
      <c r="BO27" s="3">
        <v>79.266578573651429</v>
      </c>
      <c r="BP27" s="7">
        <v>326873.86</v>
      </c>
      <c r="BQ27" s="2">
        <v>55.8316002387621</v>
      </c>
      <c r="BR27" s="2">
        <v>241.93693436796909</v>
      </c>
    </row>
    <row r="28" spans="1:70" x14ac:dyDescent="0.3">
      <c r="A28">
        <f t="shared" si="0"/>
        <v>2001</v>
      </c>
      <c r="B28" s="1">
        <v>215404</v>
      </c>
      <c r="C28" s="2">
        <v>28580274.89574711</v>
      </c>
      <c r="D28" s="3">
        <v>132.68219204725591</v>
      </c>
      <c r="E28" s="1">
        <v>129242</v>
      </c>
      <c r="F28" s="4">
        <v>0.73617224626762734</v>
      </c>
      <c r="G28" s="4">
        <v>0.74482416962198383</v>
      </c>
      <c r="H28" s="4">
        <v>0.99999999983686427</v>
      </c>
      <c r="I28" s="4">
        <v>0.818485645431689</v>
      </c>
      <c r="J28" s="5">
        <v>11.17236254432976</v>
      </c>
      <c r="K28">
        <v>22181</v>
      </c>
      <c r="L28">
        <v>54313</v>
      </c>
      <c r="M28">
        <v>23153</v>
      </c>
      <c r="N28">
        <v>99647</v>
      </c>
      <c r="O28" s="6">
        <v>166357.5</v>
      </c>
      <c r="P28" s="6">
        <v>135782.5</v>
      </c>
      <c r="Q28" s="6">
        <v>27783.599999999999</v>
      </c>
      <c r="R28" s="6">
        <v>329923.59999999998</v>
      </c>
      <c r="S28" s="2">
        <v>79.913333333333327</v>
      </c>
      <c r="T28" s="2">
        <v>26.09</v>
      </c>
      <c r="U28" s="2">
        <v>3.3365999999999998</v>
      </c>
      <c r="V28" s="2">
        <v>109.33993333333331</v>
      </c>
      <c r="W28">
        <v>101</v>
      </c>
      <c r="X28">
        <v>0</v>
      </c>
      <c r="Y28">
        <v>0</v>
      </c>
      <c r="Z28">
        <v>101</v>
      </c>
      <c r="AA28" s="2">
        <v>6609737.0797270481</v>
      </c>
      <c r="AB28" s="6">
        <v>2504.8000000000002</v>
      </c>
      <c r="AC28" s="6">
        <v>0</v>
      </c>
      <c r="AD28" s="6">
        <v>0</v>
      </c>
      <c r="AE28" s="6">
        <v>2504.8000000000002</v>
      </c>
      <c r="AF28" s="3">
        <v>19.687130304734161</v>
      </c>
      <c r="AG28">
        <v>101</v>
      </c>
      <c r="AH28">
        <v>0</v>
      </c>
      <c r="AI28">
        <v>0</v>
      </c>
      <c r="AJ28">
        <v>101</v>
      </c>
      <c r="AK28" s="2">
        <v>21896211.559975158</v>
      </c>
      <c r="AL28" s="6">
        <v>783.76</v>
      </c>
      <c r="AM28" s="6">
        <v>0</v>
      </c>
      <c r="AN28" s="6">
        <v>0</v>
      </c>
      <c r="AO28" s="6">
        <v>783.76</v>
      </c>
      <c r="AP28" s="3">
        <v>0.57737262812938117</v>
      </c>
      <c r="AQ28">
        <v>0</v>
      </c>
      <c r="AR28">
        <v>0</v>
      </c>
      <c r="AS28">
        <v>0</v>
      </c>
      <c r="AT28">
        <v>0</v>
      </c>
      <c r="AU28" s="2">
        <v>0</v>
      </c>
      <c r="AV28" s="6">
        <v>0</v>
      </c>
      <c r="AW28" s="6">
        <v>0</v>
      </c>
      <c r="AX28" s="6">
        <v>0</v>
      </c>
      <c r="AY28" s="6">
        <v>0</v>
      </c>
      <c r="AZ28" s="3">
        <v>0</v>
      </c>
      <c r="BA28">
        <v>6</v>
      </c>
      <c r="BB28">
        <v>0</v>
      </c>
      <c r="BC28">
        <v>0</v>
      </c>
      <c r="BD28">
        <v>6</v>
      </c>
      <c r="BE28" s="2">
        <v>74326.256044905182</v>
      </c>
      <c r="BF28" s="6">
        <v>34.65</v>
      </c>
      <c r="BG28" s="6">
        <v>0</v>
      </c>
      <c r="BH28" s="6">
        <v>0</v>
      </c>
      <c r="BI28" s="6">
        <v>34.65</v>
      </c>
      <c r="BJ28" s="3">
        <v>63.219485913154998</v>
      </c>
      <c r="BK28" s="6">
        <v>3323.21</v>
      </c>
      <c r="BL28" s="6">
        <v>0</v>
      </c>
      <c r="BM28" s="6">
        <v>0</v>
      </c>
      <c r="BN28" s="6">
        <v>3323.21</v>
      </c>
      <c r="BO28" s="3">
        <v>83.483988846018548</v>
      </c>
      <c r="BP28" s="7">
        <v>333246.81</v>
      </c>
      <c r="BQ28" s="2">
        <v>57.847176653805562</v>
      </c>
      <c r="BR28" s="2">
        <v>250.6710988331574</v>
      </c>
    </row>
    <row r="29" spans="1:70" x14ac:dyDescent="0.3">
      <c r="A29">
        <f t="shared" si="0"/>
        <v>2002</v>
      </c>
      <c r="B29" s="1">
        <v>216157</v>
      </c>
      <c r="C29" s="2">
        <v>29817708.159449998</v>
      </c>
      <c r="D29" s="3">
        <v>137.94467983664649</v>
      </c>
      <c r="E29" s="1">
        <v>129694</v>
      </c>
      <c r="F29" s="4">
        <v>0.74167998949453151</v>
      </c>
      <c r="G29" s="4">
        <v>0.7522157196560324</v>
      </c>
      <c r="H29" s="4">
        <v>0.99999999994305511</v>
      </c>
      <c r="I29" s="4">
        <v>0.82322709430611174</v>
      </c>
      <c r="J29" s="5">
        <v>11.28323579484049</v>
      </c>
      <c r="K29">
        <v>22945</v>
      </c>
      <c r="L29">
        <v>54675</v>
      </c>
      <c r="M29">
        <v>22728</v>
      </c>
      <c r="N29">
        <v>100348</v>
      </c>
      <c r="O29" s="6">
        <v>172087.5</v>
      </c>
      <c r="P29" s="6">
        <v>136687.5</v>
      </c>
      <c r="Q29" s="6">
        <v>27273.599999999999</v>
      </c>
      <c r="R29" s="6">
        <v>336048.6</v>
      </c>
      <c r="S29" s="2">
        <v>82.375</v>
      </c>
      <c r="T29" s="2">
        <v>26.17177777777778</v>
      </c>
      <c r="U29" s="2">
        <v>3.263866666666666</v>
      </c>
      <c r="V29" s="2">
        <v>111.81064444444441</v>
      </c>
      <c r="W29">
        <v>104</v>
      </c>
      <c r="X29">
        <v>0</v>
      </c>
      <c r="Y29">
        <v>0</v>
      </c>
      <c r="Z29">
        <v>104</v>
      </c>
      <c r="AA29" s="2">
        <v>6840851.8199035721</v>
      </c>
      <c r="AB29" s="6">
        <v>2537.6</v>
      </c>
      <c r="AC29" s="6">
        <v>0</v>
      </c>
      <c r="AD29" s="6">
        <v>0</v>
      </c>
      <c r="AE29" s="6">
        <v>2537.6</v>
      </c>
      <c r="AF29" s="3">
        <v>20.792324478109879</v>
      </c>
      <c r="AG29">
        <v>104</v>
      </c>
      <c r="AH29">
        <v>0</v>
      </c>
      <c r="AI29">
        <v>0</v>
      </c>
      <c r="AJ29">
        <v>104</v>
      </c>
      <c r="AK29" s="2">
        <v>22903868.7891648</v>
      </c>
      <c r="AL29" s="6">
        <v>811.2</v>
      </c>
      <c r="AM29" s="6">
        <v>0</v>
      </c>
      <c r="AN29" s="6">
        <v>0</v>
      </c>
      <c r="AO29" s="6">
        <v>811.2</v>
      </c>
      <c r="AP29" s="3">
        <v>0.60768524077841168</v>
      </c>
      <c r="AQ29">
        <v>0</v>
      </c>
      <c r="AR29">
        <v>0</v>
      </c>
      <c r="AS29">
        <v>0</v>
      </c>
      <c r="AT29">
        <v>0</v>
      </c>
      <c r="AU29" s="2">
        <v>0</v>
      </c>
      <c r="AV29" s="6">
        <v>0</v>
      </c>
      <c r="AW29" s="6">
        <v>0</v>
      </c>
      <c r="AX29" s="6">
        <v>0</v>
      </c>
      <c r="AY29" s="6">
        <v>0</v>
      </c>
      <c r="AZ29" s="3">
        <v>0</v>
      </c>
      <c r="BA29">
        <v>6</v>
      </c>
      <c r="BB29">
        <v>0</v>
      </c>
      <c r="BC29">
        <v>0</v>
      </c>
      <c r="BD29">
        <v>6</v>
      </c>
      <c r="BE29" s="2">
        <v>72987.550381626861</v>
      </c>
      <c r="BF29" s="6">
        <v>35.19</v>
      </c>
      <c r="BG29" s="6">
        <v>0</v>
      </c>
      <c r="BH29" s="6">
        <v>0</v>
      </c>
      <c r="BI29" s="6">
        <v>35.19</v>
      </c>
      <c r="BJ29" s="3">
        <v>66.424295620421873</v>
      </c>
      <c r="BK29" s="6">
        <v>3383.99</v>
      </c>
      <c r="BL29" s="6">
        <v>0</v>
      </c>
      <c r="BM29" s="6">
        <v>0</v>
      </c>
      <c r="BN29" s="6">
        <v>3383.99</v>
      </c>
      <c r="BO29" s="3">
        <v>87.824305339310172</v>
      </c>
      <c r="BP29" s="7">
        <v>339432.59</v>
      </c>
      <c r="BQ29" s="2">
        <v>59.890484935126381</v>
      </c>
      <c r="BR29" s="2">
        <v>259.525434718881</v>
      </c>
    </row>
    <row r="30" spans="1:70" x14ac:dyDescent="0.3">
      <c r="A30">
        <f t="shared" si="0"/>
        <v>2003</v>
      </c>
      <c r="B30" s="1">
        <v>216913</v>
      </c>
      <c r="C30" s="2">
        <v>31089155.645987172</v>
      </c>
      <c r="D30" s="3">
        <v>143.32546065006329</v>
      </c>
      <c r="E30" s="1">
        <v>130147</v>
      </c>
      <c r="F30" s="4">
        <v>0.74706839752230947</v>
      </c>
      <c r="G30" s="4">
        <v>0.7593174428677123</v>
      </c>
      <c r="H30" s="4">
        <v>0.99999999998058731</v>
      </c>
      <c r="I30" s="4">
        <v>0.8278047496993387</v>
      </c>
      <c r="J30" s="5">
        <v>11.38976164301569</v>
      </c>
      <c r="K30">
        <v>23696</v>
      </c>
      <c r="L30">
        <v>55014</v>
      </c>
      <c r="M30">
        <v>22308</v>
      </c>
      <c r="N30">
        <v>101018</v>
      </c>
      <c r="O30" s="6">
        <v>177720</v>
      </c>
      <c r="P30" s="6">
        <v>137535</v>
      </c>
      <c r="Q30" s="6">
        <v>26769.599999999999</v>
      </c>
      <c r="R30" s="6">
        <v>342024.6</v>
      </c>
      <c r="S30" s="2">
        <v>84.803333333333327</v>
      </c>
      <c r="T30" s="2">
        <v>26.250888888888891</v>
      </c>
      <c r="U30" s="2">
        <v>3.1933333333333329</v>
      </c>
      <c r="V30" s="2">
        <v>114.24755555555561</v>
      </c>
      <c r="W30">
        <v>106</v>
      </c>
      <c r="X30">
        <v>0</v>
      </c>
      <c r="Y30">
        <v>0</v>
      </c>
      <c r="Z30">
        <v>106</v>
      </c>
      <c r="AA30" s="2">
        <v>7073204.0369295226</v>
      </c>
      <c r="AB30" s="6">
        <v>2544</v>
      </c>
      <c r="AC30" s="6">
        <v>0</v>
      </c>
      <c r="AD30" s="6">
        <v>0</v>
      </c>
      <c r="AE30" s="6">
        <v>2544</v>
      </c>
      <c r="AF30" s="3">
        <v>21.930201662179289</v>
      </c>
      <c r="AG30">
        <v>106</v>
      </c>
      <c r="AH30">
        <v>0</v>
      </c>
      <c r="AI30">
        <v>0</v>
      </c>
      <c r="AJ30">
        <v>106</v>
      </c>
      <c r="AK30" s="2">
        <v>23944394.340418618</v>
      </c>
      <c r="AL30" s="6">
        <v>839.52</v>
      </c>
      <c r="AM30" s="6">
        <v>0</v>
      </c>
      <c r="AN30" s="6">
        <v>0</v>
      </c>
      <c r="AO30" s="6">
        <v>839.52</v>
      </c>
      <c r="AP30" s="3">
        <v>0.63915086382080921</v>
      </c>
      <c r="AQ30">
        <v>0</v>
      </c>
      <c r="AR30">
        <v>0</v>
      </c>
      <c r="AS30">
        <v>0</v>
      </c>
      <c r="AT30">
        <v>0</v>
      </c>
      <c r="AU30" s="2">
        <v>0</v>
      </c>
      <c r="AV30" s="6">
        <v>0</v>
      </c>
      <c r="AW30" s="6">
        <v>0</v>
      </c>
      <c r="AX30" s="6">
        <v>0</v>
      </c>
      <c r="AY30" s="6">
        <v>0</v>
      </c>
      <c r="AZ30" s="3">
        <v>0</v>
      </c>
      <c r="BA30">
        <v>6</v>
      </c>
      <c r="BB30">
        <v>0</v>
      </c>
      <c r="BC30">
        <v>0</v>
      </c>
      <c r="BD30">
        <v>6</v>
      </c>
      <c r="BE30" s="2">
        <v>71557.268639028378</v>
      </c>
      <c r="BF30" s="6">
        <v>34.65</v>
      </c>
      <c r="BG30" s="6">
        <v>0</v>
      </c>
      <c r="BH30" s="6">
        <v>0</v>
      </c>
      <c r="BI30" s="6">
        <v>34.65</v>
      </c>
      <c r="BJ30" s="3">
        <v>69.721102111529689</v>
      </c>
      <c r="BK30" s="6">
        <v>3418.17</v>
      </c>
      <c r="BL30" s="6">
        <v>0</v>
      </c>
      <c r="BM30" s="6">
        <v>0</v>
      </c>
      <c r="BN30" s="6">
        <v>3418.17</v>
      </c>
      <c r="BO30" s="3">
        <v>92.290454637529791</v>
      </c>
      <c r="BP30" s="7">
        <v>345442.77</v>
      </c>
      <c r="BQ30" s="2">
        <v>61.961403057925601</v>
      </c>
      <c r="BR30" s="2">
        <v>268.49941325101088</v>
      </c>
    </row>
    <row r="31" spans="1:70" x14ac:dyDescent="0.3">
      <c r="A31">
        <f t="shared" si="0"/>
        <v>2004</v>
      </c>
      <c r="B31" s="1">
        <v>217672</v>
      </c>
      <c r="C31" s="2">
        <v>32395574.760514211</v>
      </c>
      <c r="D31" s="3">
        <v>148.8274778589539</v>
      </c>
      <c r="E31" s="1">
        <v>130603</v>
      </c>
      <c r="F31" s="4">
        <v>0.75234210506581956</v>
      </c>
      <c r="G31" s="4">
        <v>0.76614070352927721</v>
      </c>
      <c r="H31" s="4">
        <v>0.99999999999354061</v>
      </c>
      <c r="I31" s="4">
        <v>0.83222604153279589</v>
      </c>
      <c r="J31" s="5">
        <v>11.49211055293916</v>
      </c>
      <c r="K31">
        <v>24435</v>
      </c>
      <c r="L31">
        <v>55332</v>
      </c>
      <c r="M31">
        <v>21891</v>
      </c>
      <c r="N31">
        <v>101658</v>
      </c>
      <c r="O31" s="6">
        <v>183262.5</v>
      </c>
      <c r="P31" s="6">
        <v>138330</v>
      </c>
      <c r="Q31" s="6">
        <v>26269.200000000001</v>
      </c>
      <c r="R31" s="6">
        <v>347861.7</v>
      </c>
      <c r="S31" s="2">
        <v>87.2</v>
      </c>
      <c r="T31" s="2">
        <v>26.32822222222222</v>
      </c>
      <c r="U31" s="2">
        <v>3.1249333333333329</v>
      </c>
      <c r="V31" s="2">
        <v>116.6531555555556</v>
      </c>
      <c r="W31">
        <v>108</v>
      </c>
      <c r="X31">
        <v>0</v>
      </c>
      <c r="Y31">
        <v>0</v>
      </c>
      <c r="Z31">
        <v>108</v>
      </c>
      <c r="AA31" s="2">
        <v>7306779.9040328739</v>
      </c>
      <c r="AB31" s="6">
        <v>2613.6</v>
      </c>
      <c r="AC31" s="6">
        <v>0</v>
      </c>
      <c r="AD31" s="6">
        <v>0</v>
      </c>
      <c r="AE31" s="6">
        <v>2613.6</v>
      </c>
      <c r="AF31" s="3">
        <v>23.1015220141275</v>
      </c>
      <c r="AG31">
        <v>108</v>
      </c>
      <c r="AH31">
        <v>0</v>
      </c>
      <c r="AI31">
        <v>0</v>
      </c>
      <c r="AJ31">
        <v>108</v>
      </c>
      <c r="AK31" s="2">
        <v>25018758.177612111</v>
      </c>
      <c r="AL31" s="6">
        <v>838.08</v>
      </c>
      <c r="AM31" s="6">
        <v>0</v>
      </c>
      <c r="AN31" s="6">
        <v>0</v>
      </c>
      <c r="AO31" s="6">
        <v>838.08</v>
      </c>
      <c r="AP31" s="3">
        <v>0.67179159731616356</v>
      </c>
      <c r="AQ31">
        <v>0</v>
      </c>
      <c r="AR31">
        <v>0</v>
      </c>
      <c r="AS31">
        <v>0</v>
      </c>
      <c r="AT31">
        <v>0</v>
      </c>
      <c r="AU31" s="2">
        <v>0</v>
      </c>
      <c r="AV31" s="6">
        <v>0</v>
      </c>
      <c r="AW31" s="6">
        <v>0</v>
      </c>
      <c r="AX31" s="6">
        <v>0</v>
      </c>
      <c r="AY31" s="6">
        <v>0</v>
      </c>
      <c r="AZ31" s="3">
        <v>0</v>
      </c>
      <c r="BA31">
        <v>6</v>
      </c>
      <c r="BB31">
        <v>0</v>
      </c>
      <c r="BC31">
        <v>0</v>
      </c>
      <c r="BD31">
        <v>6</v>
      </c>
      <c r="BE31" s="2">
        <v>70036.678869231328</v>
      </c>
      <c r="BF31" s="6">
        <v>34.65</v>
      </c>
      <c r="BG31" s="6">
        <v>0</v>
      </c>
      <c r="BH31" s="6">
        <v>0</v>
      </c>
      <c r="BI31" s="6">
        <v>34.65</v>
      </c>
      <c r="BJ31" s="3">
        <v>73.112043782372453</v>
      </c>
      <c r="BK31" s="6">
        <v>3486.33</v>
      </c>
      <c r="BL31" s="6">
        <v>0</v>
      </c>
      <c r="BM31" s="6">
        <v>0</v>
      </c>
      <c r="BN31" s="6">
        <v>3486.33</v>
      </c>
      <c r="BO31" s="3">
        <v>96.885357393816122</v>
      </c>
      <c r="BP31" s="7">
        <v>351348.03</v>
      </c>
      <c r="BQ31" s="2">
        <v>64.061553884811502</v>
      </c>
      <c r="BR31" s="2">
        <v>277.60006683418322</v>
      </c>
    </row>
    <row r="32" spans="1:70" x14ac:dyDescent="0.3">
      <c r="A32">
        <f t="shared" si="0"/>
        <v>2005</v>
      </c>
      <c r="B32" s="1">
        <v>218433</v>
      </c>
      <c r="C32" s="2">
        <v>33737138.289747253</v>
      </c>
      <c r="D32" s="3">
        <v>154.45073908130749</v>
      </c>
      <c r="E32" s="1">
        <v>131059</v>
      </c>
      <c r="F32" s="4">
        <v>0.75750231658415657</v>
      </c>
      <c r="G32" s="4">
        <v>0.77269642031349217</v>
      </c>
      <c r="H32" s="4">
        <v>0.99999999999790223</v>
      </c>
      <c r="I32" s="4">
        <v>0.83649680889939115</v>
      </c>
      <c r="J32" s="5">
        <v>11.590446304702381</v>
      </c>
      <c r="K32">
        <v>25160</v>
      </c>
      <c r="L32">
        <v>55631</v>
      </c>
      <c r="M32">
        <v>21481</v>
      </c>
      <c r="N32">
        <v>102272</v>
      </c>
      <c r="O32" s="6">
        <v>188700</v>
      </c>
      <c r="P32" s="6">
        <v>139077.5</v>
      </c>
      <c r="Q32" s="6">
        <v>25777.200000000001</v>
      </c>
      <c r="R32" s="6">
        <v>353554.7</v>
      </c>
      <c r="S32" s="2">
        <v>89.561666666666667</v>
      </c>
      <c r="T32" s="2">
        <v>26.40355555555556</v>
      </c>
      <c r="U32" s="2">
        <v>3.0586000000000002</v>
      </c>
      <c r="V32" s="2">
        <v>119.02382222222219</v>
      </c>
      <c r="W32">
        <v>110</v>
      </c>
      <c r="X32">
        <v>0</v>
      </c>
      <c r="Y32">
        <v>0</v>
      </c>
      <c r="Z32">
        <v>110</v>
      </c>
      <c r="AA32" s="2">
        <v>7541408.9244804019</v>
      </c>
      <c r="AB32" s="6">
        <v>2662</v>
      </c>
      <c r="AC32" s="6">
        <v>0</v>
      </c>
      <c r="AD32" s="6">
        <v>0</v>
      </c>
      <c r="AE32" s="6">
        <v>2662</v>
      </c>
      <c r="AF32" s="3">
        <v>24.307076674120989</v>
      </c>
      <c r="AG32">
        <v>110</v>
      </c>
      <c r="AH32">
        <v>0</v>
      </c>
      <c r="AI32">
        <v>0</v>
      </c>
      <c r="AJ32">
        <v>110</v>
      </c>
      <c r="AK32" s="2">
        <v>26127304.857707702</v>
      </c>
      <c r="AL32" s="6">
        <v>862.4</v>
      </c>
      <c r="AM32" s="6">
        <v>0</v>
      </c>
      <c r="AN32" s="6">
        <v>0</v>
      </c>
      <c r="AO32" s="6">
        <v>862.4</v>
      </c>
      <c r="AP32" s="3">
        <v>0.70563047399753553</v>
      </c>
      <c r="AQ32">
        <v>0</v>
      </c>
      <c r="AR32">
        <v>0</v>
      </c>
      <c r="AS32">
        <v>0</v>
      </c>
      <c r="AT32">
        <v>0</v>
      </c>
      <c r="AU32" s="2">
        <v>0</v>
      </c>
      <c r="AV32" s="6">
        <v>0</v>
      </c>
      <c r="AW32" s="6">
        <v>0</v>
      </c>
      <c r="AX32" s="6">
        <v>0</v>
      </c>
      <c r="AY32" s="6">
        <v>0</v>
      </c>
      <c r="AZ32" s="3">
        <v>0</v>
      </c>
      <c r="BA32">
        <v>6</v>
      </c>
      <c r="BB32">
        <v>0</v>
      </c>
      <c r="BC32">
        <v>0</v>
      </c>
      <c r="BD32">
        <v>6</v>
      </c>
      <c r="BE32" s="2">
        <v>68424.507559140446</v>
      </c>
      <c r="BF32" s="6">
        <v>35.46</v>
      </c>
      <c r="BG32" s="6">
        <v>0</v>
      </c>
      <c r="BH32" s="6">
        <v>0</v>
      </c>
      <c r="BI32" s="6">
        <v>35.46</v>
      </c>
      <c r="BJ32" s="3">
        <v>76.59936432430662</v>
      </c>
      <c r="BK32" s="6">
        <v>3559.86</v>
      </c>
      <c r="BL32" s="6">
        <v>0</v>
      </c>
      <c r="BM32" s="6">
        <v>0</v>
      </c>
      <c r="BN32" s="6">
        <v>3559.86</v>
      </c>
      <c r="BO32" s="3">
        <v>101.6120714724251</v>
      </c>
      <c r="BP32" s="7">
        <v>357114.56</v>
      </c>
      <c r="BQ32" s="2">
        <v>66.190768108394209</v>
      </c>
      <c r="BR32" s="2">
        <v>286.82666180304159</v>
      </c>
    </row>
    <row r="33" spans="1:70" x14ac:dyDescent="0.3">
      <c r="A33">
        <f t="shared" si="0"/>
        <v>2006</v>
      </c>
      <c r="B33" s="1">
        <v>219197</v>
      </c>
      <c r="C33" s="2">
        <v>35115011.617715418</v>
      </c>
      <c r="D33" s="3">
        <v>160.19841338027169</v>
      </c>
      <c r="E33" s="1">
        <v>131518</v>
      </c>
      <c r="F33" s="4">
        <v>0.76255315124493983</v>
      </c>
      <c r="G33" s="4">
        <v>0.77899508376583959</v>
      </c>
      <c r="H33" s="4">
        <v>0.99999999999933553</v>
      </c>
      <c r="I33" s="4">
        <v>0.84062366567961289</v>
      </c>
      <c r="J33" s="5">
        <v>11.684926256487589</v>
      </c>
      <c r="K33">
        <v>25873</v>
      </c>
      <c r="L33">
        <v>55912</v>
      </c>
      <c r="M33">
        <v>21076</v>
      </c>
      <c r="N33">
        <v>102861</v>
      </c>
      <c r="O33" s="6">
        <v>194047.5</v>
      </c>
      <c r="P33" s="6">
        <v>139780</v>
      </c>
      <c r="Q33" s="6">
        <v>25291.200000000001</v>
      </c>
      <c r="R33" s="6">
        <v>359118.7</v>
      </c>
      <c r="S33" s="2">
        <v>91.891666666666666</v>
      </c>
      <c r="T33" s="2">
        <v>26.477333333333331</v>
      </c>
      <c r="U33" s="2">
        <v>2.9942000000000002</v>
      </c>
      <c r="V33" s="2">
        <v>121.36320000000001</v>
      </c>
      <c r="W33">
        <v>113</v>
      </c>
      <c r="X33">
        <v>0</v>
      </c>
      <c r="Y33">
        <v>0</v>
      </c>
      <c r="Z33">
        <v>113</v>
      </c>
      <c r="AA33" s="2">
        <v>7777090.7279799255</v>
      </c>
      <c r="AB33" s="6">
        <v>2768.5</v>
      </c>
      <c r="AC33" s="6">
        <v>0</v>
      </c>
      <c r="AD33" s="6">
        <v>0</v>
      </c>
      <c r="AE33" s="6">
        <v>2768.5</v>
      </c>
      <c r="AF33" s="3">
        <v>25.547623136853499</v>
      </c>
      <c r="AG33">
        <v>113</v>
      </c>
      <c r="AH33">
        <v>0</v>
      </c>
      <c r="AI33">
        <v>0</v>
      </c>
      <c r="AJ33">
        <v>113</v>
      </c>
      <c r="AK33" s="2">
        <v>27271198.63630287</v>
      </c>
      <c r="AL33" s="6">
        <v>890.44</v>
      </c>
      <c r="AM33" s="6">
        <v>0</v>
      </c>
      <c r="AN33" s="6">
        <v>0</v>
      </c>
      <c r="AO33" s="6">
        <v>890.44</v>
      </c>
      <c r="AP33" s="3">
        <v>0.74069012359385489</v>
      </c>
      <c r="AQ33">
        <v>0</v>
      </c>
      <c r="AR33">
        <v>0</v>
      </c>
      <c r="AS33">
        <v>0</v>
      </c>
      <c r="AT33">
        <v>0</v>
      </c>
      <c r="AU33" s="2">
        <v>0</v>
      </c>
      <c r="AV33" s="6">
        <v>0</v>
      </c>
      <c r="AW33" s="6">
        <v>0</v>
      </c>
      <c r="AX33" s="6">
        <v>0</v>
      </c>
      <c r="AY33" s="6">
        <v>0</v>
      </c>
      <c r="AZ33" s="3">
        <v>0</v>
      </c>
      <c r="BA33">
        <v>5</v>
      </c>
      <c r="BB33">
        <v>0</v>
      </c>
      <c r="BC33">
        <v>0</v>
      </c>
      <c r="BD33">
        <v>5</v>
      </c>
      <c r="BE33" s="2">
        <v>66722.253432622849</v>
      </c>
      <c r="BF33" s="6">
        <v>27.975000000000001</v>
      </c>
      <c r="BG33" s="6">
        <v>0</v>
      </c>
      <c r="BH33" s="6">
        <v>0</v>
      </c>
      <c r="BI33" s="6">
        <v>27.975000000000001</v>
      </c>
      <c r="BJ33" s="3">
        <v>80.185140655125039</v>
      </c>
      <c r="BK33" s="6">
        <v>3686.915</v>
      </c>
      <c r="BL33" s="6">
        <v>0</v>
      </c>
      <c r="BM33" s="6">
        <v>0</v>
      </c>
      <c r="BN33" s="6">
        <v>3686.915</v>
      </c>
      <c r="BO33" s="3">
        <v>106.47345391557241</v>
      </c>
      <c r="BP33" s="7">
        <v>362805.61499999999</v>
      </c>
      <c r="BQ33" s="2">
        <v>68.350996174671721</v>
      </c>
      <c r="BR33" s="2">
        <v>296.18765009024412</v>
      </c>
    </row>
    <row r="34" spans="1:70" x14ac:dyDescent="0.3">
      <c r="A34">
        <f t="shared" si="0"/>
        <v>2007</v>
      </c>
      <c r="B34" s="1">
        <v>219964</v>
      </c>
      <c r="C34" s="2">
        <v>36529545.106417492</v>
      </c>
      <c r="D34" s="3">
        <v>166.07056203022989</v>
      </c>
      <c r="E34" s="1">
        <v>131978</v>
      </c>
      <c r="F34" s="4">
        <v>0.7674954256835792</v>
      </c>
      <c r="G34" s="4">
        <v>0.78504677309162973</v>
      </c>
      <c r="H34" s="4">
        <v>0.99999999999979461</v>
      </c>
      <c r="I34" s="4">
        <v>0.84461173170728943</v>
      </c>
      <c r="J34" s="5">
        <v>11.77570159637445</v>
      </c>
      <c r="K34">
        <v>26572</v>
      </c>
      <c r="L34">
        <v>56176</v>
      </c>
      <c r="M34">
        <v>20677</v>
      </c>
      <c r="N34">
        <v>103425</v>
      </c>
      <c r="O34" s="6">
        <v>199290</v>
      </c>
      <c r="P34" s="6">
        <v>140440</v>
      </c>
      <c r="Q34" s="6">
        <v>24812.400000000001</v>
      </c>
      <c r="R34" s="6">
        <v>364542.4</v>
      </c>
      <c r="S34" s="2">
        <v>94.186666666666667</v>
      </c>
      <c r="T34" s="2">
        <v>26.549777777777781</v>
      </c>
      <c r="U34" s="2">
        <v>2.9318</v>
      </c>
      <c r="V34" s="2">
        <v>123.6682444444444</v>
      </c>
      <c r="W34">
        <v>115</v>
      </c>
      <c r="X34">
        <v>0</v>
      </c>
      <c r="Y34">
        <v>0</v>
      </c>
      <c r="Z34">
        <v>115</v>
      </c>
      <c r="AA34" s="2">
        <v>8013665.4916396793</v>
      </c>
      <c r="AB34" s="6">
        <v>2817.5</v>
      </c>
      <c r="AC34" s="6">
        <v>0</v>
      </c>
      <c r="AD34" s="6">
        <v>0</v>
      </c>
      <c r="AE34" s="6">
        <v>2817.5</v>
      </c>
      <c r="AF34" s="3">
        <v>26.823966678059531</v>
      </c>
      <c r="AG34">
        <v>115</v>
      </c>
      <c r="AH34">
        <v>0</v>
      </c>
      <c r="AI34">
        <v>0</v>
      </c>
      <c r="AJ34">
        <v>115</v>
      </c>
      <c r="AK34" s="2">
        <v>28450950.670296188</v>
      </c>
      <c r="AL34" s="6">
        <v>901.6</v>
      </c>
      <c r="AM34" s="6">
        <v>0</v>
      </c>
      <c r="AN34" s="6">
        <v>0</v>
      </c>
      <c r="AO34" s="6">
        <v>901.6</v>
      </c>
      <c r="AP34" s="3">
        <v>0.77699443924889822</v>
      </c>
      <c r="AQ34">
        <v>0</v>
      </c>
      <c r="AR34">
        <v>0</v>
      </c>
      <c r="AS34">
        <v>0</v>
      </c>
      <c r="AT34">
        <v>0</v>
      </c>
      <c r="AU34" s="2">
        <v>0</v>
      </c>
      <c r="AV34" s="6">
        <v>0</v>
      </c>
      <c r="AW34" s="6">
        <v>0</v>
      </c>
      <c r="AX34" s="6">
        <v>0</v>
      </c>
      <c r="AY34" s="6">
        <v>0</v>
      </c>
      <c r="AZ34" s="3">
        <v>0</v>
      </c>
      <c r="BA34">
        <v>5</v>
      </c>
      <c r="BB34">
        <v>0</v>
      </c>
      <c r="BC34">
        <v>0</v>
      </c>
      <c r="BD34">
        <v>5</v>
      </c>
      <c r="BE34" s="2">
        <v>64928.944481628081</v>
      </c>
      <c r="BF34" s="6">
        <v>29.55</v>
      </c>
      <c r="BG34" s="6">
        <v>0</v>
      </c>
      <c r="BH34" s="6">
        <v>0</v>
      </c>
      <c r="BI34" s="6">
        <v>29.55</v>
      </c>
      <c r="BJ34" s="3">
        <v>83.871630462184356</v>
      </c>
      <c r="BK34" s="6">
        <v>3748.65</v>
      </c>
      <c r="BL34" s="6">
        <v>0</v>
      </c>
      <c r="BM34" s="6">
        <v>0</v>
      </c>
      <c r="BN34" s="6">
        <v>3748.65</v>
      </c>
      <c r="BO34" s="3">
        <v>111.4725915794928</v>
      </c>
      <c r="BP34" s="7">
        <v>368291.05</v>
      </c>
      <c r="BQ34" s="2">
        <v>70.542250807181162</v>
      </c>
      <c r="BR34" s="2">
        <v>305.68308683111837</v>
      </c>
    </row>
    <row r="35" spans="1:70" x14ac:dyDescent="0.3">
      <c r="A35">
        <f t="shared" ref="A35:A52" si="1">A34+1</f>
        <v>2008</v>
      </c>
      <c r="B35" s="1">
        <v>220733</v>
      </c>
      <c r="C35" s="2">
        <v>37981425.445064001</v>
      </c>
      <c r="D35" s="3">
        <v>172.06953851514729</v>
      </c>
      <c r="E35" s="1">
        <v>132439</v>
      </c>
      <c r="F35" s="4">
        <v>0.77233200627302534</v>
      </c>
      <c r="G35" s="4">
        <v>0.79086117228487984</v>
      </c>
      <c r="H35" s="4">
        <v>0.99999999999993805</v>
      </c>
      <c r="I35" s="4">
        <v>0.84846662228332836</v>
      </c>
      <c r="J35" s="5">
        <v>11.8629175842732</v>
      </c>
      <c r="K35">
        <v>27257</v>
      </c>
      <c r="L35">
        <v>56426</v>
      </c>
      <c r="M35">
        <v>20286</v>
      </c>
      <c r="N35">
        <v>103969</v>
      </c>
      <c r="O35" s="6">
        <v>204427.5</v>
      </c>
      <c r="P35" s="6">
        <v>141065</v>
      </c>
      <c r="Q35" s="6">
        <v>24343.200000000001</v>
      </c>
      <c r="R35" s="6">
        <v>369835.7</v>
      </c>
      <c r="S35" s="2">
        <v>96.446666666666673</v>
      </c>
      <c r="T35" s="2">
        <v>26.621111111111109</v>
      </c>
      <c r="U35" s="2">
        <v>2.8712</v>
      </c>
      <c r="V35" s="2">
        <v>125.93897777777779</v>
      </c>
      <c r="W35">
        <v>117</v>
      </c>
      <c r="X35">
        <v>0</v>
      </c>
      <c r="Y35">
        <v>0</v>
      </c>
      <c r="Z35">
        <v>117</v>
      </c>
      <c r="AA35" s="2">
        <v>8251022.435312544</v>
      </c>
      <c r="AB35" s="6">
        <v>2901.6</v>
      </c>
      <c r="AC35" s="6">
        <v>0</v>
      </c>
      <c r="AD35" s="6">
        <v>0</v>
      </c>
      <c r="AE35" s="6">
        <v>2901.6</v>
      </c>
      <c r="AF35" s="3">
        <v>28.136892285889349</v>
      </c>
      <c r="AG35">
        <v>117</v>
      </c>
      <c r="AH35">
        <v>0</v>
      </c>
      <c r="AI35">
        <v>0</v>
      </c>
      <c r="AJ35">
        <v>117</v>
      </c>
      <c r="AK35" s="2">
        <v>29667358.56395648</v>
      </c>
      <c r="AL35" s="6">
        <v>926.64</v>
      </c>
      <c r="AM35" s="6">
        <v>0</v>
      </c>
      <c r="AN35" s="6">
        <v>0</v>
      </c>
      <c r="AO35" s="6">
        <v>926.64</v>
      </c>
      <c r="AP35" s="3">
        <v>0.81456718124879379</v>
      </c>
      <c r="AQ35">
        <v>0</v>
      </c>
      <c r="AR35">
        <v>0</v>
      </c>
      <c r="AS35">
        <v>0</v>
      </c>
      <c r="AT35">
        <v>0</v>
      </c>
      <c r="AU35" s="2">
        <v>0</v>
      </c>
      <c r="AV35" s="6">
        <v>0</v>
      </c>
      <c r="AW35" s="6">
        <v>0</v>
      </c>
      <c r="AX35" s="6">
        <v>0</v>
      </c>
      <c r="AY35" s="6">
        <v>0</v>
      </c>
      <c r="AZ35" s="3">
        <v>0</v>
      </c>
      <c r="BA35">
        <v>5</v>
      </c>
      <c r="BB35">
        <v>0</v>
      </c>
      <c r="BC35">
        <v>0</v>
      </c>
      <c r="BD35">
        <v>5</v>
      </c>
      <c r="BE35" s="2">
        <v>63044.445794968131</v>
      </c>
      <c r="BF35" s="6">
        <v>27.75</v>
      </c>
      <c r="BG35" s="6">
        <v>0</v>
      </c>
      <c r="BH35" s="6">
        <v>0</v>
      </c>
      <c r="BI35" s="6">
        <v>27.75</v>
      </c>
      <c r="BJ35" s="3">
        <v>87.660982451438414</v>
      </c>
      <c r="BK35" s="6">
        <v>3855.99</v>
      </c>
      <c r="BL35" s="6">
        <v>0</v>
      </c>
      <c r="BM35" s="6">
        <v>0</v>
      </c>
      <c r="BN35" s="6">
        <v>3855.99</v>
      </c>
      <c r="BO35" s="3">
        <v>116.61244191857659</v>
      </c>
      <c r="BP35" s="7">
        <v>373691.69</v>
      </c>
      <c r="BQ35" s="2">
        <v>72.765425908906295</v>
      </c>
      <c r="BR35" s="2">
        <v>315.31684560526071</v>
      </c>
    </row>
    <row r="36" spans="1:70" x14ac:dyDescent="0.3">
      <c r="A36">
        <f t="shared" si="1"/>
        <v>2009</v>
      </c>
      <c r="B36" s="1">
        <v>221505</v>
      </c>
      <c r="C36" s="2">
        <v>39471752.431726716</v>
      </c>
      <c r="D36" s="3">
        <v>178.19802005248971</v>
      </c>
      <c r="E36" s="1">
        <v>132903</v>
      </c>
      <c r="F36" s="4">
        <v>0.77706570049477353</v>
      </c>
      <c r="G36" s="4">
        <v>0.79644758562477025</v>
      </c>
      <c r="H36" s="4">
        <v>0.99999999999998179</v>
      </c>
      <c r="I36" s="4">
        <v>0.85219368820806152</v>
      </c>
      <c r="J36" s="5">
        <v>11.94671378437155</v>
      </c>
      <c r="K36">
        <v>27930</v>
      </c>
      <c r="L36">
        <v>56663</v>
      </c>
      <c r="M36">
        <v>19902</v>
      </c>
      <c r="N36">
        <v>104495</v>
      </c>
      <c r="O36" s="6">
        <v>209475</v>
      </c>
      <c r="P36" s="6">
        <v>141657.5</v>
      </c>
      <c r="Q36" s="6">
        <v>23882.400000000001</v>
      </c>
      <c r="R36" s="6">
        <v>375014.9</v>
      </c>
      <c r="S36" s="2">
        <v>98.674999999999997</v>
      </c>
      <c r="T36" s="2">
        <v>26.69155555555556</v>
      </c>
      <c r="U36" s="2">
        <v>2.812466666666666</v>
      </c>
      <c r="V36" s="2">
        <v>128.17902222222219</v>
      </c>
      <c r="W36">
        <v>120</v>
      </c>
      <c r="X36">
        <v>0</v>
      </c>
      <c r="Y36">
        <v>0</v>
      </c>
      <c r="Z36">
        <v>120</v>
      </c>
      <c r="AA36" s="2">
        <v>8489112.4244335368</v>
      </c>
      <c r="AB36" s="6">
        <v>2964</v>
      </c>
      <c r="AC36" s="6">
        <v>0</v>
      </c>
      <c r="AD36" s="6">
        <v>0</v>
      </c>
      <c r="AE36" s="6">
        <v>2964</v>
      </c>
      <c r="AF36" s="3">
        <v>29.487192784341111</v>
      </c>
      <c r="AG36">
        <v>120</v>
      </c>
      <c r="AH36">
        <v>0</v>
      </c>
      <c r="AI36">
        <v>0</v>
      </c>
      <c r="AJ36">
        <v>120</v>
      </c>
      <c r="AK36" s="2">
        <v>30921570.684690379</v>
      </c>
      <c r="AL36" s="6">
        <v>940.8</v>
      </c>
      <c r="AM36" s="6">
        <v>0</v>
      </c>
      <c r="AN36" s="6">
        <v>0</v>
      </c>
      <c r="AO36" s="6">
        <v>940.8</v>
      </c>
      <c r="AP36" s="3">
        <v>0.85343254155310333</v>
      </c>
      <c r="AQ36">
        <v>0</v>
      </c>
      <c r="AR36">
        <v>0</v>
      </c>
      <c r="AS36">
        <v>0</v>
      </c>
      <c r="AT36">
        <v>0</v>
      </c>
      <c r="AU36" s="2">
        <v>0</v>
      </c>
      <c r="AV36" s="6">
        <v>0</v>
      </c>
      <c r="AW36" s="6">
        <v>0</v>
      </c>
      <c r="AX36" s="6">
        <v>0</v>
      </c>
      <c r="AY36" s="6">
        <v>0</v>
      </c>
      <c r="AZ36" s="3">
        <v>0</v>
      </c>
      <c r="BA36">
        <v>5</v>
      </c>
      <c r="BB36">
        <v>0</v>
      </c>
      <c r="BC36">
        <v>0</v>
      </c>
      <c r="BD36">
        <v>5</v>
      </c>
      <c r="BE36" s="2">
        <v>61069.32260280598</v>
      </c>
      <c r="BF36" s="6">
        <v>28.2</v>
      </c>
      <c r="BG36" s="6">
        <v>0</v>
      </c>
      <c r="BH36" s="6">
        <v>0</v>
      </c>
      <c r="BI36" s="6">
        <v>28.2</v>
      </c>
      <c r="BJ36" s="3">
        <v>91.555359354649255</v>
      </c>
      <c r="BK36" s="6">
        <v>3933</v>
      </c>
      <c r="BL36" s="6">
        <v>0</v>
      </c>
      <c r="BM36" s="6">
        <v>0</v>
      </c>
      <c r="BN36" s="6">
        <v>3933</v>
      </c>
      <c r="BO36" s="3">
        <v>121.89598468054351</v>
      </c>
      <c r="BP36" s="7">
        <v>378947.9</v>
      </c>
      <c r="BQ36" s="2">
        <v>75.022502070829702</v>
      </c>
      <c r="BR36" s="2">
        <v>325.09750897359538</v>
      </c>
    </row>
    <row r="37" spans="1:70" x14ac:dyDescent="0.3">
      <c r="A37">
        <f t="shared" si="1"/>
        <v>2010</v>
      </c>
      <c r="B37" s="1">
        <v>222280</v>
      </c>
      <c r="C37" s="2">
        <v>41000888.512376323</v>
      </c>
      <c r="D37" s="3">
        <v>184.4560397353622</v>
      </c>
      <c r="E37" s="1">
        <v>133368</v>
      </c>
      <c r="F37" s="4">
        <v>0.78169689414374854</v>
      </c>
      <c r="G37" s="4">
        <v>0.80181495256447666</v>
      </c>
      <c r="H37" s="4">
        <v>0.99999999999999489</v>
      </c>
      <c r="I37" s="4">
        <v>0.8557971695390002</v>
      </c>
      <c r="J37" s="5">
        <v>12.027224288467149</v>
      </c>
      <c r="K37">
        <v>28589</v>
      </c>
      <c r="L37">
        <v>56887</v>
      </c>
      <c r="M37">
        <v>19525</v>
      </c>
      <c r="N37">
        <v>105001</v>
      </c>
      <c r="O37" s="6">
        <v>214417.5</v>
      </c>
      <c r="P37" s="6">
        <v>142217.5</v>
      </c>
      <c r="Q37" s="6">
        <v>23430</v>
      </c>
      <c r="R37" s="6">
        <v>380065</v>
      </c>
      <c r="S37" s="2">
        <v>100.8666666666667</v>
      </c>
      <c r="T37" s="2">
        <v>26.761111111111109</v>
      </c>
      <c r="U37" s="2">
        <v>2.7555333333333332</v>
      </c>
      <c r="V37" s="2">
        <v>130.38331111111111</v>
      </c>
      <c r="W37">
        <v>122</v>
      </c>
      <c r="X37">
        <v>0</v>
      </c>
      <c r="Y37">
        <v>0</v>
      </c>
      <c r="Z37">
        <v>122</v>
      </c>
      <c r="AA37" s="2">
        <v>8727744.5920259431</v>
      </c>
      <c r="AB37" s="6">
        <v>3001.2</v>
      </c>
      <c r="AC37" s="6">
        <v>0</v>
      </c>
      <c r="AD37" s="6">
        <v>0</v>
      </c>
      <c r="AE37" s="6">
        <v>3001.2</v>
      </c>
      <c r="AF37" s="3">
        <v>30.875701411818781</v>
      </c>
      <c r="AG37">
        <v>122</v>
      </c>
      <c r="AH37">
        <v>0</v>
      </c>
      <c r="AI37">
        <v>0</v>
      </c>
      <c r="AJ37">
        <v>122</v>
      </c>
      <c r="AK37" s="2">
        <v>32214141.627706941</v>
      </c>
      <c r="AL37" s="6">
        <v>941.84</v>
      </c>
      <c r="AM37" s="6">
        <v>0</v>
      </c>
      <c r="AN37" s="6">
        <v>0</v>
      </c>
      <c r="AO37" s="6">
        <v>941.84</v>
      </c>
      <c r="AP37" s="3">
        <v>0.89361581935938805</v>
      </c>
      <c r="AQ37">
        <v>0</v>
      </c>
      <c r="AR37">
        <v>0</v>
      </c>
      <c r="AS37">
        <v>0</v>
      </c>
      <c r="AT37">
        <v>0</v>
      </c>
      <c r="AU37" s="2">
        <v>0</v>
      </c>
      <c r="AV37" s="6">
        <v>0</v>
      </c>
      <c r="AW37" s="6">
        <v>0</v>
      </c>
      <c r="AX37" s="6">
        <v>0</v>
      </c>
      <c r="AY37" s="6">
        <v>0</v>
      </c>
      <c r="AZ37" s="3">
        <v>0</v>
      </c>
      <c r="BA37">
        <v>5</v>
      </c>
      <c r="BB37">
        <v>0</v>
      </c>
      <c r="BC37">
        <v>0</v>
      </c>
      <c r="BD37">
        <v>5</v>
      </c>
      <c r="BE37" s="2">
        <v>59002.29264342878</v>
      </c>
      <c r="BF37" s="6">
        <v>27.975000000000001</v>
      </c>
      <c r="BG37" s="6">
        <v>0</v>
      </c>
      <c r="BH37" s="6">
        <v>0</v>
      </c>
      <c r="BI37" s="6">
        <v>27.975000000000001</v>
      </c>
      <c r="BJ37" s="3">
        <v>95.557074229759891</v>
      </c>
      <c r="BK37" s="6">
        <v>3971.0149999999999</v>
      </c>
      <c r="BL37" s="6">
        <v>0</v>
      </c>
      <c r="BM37" s="6">
        <v>0</v>
      </c>
      <c r="BN37" s="6">
        <v>3971.0149999999999</v>
      </c>
      <c r="BO37" s="3">
        <v>127.3263914609381</v>
      </c>
      <c r="BP37" s="7">
        <v>384036.01500000001</v>
      </c>
      <c r="BQ37" s="2">
        <v>77.312910771614753</v>
      </c>
      <c r="BR37" s="2">
        <v>335.02261334366392</v>
      </c>
    </row>
    <row r="38" spans="1:70" x14ac:dyDescent="0.3">
      <c r="A38">
        <f t="shared" si="1"/>
        <v>2011</v>
      </c>
      <c r="B38" s="1">
        <v>223057</v>
      </c>
      <c r="C38" s="2">
        <v>42569572.068660878</v>
      </c>
      <c r="D38" s="3">
        <v>190.84616070628081</v>
      </c>
      <c r="E38" s="1">
        <v>133834</v>
      </c>
      <c r="F38" s="4">
        <v>0.78606307846641976</v>
      </c>
      <c r="G38" s="4">
        <v>0.80697186203620175</v>
      </c>
      <c r="H38" s="4">
        <v>0.99999999999999856</v>
      </c>
      <c r="I38" s="4">
        <v>0.85922175227688746</v>
      </c>
      <c r="J38" s="5">
        <v>12.10457793054303</v>
      </c>
      <c r="K38">
        <v>29226</v>
      </c>
      <c r="L38">
        <v>57096</v>
      </c>
      <c r="M38">
        <v>19171</v>
      </c>
      <c r="N38">
        <v>105493</v>
      </c>
      <c r="O38" s="6">
        <v>219195</v>
      </c>
      <c r="P38" s="6">
        <v>142740</v>
      </c>
      <c r="Q38" s="6">
        <v>23005.200000000001</v>
      </c>
      <c r="R38" s="6">
        <v>384940.2</v>
      </c>
      <c r="S38" s="2">
        <v>102.995</v>
      </c>
      <c r="T38" s="2">
        <v>26.827555555555559</v>
      </c>
      <c r="U38" s="2">
        <v>2.7023333333333328</v>
      </c>
      <c r="V38" s="2">
        <v>132.52488888888891</v>
      </c>
      <c r="W38">
        <v>124</v>
      </c>
      <c r="X38">
        <v>0</v>
      </c>
      <c r="Y38">
        <v>0</v>
      </c>
      <c r="Z38">
        <v>124</v>
      </c>
      <c r="AA38" s="2">
        <v>8966781.9200996403</v>
      </c>
      <c r="AB38" s="6">
        <v>3050.4</v>
      </c>
      <c r="AC38" s="6">
        <v>0</v>
      </c>
      <c r="AD38" s="6">
        <v>0</v>
      </c>
      <c r="AE38" s="6">
        <v>3050.4</v>
      </c>
      <c r="AF38" s="3">
        <v>32.303230408099758</v>
      </c>
      <c r="AG38">
        <v>124</v>
      </c>
      <c r="AH38">
        <v>0</v>
      </c>
      <c r="AI38">
        <v>0</v>
      </c>
      <c r="AJ38">
        <v>124</v>
      </c>
      <c r="AK38" s="2">
        <v>33545947.355518989</v>
      </c>
      <c r="AL38" s="6">
        <v>982.08</v>
      </c>
      <c r="AM38" s="6">
        <v>0</v>
      </c>
      <c r="AN38" s="6">
        <v>0</v>
      </c>
      <c r="AO38" s="6">
        <v>982.08</v>
      </c>
      <c r="AP38" s="3">
        <v>0.93514215896590025</v>
      </c>
      <c r="AQ38">
        <v>0</v>
      </c>
      <c r="AR38">
        <v>0</v>
      </c>
      <c r="AS38">
        <v>0</v>
      </c>
      <c r="AT38">
        <v>0</v>
      </c>
      <c r="AU38" s="2">
        <v>0</v>
      </c>
      <c r="AV38" s="6">
        <v>0</v>
      </c>
      <c r="AW38" s="6">
        <v>0</v>
      </c>
      <c r="AX38" s="6">
        <v>0</v>
      </c>
      <c r="AY38" s="6">
        <v>0</v>
      </c>
      <c r="AZ38" s="3">
        <v>0</v>
      </c>
      <c r="BA38">
        <v>5</v>
      </c>
      <c r="BB38">
        <v>0</v>
      </c>
      <c r="BC38">
        <v>0</v>
      </c>
      <c r="BD38">
        <v>5</v>
      </c>
      <c r="BE38" s="2">
        <v>56842.793042241632</v>
      </c>
      <c r="BF38" s="6">
        <v>27.975000000000001</v>
      </c>
      <c r="BG38" s="6">
        <v>0</v>
      </c>
      <c r="BH38" s="6">
        <v>0</v>
      </c>
      <c r="BI38" s="6">
        <v>27.975000000000001</v>
      </c>
      <c r="BJ38" s="3">
        <v>99.668329644242689</v>
      </c>
      <c r="BK38" s="6">
        <v>4060.4549999999999</v>
      </c>
      <c r="BL38" s="6">
        <v>0</v>
      </c>
      <c r="BM38" s="6">
        <v>0</v>
      </c>
      <c r="BN38" s="6">
        <v>4060.4549999999999</v>
      </c>
      <c r="BO38" s="3">
        <v>132.90670221130841</v>
      </c>
      <c r="BP38" s="7">
        <v>389000.65500000003</v>
      </c>
      <c r="BQ38" s="2">
        <v>79.629477330059174</v>
      </c>
      <c r="BR38" s="2">
        <v>345.0610684302564</v>
      </c>
    </row>
    <row r="39" spans="1:70" x14ac:dyDescent="0.3">
      <c r="A39">
        <f t="shared" si="1"/>
        <v>2012</v>
      </c>
      <c r="B39" s="1">
        <v>223837</v>
      </c>
      <c r="C39" s="2">
        <v>44178779.30145216</v>
      </c>
      <c r="D39" s="3">
        <v>197.37031545925009</v>
      </c>
      <c r="E39" s="1">
        <v>134302</v>
      </c>
      <c r="F39" s="4">
        <v>0.79034067075181269</v>
      </c>
      <c r="G39" s="4">
        <v>0.8119265661952999</v>
      </c>
      <c r="H39" s="4">
        <v>0.99999999999999956</v>
      </c>
      <c r="I39" s="4">
        <v>0.86253559723830731</v>
      </c>
      <c r="J39" s="5">
        <v>12.1788984929295</v>
      </c>
      <c r="K39">
        <v>29851</v>
      </c>
      <c r="L39">
        <v>57296</v>
      </c>
      <c r="M39">
        <v>18824</v>
      </c>
      <c r="N39">
        <v>105971</v>
      </c>
      <c r="O39" s="6">
        <v>223882.5</v>
      </c>
      <c r="P39" s="6">
        <v>143240</v>
      </c>
      <c r="Q39" s="6">
        <v>22588.799999999999</v>
      </c>
      <c r="R39" s="6">
        <v>389711.3</v>
      </c>
      <c r="S39" s="2">
        <v>105.09</v>
      </c>
      <c r="T39" s="2">
        <v>26.893777777777778</v>
      </c>
      <c r="U39" s="2">
        <v>2.6506666666666669</v>
      </c>
      <c r="V39" s="2">
        <v>134.63444444444451</v>
      </c>
      <c r="W39">
        <v>127</v>
      </c>
      <c r="X39">
        <v>0</v>
      </c>
      <c r="Y39">
        <v>0</v>
      </c>
      <c r="Z39">
        <v>127</v>
      </c>
      <c r="AA39" s="2">
        <v>9206116.039919043</v>
      </c>
      <c r="AB39" s="6">
        <v>3111.5</v>
      </c>
      <c r="AC39" s="6">
        <v>0</v>
      </c>
      <c r="AD39" s="6">
        <v>0</v>
      </c>
      <c r="AE39" s="6">
        <v>3111.5</v>
      </c>
      <c r="AF39" s="3">
        <v>33.770602349106639</v>
      </c>
      <c r="AG39">
        <v>127</v>
      </c>
      <c r="AH39">
        <v>0</v>
      </c>
      <c r="AI39">
        <v>0</v>
      </c>
      <c r="AJ39">
        <v>127</v>
      </c>
      <c r="AK39" s="2">
        <v>34918072.811093599</v>
      </c>
      <c r="AL39" s="6">
        <v>995.68</v>
      </c>
      <c r="AM39" s="6">
        <v>0</v>
      </c>
      <c r="AN39" s="6">
        <v>0</v>
      </c>
      <c r="AO39" s="6">
        <v>995.68</v>
      </c>
      <c r="AP39" s="3">
        <v>0.97803718097802461</v>
      </c>
      <c r="AQ39">
        <v>0</v>
      </c>
      <c r="AR39">
        <v>0</v>
      </c>
      <c r="AS39">
        <v>0</v>
      </c>
      <c r="AT39">
        <v>0</v>
      </c>
      <c r="AU39" s="2">
        <v>0</v>
      </c>
      <c r="AV39" s="6">
        <v>0</v>
      </c>
      <c r="AW39" s="6">
        <v>0</v>
      </c>
      <c r="AX39" s="6">
        <v>0</v>
      </c>
      <c r="AY39" s="6">
        <v>0</v>
      </c>
      <c r="AZ39" s="3">
        <v>0</v>
      </c>
      <c r="BA39">
        <v>4</v>
      </c>
      <c r="BB39">
        <v>0</v>
      </c>
      <c r="BC39">
        <v>0</v>
      </c>
      <c r="BD39">
        <v>4</v>
      </c>
      <c r="BE39" s="2">
        <v>54590.450439518543</v>
      </c>
      <c r="BF39" s="6">
        <v>23.46</v>
      </c>
      <c r="BG39" s="6">
        <v>0</v>
      </c>
      <c r="BH39" s="6">
        <v>0</v>
      </c>
      <c r="BI39" s="6">
        <v>23.46</v>
      </c>
      <c r="BJ39" s="3">
        <v>103.89135403603871</v>
      </c>
      <c r="BK39" s="6">
        <v>4130.6400000000003</v>
      </c>
      <c r="BL39" s="6">
        <v>0</v>
      </c>
      <c r="BM39" s="6">
        <v>0</v>
      </c>
      <c r="BN39" s="6">
        <v>4130.6400000000003</v>
      </c>
      <c r="BO39" s="3">
        <v>138.63999356612339</v>
      </c>
      <c r="BP39" s="7">
        <v>393841.94</v>
      </c>
      <c r="BQ39" s="2">
        <v>81.982331403170349</v>
      </c>
      <c r="BR39" s="2">
        <v>355.2567694137382</v>
      </c>
    </row>
    <row r="40" spans="1:70" x14ac:dyDescent="0.3">
      <c r="A40">
        <f t="shared" si="1"/>
        <v>2013</v>
      </c>
      <c r="B40" s="1">
        <v>224620</v>
      </c>
      <c r="C40" s="2">
        <v>45829313.102067359</v>
      </c>
      <c r="D40" s="3">
        <v>204.03042071973721</v>
      </c>
      <c r="E40" s="1">
        <v>134772</v>
      </c>
      <c r="F40" s="4">
        <v>0.79453063581647465</v>
      </c>
      <c r="G40" s="4">
        <v>0.81668699362548547</v>
      </c>
      <c r="H40" s="4">
        <v>1</v>
      </c>
      <c r="I40" s="4">
        <v>0.86574254850801247</v>
      </c>
      <c r="J40" s="5">
        <v>12.250304904382279</v>
      </c>
      <c r="K40">
        <v>30464</v>
      </c>
      <c r="L40">
        <v>57487</v>
      </c>
      <c r="M40">
        <v>18484</v>
      </c>
      <c r="N40">
        <v>106435</v>
      </c>
      <c r="O40" s="6">
        <v>228480</v>
      </c>
      <c r="P40" s="6">
        <v>143717.5</v>
      </c>
      <c r="Q40" s="6">
        <v>22180.799999999999</v>
      </c>
      <c r="R40" s="6">
        <v>394378.3</v>
      </c>
      <c r="S40" s="2">
        <v>107.1516666666667</v>
      </c>
      <c r="T40" s="2">
        <v>26.959777777777781</v>
      </c>
      <c r="U40" s="2">
        <v>2.6005333333333329</v>
      </c>
      <c r="V40" s="2">
        <v>136.7119777777778</v>
      </c>
      <c r="W40">
        <v>129</v>
      </c>
      <c r="X40">
        <v>0</v>
      </c>
      <c r="Y40">
        <v>0</v>
      </c>
      <c r="Z40">
        <v>129</v>
      </c>
      <c r="AA40" s="2">
        <v>9445596.2135739438</v>
      </c>
      <c r="AB40" s="6">
        <v>3096</v>
      </c>
      <c r="AC40" s="6">
        <v>0</v>
      </c>
      <c r="AD40" s="6">
        <v>0</v>
      </c>
      <c r="AE40" s="6">
        <v>3096</v>
      </c>
      <c r="AF40" s="3">
        <v>35.278668552276407</v>
      </c>
      <c r="AG40">
        <v>129</v>
      </c>
      <c r="AH40">
        <v>0</v>
      </c>
      <c r="AI40">
        <v>0</v>
      </c>
      <c r="AJ40">
        <v>129</v>
      </c>
      <c r="AK40" s="2">
        <v>36331472.612179317</v>
      </c>
      <c r="AL40" s="6">
        <v>1016.52</v>
      </c>
      <c r="AM40" s="6">
        <v>0</v>
      </c>
      <c r="AN40" s="6">
        <v>0</v>
      </c>
      <c r="AO40" s="6">
        <v>1016.52</v>
      </c>
      <c r="AP40" s="3">
        <v>1.0223273643844371</v>
      </c>
      <c r="AQ40">
        <v>0</v>
      </c>
      <c r="AR40">
        <v>0</v>
      </c>
      <c r="AS40">
        <v>0</v>
      </c>
      <c r="AT40">
        <v>0</v>
      </c>
      <c r="AU40" s="2">
        <v>0</v>
      </c>
      <c r="AV40" s="6">
        <v>0</v>
      </c>
      <c r="AW40" s="6">
        <v>0</v>
      </c>
      <c r="AX40" s="6">
        <v>0</v>
      </c>
      <c r="AY40" s="6">
        <v>0</v>
      </c>
      <c r="AZ40" s="3">
        <v>0</v>
      </c>
      <c r="BA40">
        <v>4</v>
      </c>
      <c r="BB40">
        <v>0</v>
      </c>
      <c r="BC40">
        <v>0</v>
      </c>
      <c r="BD40">
        <v>4</v>
      </c>
      <c r="BE40" s="2">
        <v>52244.276314088696</v>
      </c>
      <c r="BF40" s="6">
        <v>22.38</v>
      </c>
      <c r="BG40" s="6">
        <v>0</v>
      </c>
      <c r="BH40" s="6">
        <v>0</v>
      </c>
      <c r="BI40" s="6">
        <v>22.38</v>
      </c>
      <c r="BJ40" s="3">
        <v>108.2284783995856</v>
      </c>
      <c r="BK40" s="6">
        <v>4134.8999999999996</v>
      </c>
      <c r="BL40" s="6">
        <v>0</v>
      </c>
      <c r="BM40" s="6">
        <v>0</v>
      </c>
      <c r="BN40" s="6">
        <v>4134.8999999999996</v>
      </c>
      <c r="BO40" s="3">
        <v>144.52947431624639</v>
      </c>
      <c r="BP40" s="7">
        <v>398513.2</v>
      </c>
      <c r="BQ40" s="2">
        <v>84.37243562820727</v>
      </c>
      <c r="BR40" s="2">
        <v>365.61388772223148</v>
      </c>
    </row>
    <row r="41" spans="1:70" x14ac:dyDescent="0.3">
      <c r="A41">
        <f t="shared" si="1"/>
        <v>2014</v>
      </c>
      <c r="B41" s="1">
        <v>225406</v>
      </c>
      <c r="C41" s="2">
        <v>47521760.765406139</v>
      </c>
      <c r="D41" s="3">
        <v>210.82739929463341</v>
      </c>
      <c r="E41" s="1">
        <v>135243</v>
      </c>
      <c r="F41" s="4">
        <v>0.79863317533693112</v>
      </c>
      <c r="G41" s="4">
        <v>0.82126076202625886</v>
      </c>
      <c r="H41" s="4">
        <v>1</v>
      </c>
      <c r="I41" s="4">
        <v>0.86884600164027548</v>
      </c>
      <c r="J41" s="5">
        <v>12.31891143039388</v>
      </c>
      <c r="K41">
        <v>31065</v>
      </c>
      <c r="L41">
        <v>57672</v>
      </c>
      <c r="M41">
        <v>18152</v>
      </c>
      <c r="N41">
        <v>106889</v>
      </c>
      <c r="O41" s="6">
        <v>232987.5</v>
      </c>
      <c r="P41" s="6">
        <v>144180</v>
      </c>
      <c r="Q41" s="6">
        <v>21782.400000000001</v>
      </c>
      <c r="R41" s="6">
        <v>398949.9</v>
      </c>
      <c r="S41" s="2">
        <v>109.1816666666667</v>
      </c>
      <c r="T41" s="2">
        <v>27.026</v>
      </c>
      <c r="U41" s="2">
        <v>2.5518666666666672</v>
      </c>
      <c r="V41" s="2">
        <v>138.75953333333331</v>
      </c>
      <c r="W41">
        <v>132</v>
      </c>
      <c r="X41">
        <v>0</v>
      </c>
      <c r="Y41">
        <v>0</v>
      </c>
      <c r="Z41">
        <v>132</v>
      </c>
      <c r="AA41" s="2">
        <v>9685022.6106134746</v>
      </c>
      <c r="AB41" s="6">
        <v>3168</v>
      </c>
      <c r="AC41" s="6">
        <v>0</v>
      </c>
      <c r="AD41" s="6">
        <v>0</v>
      </c>
      <c r="AE41" s="6">
        <v>3168</v>
      </c>
      <c r="AF41" s="3">
        <v>36.82829348730521</v>
      </c>
      <c r="AG41">
        <v>132</v>
      </c>
      <c r="AH41">
        <v>0</v>
      </c>
      <c r="AI41">
        <v>0</v>
      </c>
      <c r="AJ41">
        <v>132</v>
      </c>
      <c r="AK41" s="2">
        <v>37786935.442984417</v>
      </c>
      <c r="AL41" s="6">
        <v>1034.8800000000001</v>
      </c>
      <c r="AM41" s="6">
        <v>0</v>
      </c>
      <c r="AN41" s="6">
        <v>0</v>
      </c>
      <c r="AO41" s="6">
        <v>1034.8800000000001</v>
      </c>
      <c r="AP41" s="3">
        <v>1.0680397319563499</v>
      </c>
      <c r="AQ41">
        <v>0</v>
      </c>
      <c r="AR41">
        <v>0</v>
      </c>
      <c r="AS41">
        <v>0</v>
      </c>
      <c r="AT41">
        <v>0</v>
      </c>
      <c r="AU41" s="2">
        <v>0</v>
      </c>
      <c r="AV41" s="6">
        <v>0</v>
      </c>
      <c r="AW41" s="6">
        <v>0</v>
      </c>
      <c r="AX41" s="6">
        <v>0</v>
      </c>
      <c r="AY41" s="6">
        <v>0</v>
      </c>
      <c r="AZ41" s="3">
        <v>0</v>
      </c>
      <c r="BA41">
        <v>4</v>
      </c>
      <c r="BB41">
        <v>0</v>
      </c>
      <c r="BC41">
        <v>0</v>
      </c>
      <c r="BD41">
        <v>4</v>
      </c>
      <c r="BE41" s="2">
        <v>49802.711808244778</v>
      </c>
      <c r="BF41" s="6">
        <v>23.64</v>
      </c>
      <c r="BG41" s="6">
        <v>0</v>
      </c>
      <c r="BH41" s="6">
        <v>0</v>
      </c>
      <c r="BI41" s="6">
        <v>23.64</v>
      </c>
      <c r="BJ41" s="3">
        <v>112.6820682603161</v>
      </c>
      <c r="BK41" s="6">
        <v>4226.5200000000004</v>
      </c>
      <c r="BL41" s="6">
        <v>0</v>
      </c>
      <c r="BM41" s="6">
        <v>0</v>
      </c>
      <c r="BN41" s="6">
        <v>4226.5200000000004</v>
      </c>
      <c r="BO41" s="3">
        <v>150.57840147957771</v>
      </c>
      <c r="BP41" s="7">
        <v>403176.42</v>
      </c>
      <c r="BQ41" s="2">
        <v>86.801380443873313</v>
      </c>
      <c r="BR41" s="2">
        <v>376.13931525678441</v>
      </c>
    </row>
    <row r="42" spans="1:70" x14ac:dyDescent="0.3">
      <c r="A42">
        <f t="shared" si="1"/>
        <v>2015</v>
      </c>
      <c r="B42" s="1">
        <v>226194</v>
      </c>
      <c r="C42" s="2">
        <v>49257178.09390945</v>
      </c>
      <c r="D42" s="3">
        <v>217.76518428388661</v>
      </c>
      <c r="E42" s="1">
        <v>135716</v>
      </c>
      <c r="F42" s="4">
        <v>0.80265068044302024</v>
      </c>
      <c r="G42" s="4">
        <v>0.8256551904028504</v>
      </c>
      <c r="H42" s="4">
        <v>1</v>
      </c>
      <c r="I42" s="4">
        <v>0.87184998523550716</v>
      </c>
      <c r="J42" s="5">
        <v>12.38482785604276</v>
      </c>
      <c r="K42">
        <v>31655</v>
      </c>
      <c r="L42">
        <v>57852</v>
      </c>
      <c r="M42">
        <v>17828</v>
      </c>
      <c r="N42">
        <v>107335</v>
      </c>
      <c r="O42" s="6">
        <v>237412.5</v>
      </c>
      <c r="P42" s="6">
        <v>144630</v>
      </c>
      <c r="Q42" s="6">
        <v>21393.599999999999</v>
      </c>
      <c r="R42" s="6">
        <v>403436.1</v>
      </c>
      <c r="S42" s="2">
        <v>111.18</v>
      </c>
      <c r="T42" s="2">
        <v>27.092222222222219</v>
      </c>
      <c r="U42" s="2">
        <v>2.504666666666667</v>
      </c>
      <c r="V42" s="2">
        <v>140.77688888888889</v>
      </c>
      <c r="W42">
        <v>134</v>
      </c>
      <c r="X42">
        <v>0</v>
      </c>
      <c r="Y42">
        <v>0</v>
      </c>
      <c r="Z42">
        <v>134</v>
      </c>
      <c r="AA42" s="2">
        <v>9924260.2105182242</v>
      </c>
      <c r="AB42" s="6">
        <v>3283</v>
      </c>
      <c r="AC42" s="6">
        <v>0</v>
      </c>
      <c r="AD42" s="6">
        <v>0</v>
      </c>
      <c r="AE42" s="6">
        <v>3283</v>
      </c>
      <c r="AF42" s="3">
        <v>38.420336739299387</v>
      </c>
      <c r="AG42">
        <v>134</v>
      </c>
      <c r="AH42">
        <v>0</v>
      </c>
      <c r="AI42">
        <v>0</v>
      </c>
      <c r="AJ42">
        <v>134</v>
      </c>
      <c r="AK42" s="2">
        <v>39285653.270432606</v>
      </c>
      <c r="AL42" s="6">
        <v>1018.4</v>
      </c>
      <c r="AM42" s="6">
        <v>0</v>
      </c>
      <c r="AN42" s="6">
        <v>0</v>
      </c>
      <c r="AO42" s="6">
        <v>1018.4</v>
      </c>
      <c r="AP42" s="3">
        <v>1.1152014746066701</v>
      </c>
      <c r="AQ42">
        <v>0</v>
      </c>
      <c r="AR42">
        <v>0</v>
      </c>
      <c r="AS42">
        <v>0</v>
      </c>
      <c r="AT42">
        <v>0</v>
      </c>
      <c r="AU42" s="2">
        <v>0</v>
      </c>
      <c r="AV42" s="6">
        <v>0</v>
      </c>
      <c r="AW42" s="6">
        <v>0</v>
      </c>
      <c r="AX42" s="6">
        <v>0</v>
      </c>
      <c r="AY42" s="6">
        <v>0</v>
      </c>
      <c r="AZ42" s="3">
        <v>0</v>
      </c>
      <c r="BA42">
        <v>4</v>
      </c>
      <c r="BB42">
        <v>0</v>
      </c>
      <c r="BC42">
        <v>0</v>
      </c>
      <c r="BD42">
        <v>4</v>
      </c>
      <c r="BE42" s="2">
        <v>47264.612958617909</v>
      </c>
      <c r="BF42" s="6">
        <v>22.2</v>
      </c>
      <c r="BG42" s="6">
        <v>0</v>
      </c>
      <c r="BH42" s="6">
        <v>0</v>
      </c>
      <c r="BI42" s="6">
        <v>22.2</v>
      </c>
      <c r="BJ42" s="3">
        <v>117.2544483560866</v>
      </c>
      <c r="BK42" s="6">
        <v>4323.6000000000004</v>
      </c>
      <c r="BL42" s="6">
        <v>0</v>
      </c>
      <c r="BM42" s="6">
        <v>0</v>
      </c>
      <c r="BN42" s="6">
        <v>4323.6000000000004</v>
      </c>
      <c r="BO42" s="3">
        <v>156.78998656999261</v>
      </c>
      <c r="BP42" s="7">
        <v>407759.7</v>
      </c>
      <c r="BQ42" s="2">
        <v>89.270062637664466</v>
      </c>
      <c r="BR42" s="2">
        <v>386.83693809654602</v>
      </c>
    </row>
    <row r="43" spans="1:70" x14ac:dyDescent="0.3">
      <c r="A43">
        <f t="shared" si="1"/>
        <v>2016</v>
      </c>
      <c r="B43" s="1">
        <v>226985</v>
      </c>
      <c r="C43" s="2">
        <v>51036427.163815871</v>
      </c>
      <c r="D43" s="3">
        <v>224.84493320622889</v>
      </c>
      <c r="E43" s="1">
        <v>136191</v>
      </c>
      <c r="F43" s="4">
        <v>0.80660888645320894</v>
      </c>
      <c r="G43" s="4">
        <v>0.82987731077819094</v>
      </c>
      <c r="H43" s="4">
        <v>1</v>
      </c>
      <c r="I43" s="4">
        <v>0.87476681178266358</v>
      </c>
      <c r="J43" s="5">
        <v>12.448159661672859</v>
      </c>
      <c r="K43">
        <v>32234</v>
      </c>
      <c r="L43">
        <v>58027</v>
      </c>
      <c r="M43">
        <v>17509</v>
      </c>
      <c r="N43">
        <v>107770</v>
      </c>
      <c r="O43" s="6">
        <v>241755</v>
      </c>
      <c r="P43" s="6">
        <v>145067.5</v>
      </c>
      <c r="Q43" s="6">
        <v>21010.799999999999</v>
      </c>
      <c r="R43" s="6">
        <v>407833.3</v>
      </c>
      <c r="S43" s="2">
        <v>113.1516666666667</v>
      </c>
      <c r="T43" s="2">
        <v>27.158888888888889</v>
      </c>
      <c r="U43" s="2">
        <v>2.458533333333333</v>
      </c>
      <c r="V43" s="2">
        <v>142.76908888888889</v>
      </c>
      <c r="W43">
        <v>137</v>
      </c>
      <c r="X43">
        <v>1</v>
      </c>
      <c r="Y43">
        <v>0</v>
      </c>
      <c r="Z43">
        <v>138</v>
      </c>
      <c r="AA43" s="2">
        <v>10163127.949314279</v>
      </c>
      <c r="AB43" s="6">
        <v>3301.7</v>
      </c>
      <c r="AC43" s="6">
        <v>247</v>
      </c>
      <c r="AD43" s="6">
        <v>0</v>
      </c>
      <c r="AE43" s="6">
        <v>3548.7</v>
      </c>
      <c r="AF43" s="3">
        <v>40.055690782454178</v>
      </c>
      <c r="AG43">
        <v>137</v>
      </c>
      <c r="AH43">
        <v>1</v>
      </c>
      <c r="AI43">
        <v>0</v>
      </c>
      <c r="AJ43">
        <v>138</v>
      </c>
      <c r="AK43" s="2">
        <v>40828671.075757302</v>
      </c>
      <c r="AL43" s="6">
        <v>1046.68</v>
      </c>
      <c r="AM43" s="6">
        <v>97</v>
      </c>
      <c r="AN43" s="6">
        <v>0</v>
      </c>
      <c r="AO43" s="6">
        <v>1143.68</v>
      </c>
      <c r="AP43" s="3">
        <v>1.163840727191652</v>
      </c>
      <c r="AQ43">
        <v>0</v>
      </c>
      <c r="AR43">
        <v>0</v>
      </c>
      <c r="AS43">
        <v>0</v>
      </c>
      <c r="AT43">
        <v>0</v>
      </c>
      <c r="AU43" s="2">
        <v>0</v>
      </c>
      <c r="AV43" s="6">
        <v>0</v>
      </c>
      <c r="AW43" s="6">
        <v>0</v>
      </c>
      <c r="AX43" s="6">
        <v>0</v>
      </c>
      <c r="AY43" s="6">
        <v>0</v>
      </c>
      <c r="AZ43" s="3">
        <v>0</v>
      </c>
      <c r="BA43">
        <v>4</v>
      </c>
      <c r="BB43">
        <v>0</v>
      </c>
      <c r="BC43">
        <v>0</v>
      </c>
      <c r="BD43">
        <v>4</v>
      </c>
      <c r="BE43" s="2">
        <v>44628.13874428672</v>
      </c>
      <c r="BF43" s="6">
        <v>22.74</v>
      </c>
      <c r="BG43" s="6">
        <v>0</v>
      </c>
      <c r="BH43" s="6">
        <v>0</v>
      </c>
      <c r="BI43" s="6">
        <v>22.74</v>
      </c>
      <c r="BJ43" s="3">
        <v>121.9480628851144</v>
      </c>
      <c r="BK43" s="6">
        <v>4371.12</v>
      </c>
      <c r="BL43" s="6">
        <v>344</v>
      </c>
      <c r="BM43" s="6">
        <v>0</v>
      </c>
      <c r="BN43" s="6">
        <v>4715.12</v>
      </c>
      <c r="BO43" s="3">
        <v>163.16759439476019</v>
      </c>
      <c r="BP43" s="7">
        <v>412548.42</v>
      </c>
      <c r="BQ43" s="2">
        <v>91.781004985094739</v>
      </c>
      <c r="BR43" s="2">
        <v>397.71768826874393</v>
      </c>
    </row>
    <row r="44" spans="1:70" x14ac:dyDescent="0.3">
      <c r="A44">
        <f t="shared" si="1"/>
        <v>2017</v>
      </c>
      <c r="B44" s="1">
        <v>227779</v>
      </c>
      <c r="C44" s="2">
        <v>52860130.962268993</v>
      </c>
      <c r="D44" s="3">
        <v>232.06762239832909</v>
      </c>
      <c r="E44" s="1">
        <v>136667</v>
      </c>
      <c r="F44" s="4">
        <v>0.81048479546204821</v>
      </c>
      <c r="G44" s="4">
        <v>0.83393387944564812</v>
      </c>
      <c r="H44" s="4">
        <v>1</v>
      </c>
      <c r="I44" s="4">
        <v>0.8775910051199538</v>
      </c>
      <c r="J44" s="5">
        <v>12.509008191684719</v>
      </c>
      <c r="K44">
        <v>32803</v>
      </c>
      <c r="L44">
        <v>58198</v>
      </c>
      <c r="M44">
        <v>17198</v>
      </c>
      <c r="N44">
        <v>108199</v>
      </c>
      <c r="O44" s="6">
        <v>246022.5</v>
      </c>
      <c r="P44" s="6">
        <v>145495</v>
      </c>
      <c r="Q44" s="6">
        <v>20637.599999999999</v>
      </c>
      <c r="R44" s="6">
        <v>412155.1</v>
      </c>
      <c r="S44" s="2">
        <v>115.09333333333331</v>
      </c>
      <c r="T44" s="2">
        <v>27.225777777777779</v>
      </c>
      <c r="U44" s="2">
        <v>2.413733333333334</v>
      </c>
      <c r="V44" s="2">
        <v>144.73284444444451</v>
      </c>
      <c r="W44">
        <v>140</v>
      </c>
      <c r="X44">
        <v>1</v>
      </c>
      <c r="Y44">
        <v>0</v>
      </c>
      <c r="Z44">
        <v>141</v>
      </c>
      <c r="AA44" s="2">
        <v>10401391.80063111</v>
      </c>
      <c r="AB44" s="6">
        <v>3444</v>
      </c>
      <c r="AC44" s="6">
        <v>243</v>
      </c>
      <c r="AD44" s="6">
        <v>0</v>
      </c>
      <c r="AE44" s="6">
        <v>3687</v>
      </c>
      <c r="AF44" s="3">
        <v>41.735263508612199</v>
      </c>
      <c r="AG44">
        <v>140</v>
      </c>
      <c r="AH44">
        <v>1</v>
      </c>
      <c r="AI44">
        <v>0</v>
      </c>
      <c r="AJ44">
        <v>141</v>
      </c>
      <c r="AK44" s="2">
        <v>42416848.397036128</v>
      </c>
      <c r="AL44" s="6">
        <v>1092</v>
      </c>
      <c r="AM44" s="6">
        <v>97</v>
      </c>
      <c r="AN44" s="6">
        <v>0</v>
      </c>
      <c r="AO44" s="6">
        <v>1189</v>
      </c>
      <c r="AP44" s="3">
        <v>1.2139862173155951</v>
      </c>
      <c r="AQ44">
        <v>0</v>
      </c>
      <c r="AR44">
        <v>0</v>
      </c>
      <c r="AS44">
        <v>0</v>
      </c>
      <c r="AT44">
        <v>0</v>
      </c>
      <c r="AU44" s="2">
        <v>0</v>
      </c>
      <c r="AV44" s="6">
        <v>0</v>
      </c>
      <c r="AW44" s="6">
        <v>0</v>
      </c>
      <c r="AX44" s="6">
        <v>0</v>
      </c>
      <c r="AY44" s="6">
        <v>0</v>
      </c>
      <c r="AZ44" s="3">
        <v>0</v>
      </c>
      <c r="BA44">
        <v>3</v>
      </c>
      <c r="BB44">
        <v>0</v>
      </c>
      <c r="BC44">
        <v>0</v>
      </c>
      <c r="BD44">
        <v>3</v>
      </c>
      <c r="BE44" s="2">
        <v>41890.764601754287</v>
      </c>
      <c r="BF44" s="6">
        <v>17.324999999999999</v>
      </c>
      <c r="BG44" s="6">
        <v>0</v>
      </c>
      <c r="BH44" s="6">
        <v>0</v>
      </c>
      <c r="BI44" s="6">
        <v>17.324999999999999</v>
      </c>
      <c r="BJ44" s="3">
        <v>126.7653989845416</v>
      </c>
      <c r="BK44" s="6">
        <v>4553.3249999999998</v>
      </c>
      <c r="BL44" s="6">
        <v>340</v>
      </c>
      <c r="BM44" s="6">
        <v>0</v>
      </c>
      <c r="BN44" s="6">
        <v>4893.3249999999998</v>
      </c>
      <c r="BO44" s="3">
        <v>169.71464871046939</v>
      </c>
      <c r="BP44" s="7">
        <v>417048.42499999999</v>
      </c>
      <c r="BQ44" s="2">
        <v>94.33424794647415</v>
      </c>
      <c r="BR44" s="2">
        <v>408.78174110138798</v>
      </c>
    </row>
    <row r="45" spans="1:70" x14ac:dyDescent="0.3">
      <c r="A45">
        <f t="shared" si="1"/>
        <v>2018</v>
      </c>
      <c r="B45" s="1">
        <v>228576</v>
      </c>
      <c r="C45" s="2">
        <v>54729428.070814341</v>
      </c>
      <c r="D45" s="3">
        <v>239.4364590806311</v>
      </c>
      <c r="E45" s="1">
        <v>137145</v>
      </c>
      <c r="F45" s="4">
        <v>0.81428047661822522</v>
      </c>
      <c r="G45" s="4">
        <v>0.8378313877805369</v>
      </c>
      <c r="H45" s="4">
        <v>1</v>
      </c>
      <c r="I45" s="4">
        <v>0.88032604213662691</v>
      </c>
      <c r="J45" s="5">
        <v>12.567470816708051</v>
      </c>
      <c r="K45">
        <v>33362</v>
      </c>
      <c r="L45">
        <v>58366</v>
      </c>
      <c r="M45">
        <v>16896</v>
      </c>
      <c r="N45">
        <v>108624</v>
      </c>
      <c r="O45" s="6">
        <v>250215</v>
      </c>
      <c r="P45" s="6">
        <v>145915</v>
      </c>
      <c r="Q45" s="6">
        <v>20275.2</v>
      </c>
      <c r="R45" s="6">
        <v>416405.2</v>
      </c>
      <c r="S45" s="2">
        <v>117.0033333333333</v>
      </c>
      <c r="T45" s="2">
        <v>27.293111111111109</v>
      </c>
      <c r="U45" s="2">
        <v>2.3702000000000001</v>
      </c>
      <c r="V45" s="2">
        <v>146.66664444444439</v>
      </c>
      <c r="W45">
        <v>142</v>
      </c>
      <c r="X45">
        <v>1</v>
      </c>
      <c r="Y45">
        <v>0</v>
      </c>
      <c r="Z45">
        <v>143</v>
      </c>
      <c r="AA45" s="2">
        <v>10638885.861903129</v>
      </c>
      <c r="AB45" s="6">
        <v>3464.8</v>
      </c>
      <c r="AC45" s="6">
        <v>248</v>
      </c>
      <c r="AD45" s="6">
        <v>0</v>
      </c>
      <c r="AE45" s="6">
        <v>3712.8</v>
      </c>
      <c r="AF45" s="3">
        <v>43.459958175076977</v>
      </c>
      <c r="AG45">
        <v>142</v>
      </c>
      <c r="AH45">
        <v>1</v>
      </c>
      <c r="AI45">
        <v>0</v>
      </c>
      <c r="AJ45">
        <v>143</v>
      </c>
      <c r="AK45" s="2">
        <v>44051492.160060123</v>
      </c>
      <c r="AL45" s="6">
        <v>1101.92</v>
      </c>
      <c r="AM45" s="6">
        <v>97</v>
      </c>
      <c r="AN45" s="6">
        <v>0</v>
      </c>
      <c r="AO45" s="6">
        <v>1198.92</v>
      </c>
      <c r="AP45" s="3">
        <v>1.2656668490665759</v>
      </c>
      <c r="AQ45">
        <v>0</v>
      </c>
      <c r="AR45">
        <v>0</v>
      </c>
      <c r="AS45">
        <v>0</v>
      </c>
      <c r="AT45">
        <v>0</v>
      </c>
      <c r="AU45" s="2">
        <v>0</v>
      </c>
      <c r="AV45" s="6">
        <v>0</v>
      </c>
      <c r="AW45" s="6">
        <v>0</v>
      </c>
      <c r="AX45" s="6">
        <v>0</v>
      </c>
      <c r="AY45" s="6">
        <v>0</v>
      </c>
      <c r="AZ45" s="3">
        <v>0</v>
      </c>
      <c r="BA45">
        <v>3</v>
      </c>
      <c r="BB45">
        <v>0</v>
      </c>
      <c r="BC45">
        <v>0</v>
      </c>
      <c r="BD45">
        <v>3</v>
      </c>
      <c r="BE45" s="2">
        <v>39050.048851102263</v>
      </c>
      <c r="BF45" s="6">
        <v>16.649999999999999</v>
      </c>
      <c r="BG45" s="6">
        <v>0</v>
      </c>
      <c r="BH45" s="6">
        <v>0</v>
      </c>
      <c r="BI45" s="6">
        <v>16.649999999999999</v>
      </c>
      <c r="BJ45" s="3">
        <v>131.70890274017711</v>
      </c>
      <c r="BK45" s="6">
        <v>4583.37</v>
      </c>
      <c r="BL45" s="6">
        <v>345</v>
      </c>
      <c r="BM45" s="6">
        <v>0</v>
      </c>
      <c r="BN45" s="6">
        <v>4928.37</v>
      </c>
      <c r="BO45" s="3">
        <v>176.43452776432071</v>
      </c>
      <c r="BP45" s="7">
        <v>421333.57</v>
      </c>
      <c r="BQ45" s="2">
        <v>96.930351662629519</v>
      </c>
      <c r="BR45" s="2">
        <v>420.0315238713946</v>
      </c>
    </row>
    <row r="46" spans="1:70" x14ac:dyDescent="0.3">
      <c r="A46">
        <f t="shared" si="1"/>
        <v>2019</v>
      </c>
      <c r="B46" s="1">
        <v>229376</v>
      </c>
      <c r="C46" s="2">
        <v>56645240.856385633</v>
      </c>
      <c r="D46" s="3">
        <v>246.95365189202721</v>
      </c>
      <c r="E46" s="1">
        <v>137625</v>
      </c>
      <c r="F46" s="4">
        <v>0.81799736421372793</v>
      </c>
      <c r="G46" s="4">
        <v>0.8415760726277064</v>
      </c>
      <c r="H46" s="4">
        <v>1</v>
      </c>
      <c r="I46" s="4">
        <v>0.88297504156345064</v>
      </c>
      <c r="J46" s="5">
        <v>12.623641089415599</v>
      </c>
      <c r="K46">
        <v>33910</v>
      </c>
      <c r="L46">
        <v>58531</v>
      </c>
      <c r="M46">
        <v>16600</v>
      </c>
      <c r="N46">
        <v>109041</v>
      </c>
      <c r="O46" s="6">
        <v>254325</v>
      </c>
      <c r="P46" s="6">
        <v>146327.5</v>
      </c>
      <c r="Q46" s="6">
        <v>19920</v>
      </c>
      <c r="R46" s="6">
        <v>420572.5</v>
      </c>
      <c r="S46" s="2">
        <v>118.88500000000001</v>
      </c>
      <c r="T46" s="2">
        <v>27.36066666666667</v>
      </c>
      <c r="U46" s="2">
        <v>2.3279999999999998</v>
      </c>
      <c r="V46" s="2">
        <v>148.5736666666667</v>
      </c>
      <c r="W46">
        <v>145</v>
      </c>
      <c r="X46">
        <v>1</v>
      </c>
      <c r="Y46">
        <v>0</v>
      </c>
      <c r="Z46">
        <v>146</v>
      </c>
      <c r="AA46" s="2">
        <v>10875393.99949527</v>
      </c>
      <c r="AB46" s="6">
        <v>3494.5</v>
      </c>
      <c r="AC46" s="6">
        <v>246</v>
      </c>
      <c r="AD46" s="6">
        <v>0</v>
      </c>
      <c r="AE46" s="6">
        <v>3740.5</v>
      </c>
      <c r="AF46" s="3">
        <v>45.230714930237511</v>
      </c>
      <c r="AG46">
        <v>145</v>
      </c>
      <c r="AH46">
        <v>1</v>
      </c>
      <c r="AI46">
        <v>0</v>
      </c>
      <c r="AJ46">
        <v>146</v>
      </c>
      <c r="AK46" s="2">
        <v>45733744.258122653</v>
      </c>
      <c r="AL46" s="6">
        <v>1102</v>
      </c>
      <c r="AM46" s="6">
        <v>98</v>
      </c>
      <c r="AN46" s="6">
        <v>0</v>
      </c>
      <c r="AO46" s="6">
        <v>1200</v>
      </c>
      <c r="AP46" s="3">
        <v>1.3189125570459359</v>
      </c>
      <c r="AQ46">
        <v>0</v>
      </c>
      <c r="AR46">
        <v>0</v>
      </c>
      <c r="AS46">
        <v>0</v>
      </c>
      <c r="AT46">
        <v>0</v>
      </c>
      <c r="AU46" s="2">
        <v>0</v>
      </c>
      <c r="AV46" s="6">
        <v>0</v>
      </c>
      <c r="AW46" s="6">
        <v>0</v>
      </c>
      <c r="AX46" s="6">
        <v>0</v>
      </c>
      <c r="AY46" s="6">
        <v>0</v>
      </c>
      <c r="AZ46" s="3">
        <v>0</v>
      </c>
      <c r="BA46">
        <v>3</v>
      </c>
      <c r="BB46">
        <v>0</v>
      </c>
      <c r="BC46">
        <v>0</v>
      </c>
      <c r="BD46">
        <v>3</v>
      </c>
      <c r="BE46" s="2">
        <v>36102.59876770687</v>
      </c>
      <c r="BF46" s="6">
        <v>17.055</v>
      </c>
      <c r="BG46" s="6">
        <v>0</v>
      </c>
      <c r="BH46" s="6">
        <v>0</v>
      </c>
      <c r="BI46" s="6">
        <v>17.055</v>
      </c>
      <c r="BJ46" s="3">
        <v>136.78115515643091</v>
      </c>
      <c r="BK46" s="6">
        <v>4613.5550000000003</v>
      </c>
      <c r="BL46" s="6">
        <v>344</v>
      </c>
      <c r="BM46" s="6">
        <v>0</v>
      </c>
      <c r="BN46" s="6">
        <v>4957.5550000000003</v>
      </c>
      <c r="BO46" s="3">
        <v>183.33078264371429</v>
      </c>
      <c r="BP46" s="7">
        <v>425530.05499999999</v>
      </c>
      <c r="BQ46" s="2">
        <v>99.571334793114289</v>
      </c>
      <c r="BR46" s="2">
        <v>431.47578410349519</v>
      </c>
    </row>
    <row r="47" spans="1:70" x14ac:dyDescent="0.3">
      <c r="A47">
        <f t="shared" si="1"/>
        <v>2020</v>
      </c>
      <c r="B47" s="1">
        <v>230178</v>
      </c>
      <c r="C47" s="2">
        <v>58608226.798684202</v>
      </c>
      <c r="D47" s="3">
        <v>254.621322622858</v>
      </c>
      <c r="E47" s="1">
        <v>138106</v>
      </c>
      <c r="F47" s="4">
        <v>0.82163700086813929</v>
      </c>
      <c r="G47" s="4">
        <v>0.84517392628182053</v>
      </c>
      <c r="H47" s="4">
        <v>1</v>
      </c>
      <c r="I47" s="4">
        <v>0.8855410397869552</v>
      </c>
      <c r="J47" s="5">
        <v>12.67760889422731</v>
      </c>
      <c r="K47">
        <v>34448</v>
      </c>
      <c r="L47">
        <v>58694</v>
      </c>
      <c r="M47">
        <v>16313</v>
      </c>
      <c r="N47">
        <v>109455</v>
      </c>
      <c r="O47" s="6">
        <v>258360</v>
      </c>
      <c r="P47" s="6">
        <v>146735</v>
      </c>
      <c r="Q47" s="6">
        <v>19575.599999999999</v>
      </c>
      <c r="R47" s="6">
        <v>424670.6</v>
      </c>
      <c r="S47" s="2">
        <v>120.73666666666669</v>
      </c>
      <c r="T47" s="2">
        <v>27.428666666666668</v>
      </c>
      <c r="U47" s="2">
        <v>2.2869999999999999</v>
      </c>
      <c r="V47" s="2">
        <v>150.45233333333331</v>
      </c>
      <c r="W47">
        <v>148</v>
      </c>
      <c r="X47">
        <v>1</v>
      </c>
      <c r="Y47">
        <v>0</v>
      </c>
      <c r="Z47">
        <v>149</v>
      </c>
      <c r="AA47" s="2">
        <v>11110642.752073189</v>
      </c>
      <c r="AB47" s="6">
        <v>3566.8</v>
      </c>
      <c r="AC47" s="6">
        <v>243</v>
      </c>
      <c r="AD47" s="6">
        <v>0</v>
      </c>
      <c r="AE47" s="6">
        <v>3809.8</v>
      </c>
      <c r="AF47" s="3">
        <v>47.048491302934103</v>
      </c>
      <c r="AG47">
        <v>148</v>
      </c>
      <c r="AH47">
        <v>1</v>
      </c>
      <c r="AI47">
        <v>0</v>
      </c>
      <c r="AJ47">
        <v>149</v>
      </c>
      <c r="AK47" s="2">
        <v>47464540.074965432</v>
      </c>
      <c r="AL47" s="6">
        <v>1160.32</v>
      </c>
      <c r="AM47" s="6">
        <v>96.5</v>
      </c>
      <c r="AN47" s="6">
        <v>0</v>
      </c>
      <c r="AO47" s="6">
        <v>1256.82</v>
      </c>
      <c r="AP47" s="3">
        <v>1.373753915095201</v>
      </c>
      <c r="AQ47">
        <v>0</v>
      </c>
      <c r="AR47">
        <v>0</v>
      </c>
      <c r="AS47">
        <v>0</v>
      </c>
      <c r="AT47">
        <v>0</v>
      </c>
      <c r="AU47" s="2">
        <v>0</v>
      </c>
      <c r="AV47" s="6">
        <v>0</v>
      </c>
      <c r="AW47" s="6">
        <v>0</v>
      </c>
      <c r="AX47" s="6">
        <v>0</v>
      </c>
      <c r="AY47" s="6">
        <v>0</v>
      </c>
      <c r="AZ47" s="3">
        <v>0</v>
      </c>
      <c r="BA47">
        <v>3</v>
      </c>
      <c r="BB47">
        <v>0</v>
      </c>
      <c r="BC47">
        <v>0</v>
      </c>
      <c r="BD47">
        <v>3</v>
      </c>
      <c r="BE47" s="2">
        <v>33043.971645584359</v>
      </c>
      <c r="BF47" s="6">
        <v>17.190000000000001</v>
      </c>
      <c r="BG47" s="6">
        <v>0</v>
      </c>
      <c r="BH47" s="6">
        <v>0</v>
      </c>
      <c r="BI47" s="6">
        <v>17.190000000000001</v>
      </c>
      <c r="BJ47" s="3">
        <v>141.98478659291629</v>
      </c>
      <c r="BK47" s="6">
        <v>4744.3100000000004</v>
      </c>
      <c r="BL47" s="6">
        <v>339.5</v>
      </c>
      <c r="BM47" s="6">
        <v>0</v>
      </c>
      <c r="BN47" s="6">
        <v>5083.8100000000004</v>
      </c>
      <c r="BO47" s="3">
        <v>190.4070318109456</v>
      </c>
      <c r="BP47" s="7">
        <v>429754.41</v>
      </c>
      <c r="BQ47" s="2">
        <v>102.2578095432837</v>
      </c>
      <c r="BR47" s="2">
        <v>443.11717468756262</v>
      </c>
    </row>
    <row r="48" spans="1:70" x14ac:dyDescent="0.3">
      <c r="A48">
        <f t="shared" si="1"/>
        <v>2021</v>
      </c>
      <c r="B48" s="1">
        <v>230983</v>
      </c>
      <c r="C48" s="2">
        <v>60619608.191674963</v>
      </c>
      <c r="D48" s="3">
        <v>262.44186018743778</v>
      </c>
      <c r="E48" s="1">
        <v>138589</v>
      </c>
      <c r="F48" s="4">
        <v>0.82520127089507933</v>
      </c>
      <c r="G48" s="4">
        <v>0.84863070607630897</v>
      </c>
      <c r="H48" s="4">
        <v>1</v>
      </c>
      <c r="I48" s="4">
        <v>0.88802708080590764</v>
      </c>
      <c r="J48" s="5">
        <v>12.72946059114464</v>
      </c>
      <c r="K48">
        <v>34977</v>
      </c>
      <c r="L48">
        <v>58855</v>
      </c>
      <c r="M48">
        <v>16033</v>
      </c>
      <c r="N48">
        <v>109865</v>
      </c>
      <c r="O48" s="6">
        <v>262327.5</v>
      </c>
      <c r="P48" s="6">
        <v>147137.5</v>
      </c>
      <c r="Q48" s="6">
        <v>19239.599999999999</v>
      </c>
      <c r="R48" s="6">
        <v>428704.6</v>
      </c>
      <c r="S48" s="2">
        <v>122.56</v>
      </c>
      <c r="T48" s="2">
        <v>27.49733333333333</v>
      </c>
      <c r="U48" s="2">
        <v>2.2471999999999999</v>
      </c>
      <c r="V48" s="2">
        <v>152.3045333333333</v>
      </c>
      <c r="W48">
        <v>150</v>
      </c>
      <c r="X48">
        <v>1</v>
      </c>
      <c r="Y48">
        <v>0</v>
      </c>
      <c r="Z48">
        <v>151</v>
      </c>
      <c r="AA48" s="2">
        <v>11344429.34388984</v>
      </c>
      <c r="AB48" s="6">
        <v>3675</v>
      </c>
      <c r="AC48" s="6">
        <v>246</v>
      </c>
      <c r="AD48" s="6">
        <v>0</v>
      </c>
      <c r="AE48" s="6">
        <v>3921</v>
      </c>
      <c r="AF48" s="3">
        <v>48.914239968652787</v>
      </c>
      <c r="AG48">
        <v>150</v>
      </c>
      <c r="AH48">
        <v>1</v>
      </c>
      <c r="AI48">
        <v>0</v>
      </c>
      <c r="AJ48">
        <v>151</v>
      </c>
      <c r="AK48" s="2">
        <v>49245309.772212677</v>
      </c>
      <c r="AL48" s="6">
        <v>1182</v>
      </c>
      <c r="AM48" s="6">
        <v>96.5</v>
      </c>
      <c r="AN48" s="6">
        <v>0</v>
      </c>
      <c r="AO48" s="6">
        <v>1278.5</v>
      </c>
      <c r="AP48" s="3">
        <v>1.4302216756401509</v>
      </c>
      <c r="AQ48">
        <v>0</v>
      </c>
      <c r="AR48">
        <v>0</v>
      </c>
      <c r="AS48">
        <v>0</v>
      </c>
      <c r="AT48">
        <v>0</v>
      </c>
      <c r="AU48" s="2">
        <v>0</v>
      </c>
      <c r="AV48" s="6">
        <v>0</v>
      </c>
      <c r="AW48" s="6">
        <v>0</v>
      </c>
      <c r="AX48" s="6">
        <v>0</v>
      </c>
      <c r="AY48" s="6">
        <v>0</v>
      </c>
      <c r="AZ48" s="3">
        <v>0</v>
      </c>
      <c r="BA48">
        <v>3</v>
      </c>
      <c r="BB48">
        <v>0</v>
      </c>
      <c r="BC48">
        <v>0</v>
      </c>
      <c r="BD48">
        <v>3</v>
      </c>
      <c r="BE48" s="2">
        <v>29869.075572434682</v>
      </c>
      <c r="BF48" s="6">
        <v>17.46</v>
      </c>
      <c r="BG48" s="6">
        <v>0</v>
      </c>
      <c r="BH48" s="6">
        <v>0</v>
      </c>
      <c r="BI48" s="6">
        <v>17.46</v>
      </c>
      <c r="BJ48" s="3">
        <v>147.3223835331861</v>
      </c>
      <c r="BK48" s="6">
        <v>4874.46</v>
      </c>
      <c r="BL48" s="6">
        <v>342.5</v>
      </c>
      <c r="BM48" s="6">
        <v>0</v>
      </c>
      <c r="BN48" s="6">
        <v>5216.96</v>
      </c>
      <c r="BO48" s="3">
        <v>197.66684517747899</v>
      </c>
      <c r="BP48" s="7">
        <v>433921.56</v>
      </c>
      <c r="BQ48" s="2">
        <v>104.9914135532437</v>
      </c>
      <c r="BR48" s="2">
        <v>454.96279206405609</v>
      </c>
    </row>
    <row r="49" spans="1:70" x14ac:dyDescent="0.3">
      <c r="A49">
        <f t="shared" si="1"/>
        <v>2022</v>
      </c>
      <c r="B49" s="1">
        <v>231791</v>
      </c>
      <c r="C49" s="2">
        <v>62680365.968751229</v>
      </c>
      <c r="D49" s="3">
        <v>270.41760020342127</v>
      </c>
      <c r="E49" s="1">
        <v>139074</v>
      </c>
      <c r="F49" s="4">
        <v>0.82869217245051419</v>
      </c>
      <c r="G49" s="4">
        <v>0.85195194359632853</v>
      </c>
      <c r="H49" s="4">
        <v>1</v>
      </c>
      <c r="I49" s="4">
        <v>0.89043613979609759</v>
      </c>
      <c r="J49" s="5">
        <v>12.77927915394493</v>
      </c>
      <c r="K49">
        <v>35496</v>
      </c>
      <c r="L49">
        <v>59015</v>
      </c>
      <c r="M49">
        <v>15760</v>
      </c>
      <c r="N49">
        <v>110271</v>
      </c>
      <c r="O49" s="6">
        <v>266220</v>
      </c>
      <c r="P49" s="6">
        <v>147537.5</v>
      </c>
      <c r="Q49" s="6">
        <v>18912</v>
      </c>
      <c r="R49" s="6">
        <v>432669.5</v>
      </c>
      <c r="S49" s="2">
        <v>124.355</v>
      </c>
      <c r="T49" s="2">
        <v>27.566444444444439</v>
      </c>
      <c r="U49" s="2">
        <v>2.208533333333333</v>
      </c>
      <c r="V49" s="2">
        <v>154.12997777777781</v>
      </c>
      <c r="W49">
        <v>153</v>
      </c>
      <c r="X49">
        <v>1</v>
      </c>
      <c r="Y49">
        <v>0</v>
      </c>
      <c r="Z49">
        <v>154</v>
      </c>
      <c r="AA49" s="2">
        <v>11576496.015814111</v>
      </c>
      <c r="AB49" s="6">
        <v>3687.3</v>
      </c>
      <c r="AC49" s="6">
        <v>245</v>
      </c>
      <c r="AD49" s="6">
        <v>0</v>
      </c>
      <c r="AE49" s="6">
        <v>3932.3</v>
      </c>
      <c r="AF49" s="3">
        <v>50.828954225867619</v>
      </c>
      <c r="AG49">
        <v>153</v>
      </c>
      <c r="AH49">
        <v>1</v>
      </c>
      <c r="AI49">
        <v>0</v>
      </c>
      <c r="AJ49">
        <v>154</v>
      </c>
      <c r="AK49" s="2">
        <v>51077298.949849203</v>
      </c>
      <c r="AL49" s="6">
        <v>1211.76</v>
      </c>
      <c r="AM49" s="6">
        <v>97</v>
      </c>
      <c r="AN49" s="6">
        <v>0</v>
      </c>
      <c r="AO49" s="6">
        <v>1308.76</v>
      </c>
      <c r="AP49" s="3">
        <v>1.4883477056904051</v>
      </c>
      <c r="AQ49">
        <v>0</v>
      </c>
      <c r="AR49">
        <v>0</v>
      </c>
      <c r="AS49">
        <v>0</v>
      </c>
      <c r="AT49">
        <v>0</v>
      </c>
      <c r="AU49" s="2">
        <v>0</v>
      </c>
      <c r="AV49" s="6">
        <v>0</v>
      </c>
      <c r="AW49" s="6">
        <v>0</v>
      </c>
      <c r="AX49" s="6">
        <v>0</v>
      </c>
      <c r="AY49" s="6">
        <v>0</v>
      </c>
      <c r="AZ49" s="3">
        <v>0</v>
      </c>
      <c r="BA49">
        <v>2</v>
      </c>
      <c r="BB49">
        <v>0</v>
      </c>
      <c r="BC49">
        <v>0</v>
      </c>
      <c r="BD49">
        <v>2</v>
      </c>
      <c r="BE49" s="2">
        <v>26571.00308791667</v>
      </c>
      <c r="BF49" s="6">
        <v>11.28</v>
      </c>
      <c r="BG49" s="6">
        <v>0</v>
      </c>
      <c r="BH49" s="6">
        <v>0</v>
      </c>
      <c r="BI49" s="6">
        <v>11.28</v>
      </c>
      <c r="BJ49" s="3">
        <v>152.79668124375911</v>
      </c>
      <c r="BK49" s="6">
        <v>4910.34</v>
      </c>
      <c r="BL49" s="6">
        <v>342</v>
      </c>
      <c r="BM49" s="6">
        <v>0</v>
      </c>
      <c r="BN49" s="6">
        <v>5252.34</v>
      </c>
      <c r="BO49" s="3">
        <v>205.1139831753172</v>
      </c>
      <c r="BP49" s="7">
        <v>437921.84</v>
      </c>
      <c r="BQ49" s="2">
        <v>107.7731882859285</v>
      </c>
      <c r="BR49" s="2">
        <v>467.01714923902341</v>
      </c>
    </row>
    <row r="50" spans="1:70" x14ac:dyDescent="0.3">
      <c r="A50">
        <f t="shared" si="1"/>
        <v>2023</v>
      </c>
      <c r="B50" s="1">
        <v>232602</v>
      </c>
      <c r="C50" s="2">
        <v>64791499.443426572</v>
      </c>
      <c r="D50" s="3">
        <v>278.55091290456039</v>
      </c>
      <c r="E50" s="1">
        <v>139561</v>
      </c>
      <c r="F50" s="4">
        <v>0.83211194694892177</v>
      </c>
      <c r="G50" s="4">
        <v>0.85514295353047998</v>
      </c>
      <c r="H50" s="4">
        <v>1</v>
      </c>
      <c r="I50" s="4">
        <v>0.8927711747998246</v>
      </c>
      <c r="J50" s="5">
        <v>12.827144302957199</v>
      </c>
      <c r="K50">
        <v>36007</v>
      </c>
      <c r="L50">
        <v>59175</v>
      </c>
      <c r="M50">
        <v>15494</v>
      </c>
      <c r="N50">
        <v>110676</v>
      </c>
      <c r="O50" s="6">
        <v>270052.5</v>
      </c>
      <c r="P50" s="6">
        <v>147937.5</v>
      </c>
      <c r="Q50" s="6">
        <v>18592.8</v>
      </c>
      <c r="R50" s="6">
        <v>436582.8</v>
      </c>
      <c r="S50" s="2">
        <v>126.12333333333331</v>
      </c>
      <c r="T50" s="2">
        <v>27.635999999999999</v>
      </c>
      <c r="U50" s="2">
        <v>2.1709333333333332</v>
      </c>
      <c r="V50" s="2">
        <v>155.93026666666671</v>
      </c>
      <c r="W50">
        <v>156</v>
      </c>
      <c r="X50">
        <v>1</v>
      </c>
      <c r="Y50">
        <v>0</v>
      </c>
      <c r="Z50">
        <v>157</v>
      </c>
      <c r="AA50" s="2">
        <v>11806569.280459801</v>
      </c>
      <c r="AB50" s="6">
        <v>3853.2</v>
      </c>
      <c r="AC50" s="6">
        <v>247</v>
      </c>
      <c r="AD50" s="6">
        <v>0</v>
      </c>
      <c r="AE50" s="6">
        <v>4100.2</v>
      </c>
      <c r="AF50" s="3">
        <v>52.793646249815652</v>
      </c>
      <c r="AG50">
        <v>156</v>
      </c>
      <c r="AH50">
        <v>1</v>
      </c>
      <c r="AI50">
        <v>0</v>
      </c>
      <c r="AJ50">
        <v>157</v>
      </c>
      <c r="AK50" s="2">
        <v>52961789.597687028</v>
      </c>
      <c r="AL50" s="6">
        <v>1210.56</v>
      </c>
      <c r="AM50" s="6">
        <v>96</v>
      </c>
      <c r="AN50" s="6">
        <v>0</v>
      </c>
      <c r="AO50" s="6">
        <v>1306.56</v>
      </c>
      <c r="AP50" s="3">
        <v>1.5481645511342781</v>
      </c>
      <c r="AQ50">
        <v>0</v>
      </c>
      <c r="AR50">
        <v>0</v>
      </c>
      <c r="AS50">
        <v>0</v>
      </c>
      <c r="AT50">
        <v>0</v>
      </c>
      <c r="AU50" s="2">
        <v>0</v>
      </c>
      <c r="AV50" s="6">
        <v>0</v>
      </c>
      <c r="AW50" s="6">
        <v>0</v>
      </c>
      <c r="AX50" s="6">
        <v>0</v>
      </c>
      <c r="AY50" s="6">
        <v>0</v>
      </c>
      <c r="AZ50" s="3">
        <v>0</v>
      </c>
      <c r="BA50">
        <v>2</v>
      </c>
      <c r="BB50">
        <v>0</v>
      </c>
      <c r="BC50">
        <v>0</v>
      </c>
      <c r="BD50">
        <v>2</v>
      </c>
      <c r="BE50" s="2">
        <v>23140.565279740651</v>
      </c>
      <c r="BF50" s="6">
        <v>11.64</v>
      </c>
      <c r="BG50" s="6">
        <v>0</v>
      </c>
      <c r="BH50" s="6">
        <v>0</v>
      </c>
      <c r="BI50" s="6">
        <v>11.64</v>
      </c>
      <c r="BJ50" s="3">
        <v>158.4104684423003</v>
      </c>
      <c r="BK50" s="6">
        <v>5075.3999999999996</v>
      </c>
      <c r="BL50" s="6">
        <v>343</v>
      </c>
      <c r="BM50" s="6">
        <v>0</v>
      </c>
      <c r="BN50" s="6">
        <v>5418.4</v>
      </c>
      <c r="BO50" s="3">
        <v>212.7522792432502</v>
      </c>
      <c r="BP50" s="7">
        <v>442001.2</v>
      </c>
      <c r="BQ50" s="2">
        <v>110.6047637729751</v>
      </c>
      <c r="BR50" s="2">
        <v>479.28730968289187</v>
      </c>
    </row>
    <row r="51" spans="1:70" x14ac:dyDescent="0.3">
      <c r="A51">
        <f t="shared" si="1"/>
        <v>2024</v>
      </c>
      <c r="B51" s="1">
        <v>233416</v>
      </c>
      <c r="C51" s="2">
        <v>66953702.9858483</v>
      </c>
      <c r="D51" s="3">
        <v>286.842817055593</v>
      </c>
      <c r="E51" s="1">
        <v>140049</v>
      </c>
      <c r="F51" s="4">
        <v>0.83546234411157927</v>
      </c>
      <c r="G51" s="4">
        <v>0.85820884217544269</v>
      </c>
      <c r="H51" s="4">
        <v>1</v>
      </c>
      <c r="I51" s="4">
        <v>0.89503486897270912</v>
      </c>
      <c r="J51" s="5">
        <v>12.87313263263164</v>
      </c>
      <c r="K51">
        <v>36510</v>
      </c>
      <c r="L51">
        <v>59334</v>
      </c>
      <c r="M51">
        <v>15236</v>
      </c>
      <c r="N51">
        <v>111080</v>
      </c>
      <c r="O51" s="6">
        <v>273825</v>
      </c>
      <c r="P51" s="6">
        <v>148335</v>
      </c>
      <c r="Q51" s="6">
        <v>18283.2</v>
      </c>
      <c r="R51" s="6">
        <v>440443.2</v>
      </c>
      <c r="S51" s="2">
        <v>127.86499999999999</v>
      </c>
      <c r="T51" s="2">
        <v>27.70644444444444</v>
      </c>
      <c r="U51" s="2">
        <v>2.1343999999999999</v>
      </c>
      <c r="V51" s="2">
        <v>157.70584444444441</v>
      </c>
      <c r="W51">
        <v>158</v>
      </c>
      <c r="X51">
        <v>1</v>
      </c>
      <c r="Y51">
        <v>0</v>
      </c>
      <c r="Z51">
        <v>159</v>
      </c>
      <c r="AA51" s="2">
        <v>12034311.599976851</v>
      </c>
      <c r="AB51" s="6">
        <v>3918.4</v>
      </c>
      <c r="AC51" s="6">
        <v>247</v>
      </c>
      <c r="AD51" s="6">
        <v>0</v>
      </c>
      <c r="AE51" s="6">
        <v>4165.3999999999996</v>
      </c>
      <c r="AF51" s="3">
        <v>54.809347430300832</v>
      </c>
      <c r="AG51">
        <v>158</v>
      </c>
      <c r="AH51">
        <v>1</v>
      </c>
      <c r="AI51">
        <v>0</v>
      </c>
      <c r="AJ51">
        <v>159</v>
      </c>
      <c r="AK51" s="2">
        <v>54899826.477237843</v>
      </c>
      <c r="AL51" s="6">
        <v>1213.44</v>
      </c>
      <c r="AM51" s="6">
        <v>98</v>
      </c>
      <c r="AN51" s="6">
        <v>0</v>
      </c>
      <c r="AO51" s="6">
        <v>1311.44</v>
      </c>
      <c r="AP51" s="3">
        <v>1.6097054470059611</v>
      </c>
      <c r="AQ51">
        <v>0</v>
      </c>
      <c r="AR51">
        <v>0</v>
      </c>
      <c r="AS51">
        <v>0</v>
      </c>
      <c r="AT51">
        <v>0</v>
      </c>
      <c r="AU51" s="2">
        <v>0</v>
      </c>
      <c r="AV51" s="6">
        <v>0</v>
      </c>
      <c r="AW51" s="6">
        <v>0</v>
      </c>
      <c r="AX51" s="6">
        <v>0</v>
      </c>
      <c r="AY51" s="6">
        <v>0</v>
      </c>
      <c r="AZ51" s="3">
        <v>0</v>
      </c>
      <c r="BA51">
        <v>2</v>
      </c>
      <c r="BB51">
        <v>0</v>
      </c>
      <c r="BC51">
        <v>0</v>
      </c>
      <c r="BD51">
        <v>2</v>
      </c>
      <c r="BE51" s="2">
        <v>19564.908633611529</v>
      </c>
      <c r="BF51" s="6">
        <v>11.46</v>
      </c>
      <c r="BG51" s="6">
        <v>0</v>
      </c>
      <c r="BH51" s="6">
        <v>0</v>
      </c>
      <c r="BI51" s="6">
        <v>11.46</v>
      </c>
      <c r="BJ51" s="3">
        <v>164.16658807921249</v>
      </c>
      <c r="BK51" s="6">
        <v>5143.3</v>
      </c>
      <c r="BL51" s="6">
        <v>345</v>
      </c>
      <c r="BM51" s="6">
        <v>0</v>
      </c>
      <c r="BN51" s="6">
        <v>5488.3</v>
      </c>
      <c r="BO51" s="3">
        <v>220.58564095651931</v>
      </c>
      <c r="BP51" s="7">
        <v>445931.5</v>
      </c>
      <c r="BQ51" s="2">
        <v>113.48744562028909</v>
      </c>
      <c r="BR51" s="2">
        <v>491.77893102125279</v>
      </c>
    </row>
    <row r="52" spans="1:70" x14ac:dyDescent="0.3">
      <c r="A52">
        <f t="shared" si="1"/>
        <v>2025</v>
      </c>
      <c r="B52" s="1">
        <v>234232</v>
      </c>
      <c r="C52" s="2">
        <v>69168301.287758127</v>
      </c>
      <c r="D52" s="3">
        <v>295.29825680418611</v>
      </c>
      <c r="E52" s="1">
        <v>140539</v>
      </c>
      <c r="F52" s="4">
        <v>0.83874735264288336</v>
      </c>
      <c r="G52" s="4">
        <v>0.86115451560713985</v>
      </c>
      <c r="H52" s="4">
        <v>1</v>
      </c>
      <c r="I52" s="4">
        <v>0.89723061058599718</v>
      </c>
      <c r="J52" s="5">
        <v>12.917317734107099</v>
      </c>
      <c r="K52">
        <v>37005</v>
      </c>
      <c r="L52">
        <v>59493</v>
      </c>
      <c r="M52">
        <v>14984</v>
      </c>
      <c r="N52">
        <v>111482</v>
      </c>
      <c r="O52" s="6">
        <v>277537.5</v>
      </c>
      <c r="P52" s="6">
        <v>148732.5</v>
      </c>
      <c r="Q52" s="6">
        <v>17980.8</v>
      </c>
      <c r="R52" s="6">
        <v>444250.8</v>
      </c>
      <c r="S52" s="2">
        <v>129.58166666666671</v>
      </c>
      <c r="T52" s="2">
        <v>27.777333333333331</v>
      </c>
      <c r="U52" s="2">
        <v>2.0988666666666669</v>
      </c>
      <c r="V52" s="2">
        <v>159.45786666666669</v>
      </c>
      <c r="W52">
        <v>161</v>
      </c>
      <c r="X52">
        <v>1</v>
      </c>
      <c r="Y52">
        <v>0</v>
      </c>
      <c r="Z52">
        <v>162</v>
      </c>
      <c r="AA52" s="2">
        <v>12259458.07316814</v>
      </c>
      <c r="AB52" s="6">
        <v>3976.7</v>
      </c>
      <c r="AC52" s="6">
        <v>248</v>
      </c>
      <c r="AD52" s="6">
        <v>0</v>
      </c>
      <c r="AE52" s="6">
        <v>4224.7</v>
      </c>
      <c r="AF52" s="3">
        <v>56.877082823350641</v>
      </c>
      <c r="AG52">
        <v>161</v>
      </c>
      <c r="AH52">
        <v>1</v>
      </c>
      <c r="AI52">
        <v>0</v>
      </c>
      <c r="AJ52">
        <v>162</v>
      </c>
      <c r="AK52" s="2">
        <v>56893017.692165762</v>
      </c>
      <c r="AL52" s="6">
        <v>1262.24</v>
      </c>
      <c r="AM52" s="6">
        <v>97.5</v>
      </c>
      <c r="AN52" s="6">
        <v>0</v>
      </c>
      <c r="AO52" s="6">
        <v>1359.74</v>
      </c>
      <c r="AP52" s="3">
        <v>1.673003788572196</v>
      </c>
      <c r="AQ52">
        <v>0</v>
      </c>
      <c r="AR52">
        <v>0</v>
      </c>
      <c r="AS52">
        <v>0</v>
      </c>
      <c r="AT52">
        <v>0</v>
      </c>
      <c r="AU52" s="2">
        <v>0</v>
      </c>
      <c r="AV52" s="6">
        <v>0</v>
      </c>
      <c r="AW52" s="6">
        <v>0</v>
      </c>
      <c r="AX52" s="6">
        <v>0</v>
      </c>
      <c r="AY52" s="6">
        <v>0</v>
      </c>
      <c r="AZ52" s="3">
        <v>0</v>
      </c>
      <c r="BA52">
        <v>2</v>
      </c>
      <c r="BB52">
        <v>0</v>
      </c>
      <c r="BC52">
        <v>0</v>
      </c>
      <c r="BD52">
        <v>2</v>
      </c>
      <c r="BE52" s="2">
        <v>15825.522424218119</v>
      </c>
      <c r="BF52" s="6">
        <v>11.1</v>
      </c>
      <c r="BG52" s="6">
        <v>0</v>
      </c>
      <c r="BH52" s="6">
        <v>0</v>
      </c>
      <c r="BI52" s="6">
        <v>11.1</v>
      </c>
      <c r="BJ52" s="3">
        <v>170.06783026657399</v>
      </c>
      <c r="BK52" s="6">
        <v>5250.04</v>
      </c>
      <c r="BL52" s="6">
        <v>345.5</v>
      </c>
      <c r="BM52" s="6">
        <v>0</v>
      </c>
      <c r="BN52" s="6">
        <v>5595.54</v>
      </c>
      <c r="BO52" s="3">
        <v>228.61791687849691</v>
      </c>
      <c r="BP52" s="7">
        <v>449846.34</v>
      </c>
      <c r="BQ52" s="2">
        <v>116.4227350635491</v>
      </c>
      <c r="BR52" s="2">
        <v>504.49851860871257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52"/>
  <sheetViews>
    <sheetView topLeftCell="BE28" workbookViewId="0">
      <selection activeCell="BP52" sqref="BP52"/>
    </sheetView>
  </sheetViews>
  <sheetFormatPr defaultRowHeight="14.4" x14ac:dyDescent="0.3"/>
  <cols>
    <col min="1" max="1" width="5" bestFit="1" customWidth="1"/>
    <col min="2" max="2" width="11.44140625" bestFit="1" customWidth="1"/>
    <col min="3" max="3" width="12.6640625" bestFit="1" customWidth="1"/>
    <col min="4" max="4" width="6.5546875" bestFit="1" customWidth="1"/>
    <col min="5" max="5" width="7.5546875" bestFit="1" customWidth="1"/>
    <col min="6" max="9" width="6.5546875" bestFit="1" customWidth="1"/>
    <col min="10" max="10" width="12.77734375" bestFit="1" customWidth="1"/>
    <col min="11" max="11" width="10.21875" bestFit="1" customWidth="1"/>
    <col min="12" max="12" width="12" bestFit="1" customWidth="1"/>
    <col min="13" max="13" width="11.44140625" bestFit="1" customWidth="1"/>
    <col min="14" max="14" width="6.77734375" bestFit="1" customWidth="1"/>
    <col min="15" max="16" width="14.77734375" bestFit="1" customWidth="1"/>
    <col min="17" max="17" width="13.77734375" bestFit="1" customWidth="1"/>
    <col min="18" max="18" width="16.33203125" bestFit="1" customWidth="1"/>
    <col min="19" max="19" width="8.109375" bestFit="1" customWidth="1"/>
    <col min="20" max="20" width="8.44140625" bestFit="1" customWidth="1"/>
    <col min="21" max="21" width="8.109375" bestFit="1" customWidth="1"/>
    <col min="22" max="22" width="6.6640625" bestFit="1" customWidth="1"/>
    <col min="23" max="23" width="8.109375" bestFit="1" customWidth="1"/>
    <col min="24" max="24" width="8.44140625" bestFit="1" customWidth="1"/>
    <col min="25" max="25" width="8.33203125" bestFit="1" customWidth="1"/>
    <col min="26" max="26" width="6.6640625" bestFit="1" customWidth="1"/>
    <col min="27" max="27" width="12.6640625" bestFit="1" customWidth="1"/>
    <col min="28" max="28" width="13.77734375" bestFit="1" customWidth="1"/>
    <col min="29" max="29" width="12.6640625" bestFit="1" customWidth="1"/>
    <col min="30" max="31" width="13.77734375" bestFit="1" customWidth="1"/>
    <col min="32" max="32" width="6.5546875" bestFit="1" customWidth="1"/>
    <col min="33" max="33" width="8.21875" bestFit="1" customWidth="1"/>
    <col min="34" max="34" width="8.5546875" bestFit="1" customWidth="1"/>
    <col min="35" max="35" width="8.44140625" bestFit="1" customWidth="1"/>
    <col min="36" max="36" width="6.77734375" bestFit="1" customWidth="1"/>
    <col min="37" max="40" width="12.6640625" bestFit="1" customWidth="1"/>
    <col min="41" max="41" width="13.77734375" bestFit="1" customWidth="1"/>
    <col min="42" max="42" width="6.6640625" bestFit="1" customWidth="1"/>
    <col min="43" max="43" width="8.33203125" bestFit="1" customWidth="1"/>
    <col min="44" max="44" width="8.6640625" bestFit="1" customWidth="1"/>
    <col min="45" max="45" width="8.5546875" bestFit="1" customWidth="1"/>
    <col min="46" max="46" width="6.88671875" bestFit="1" customWidth="1"/>
    <col min="47" max="47" width="7.21875" bestFit="1" customWidth="1"/>
    <col min="48" max="48" width="8" bestFit="1" customWidth="1"/>
    <col min="49" max="49" width="8.33203125" bestFit="1" customWidth="1"/>
    <col min="50" max="50" width="8.21875" bestFit="1" customWidth="1"/>
    <col min="51" max="51" width="6.5546875" bestFit="1" customWidth="1"/>
    <col min="52" max="52" width="6.77734375" bestFit="1" customWidth="1"/>
    <col min="53" max="53" width="8.6640625" bestFit="1" customWidth="1"/>
    <col min="54" max="54" width="9" bestFit="1" customWidth="1"/>
    <col min="56" max="56" width="7.21875" bestFit="1" customWidth="1"/>
    <col min="57" max="57" width="9.109375" bestFit="1" customWidth="1"/>
    <col min="58" max="58" width="10.109375" bestFit="1" customWidth="1"/>
    <col min="59" max="59" width="8.6640625" bestFit="1" customWidth="1"/>
    <col min="60" max="60" width="8.5546875" bestFit="1" customWidth="1"/>
    <col min="61" max="61" width="10.109375" bestFit="1" customWidth="1"/>
    <col min="62" max="62" width="7.109375" bestFit="1" customWidth="1"/>
    <col min="63" max="63" width="13.77734375" bestFit="1" customWidth="1"/>
    <col min="64" max="64" width="12.6640625" bestFit="1" customWidth="1"/>
    <col min="65" max="66" width="13.77734375" bestFit="1" customWidth="1"/>
    <col min="67" max="67" width="7" bestFit="1" customWidth="1"/>
    <col min="68" max="68" width="13.6640625" bestFit="1" customWidth="1"/>
    <col min="69" max="69" width="7" bestFit="1" customWidth="1"/>
    <col min="70" max="70" width="8.664062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3">
      <c r="A2">
        <v>1975</v>
      </c>
      <c r="B2" s="1">
        <v>120000</v>
      </c>
      <c r="C2" s="2">
        <v>1936518.829290966</v>
      </c>
      <c r="D2" s="3">
        <v>16.13765691075805</v>
      </c>
      <c r="E2" s="1">
        <v>72000</v>
      </c>
      <c r="F2" s="4">
        <v>0.4201094750348468</v>
      </c>
      <c r="G2" s="4">
        <v>0.26666666666666672</v>
      </c>
      <c r="H2" s="4">
        <v>0.1686505002479079</v>
      </c>
      <c r="I2" s="4">
        <v>0.26634197399764098</v>
      </c>
      <c r="J2" s="5">
        <v>4</v>
      </c>
      <c r="K2">
        <v>438</v>
      </c>
      <c r="L2">
        <v>14677</v>
      </c>
      <c r="M2">
        <v>22006</v>
      </c>
      <c r="N2">
        <v>37121</v>
      </c>
      <c r="O2" s="6">
        <v>3285</v>
      </c>
      <c r="P2" s="6">
        <v>36692.5</v>
      </c>
      <c r="Q2" s="6">
        <v>26407.200000000001</v>
      </c>
      <c r="R2" s="6">
        <f>O2+P2+Q2</f>
        <v>66384.7</v>
      </c>
      <c r="S2" s="2">
        <v>2.3616666666666668</v>
      </c>
      <c r="T2" s="2">
        <v>10.543333333333329</v>
      </c>
      <c r="U2" s="2">
        <v>4.7424666666666671</v>
      </c>
      <c r="V2" s="2">
        <v>17.64746666666667</v>
      </c>
      <c r="W2">
        <v>14</v>
      </c>
      <c r="X2">
        <v>0</v>
      </c>
      <c r="Y2">
        <v>0</v>
      </c>
      <c r="Z2">
        <v>14</v>
      </c>
      <c r="AA2" s="2">
        <v>691790.97433032934</v>
      </c>
      <c r="AB2" s="6">
        <v>340.2</v>
      </c>
      <c r="AC2" s="6">
        <v>0</v>
      </c>
      <c r="AD2" s="6">
        <v>0</v>
      </c>
      <c r="AE2" s="6">
        <v>340.2</v>
      </c>
      <c r="AF2" s="3">
        <v>1.0968</v>
      </c>
      <c r="AG2">
        <v>14</v>
      </c>
      <c r="AH2">
        <v>0</v>
      </c>
      <c r="AI2">
        <v>0</v>
      </c>
      <c r="AJ2">
        <v>14</v>
      </c>
      <c r="AK2" s="2">
        <v>1206399.017858671</v>
      </c>
      <c r="AL2" s="6">
        <v>106.96</v>
      </c>
      <c r="AM2" s="6">
        <v>0</v>
      </c>
      <c r="AN2" s="6">
        <v>0</v>
      </c>
      <c r="AO2" s="6">
        <v>106.96</v>
      </c>
      <c r="AP2" s="3">
        <v>2.2849999999999999E-2</v>
      </c>
      <c r="AQ2">
        <v>0</v>
      </c>
      <c r="AR2">
        <v>0</v>
      </c>
      <c r="AS2">
        <v>0</v>
      </c>
      <c r="AT2">
        <v>0</v>
      </c>
      <c r="AU2" s="2">
        <v>0</v>
      </c>
      <c r="AV2" s="6">
        <v>0</v>
      </c>
      <c r="AW2" s="6">
        <v>0</v>
      </c>
      <c r="AX2" s="6">
        <v>0</v>
      </c>
      <c r="AY2" s="6">
        <v>0</v>
      </c>
      <c r="AZ2" s="3">
        <v>0</v>
      </c>
      <c r="BA2">
        <v>4</v>
      </c>
      <c r="BB2">
        <v>0</v>
      </c>
      <c r="BC2">
        <v>0</v>
      </c>
      <c r="BD2">
        <v>4</v>
      </c>
      <c r="BE2" s="2">
        <v>38328.837101964862</v>
      </c>
      <c r="BF2" s="6">
        <v>22.2</v>
      </c>
      <c r="BG2" s="6">
        <v>0</v>
      </c>
      <c r="BH2" s="6">
        <v>0</v>
      </c>
      <c r="BI2" s="6">
        <v>22.2</v>
      </c>
      <c r="BJ2" s="3">
        <v>3.6560000000000001</v>
      </c>
      <c r="BK2" s="6">
        <v>469.36</v>
      </c>
      <c r="BL2" s="6">
        <v>0</v>
      </c>
      <c r="BM2" s="6">
        <v>0</v>
      </c>
      <c r="BN2" s="6">
        <v>469.36</v>
      </c>
      <c r="BO2" s="3">
        <v>4.7756500000000006</v>
      </c>
      <c r="BP2" s="7">
        <v>66854.06</v>
      </c>
      <c r="BQ2" s="2">
        <v>6.7269349999999992</v>
      </c>
      <c r="BR2" s="2">
        <v>29.150051666666659</v>
      </c>
    </row>
    <row r="3" spans="1:70" x14ac:dyDescent="0.3">
      <c r="A3">
        <v>1976</v>
      </c>
      <c r="B3" s="1">
        <v>122567</v>
      </c>
      <c r="C3" s="2">
        <v>2270646.2514292342</v>
      </c>
      <c r="D3" s="3">
        <v>18.525755312843049</v>
      </c>
      <c r="E3" s="1">
        <v>73540</v>
      </c>
      <c r="F3" s="4">
        <v>0.44057309061426309</v>
      </c>
      <c r="G3" s="4">
        <v>0.28942626856633352</v>
      </c>
      <c r="H3" s="4">
        <v>0.23769397717768651</v>
      </c>
      <c r="I3" s="4">
        <v>0.31178701935964459</v>
      </c>
      <c r="J3" s="5">
        <v>4.3413940284950021</v>
      </c>
      <c r="K3">
        <v>593</v>
      </c>
      <c r="L3">
        <v>16091</v>
      </c>
      <c r="M3">
        <v>22258</v>
      </c>
      <c r="N3">
        <v>38942</v>
      </c>
      <c r="O3" s="6">
        <v>4447.5</v>
      </c>
      <c r="P3" s="6">
        <v>40227.5</v>
      </c>
      <c r="Q3" s="6">
        <v>26709.599999999999</v>
      </c>
      <c r="R3" s="6">
        <v>71384.600000000006</v>
      </c>
      <c r="S3" s="2">
        <v>3.1150000000000002</v>
      </c>
      <c r="T3" s="2">
        <v>11.25422222222222</v>
      </c>
      <c r="U3" s="2">
        <v>4.6702000000000004</v>
      </c>
      <c r="V3" s="2">
        <v>19.039422222222221</v>
      </c>
      <c r="W3">
        <v>16</v>
      </c>
      <c r="X3">
        <v>0</v>
      </c>
      <c r="Y3">
        <v>0</v>
      </c>
      <c r="Z3">
        <v>16</v>
      </c>
      <c r="AA3" s="2">
        <v>840423.97512827732</v>
      </c>
      <c r="AB3" s="6">
        <v>388.8</v>
      </c>
      <c r="AC3" s="6">
        <v>0</v>
      </c>
      <c r="AD3" s="6">
        <v>0</v>
      </c>
      <c r="AE3" s="6">
        <v>388.8</v>
      </c>
      <c r="AF3" s="3">
        <v>1.4896319900687569</v>
      </c>
      <c r="AG3">
        <v>16</v>
      </c>
      <c r="AH3">
        <v>0</v>
      </c>
      <c r="AI3">
        <v>0</v>
      </c>
      <c r="AJ3">
        <v>16</v>
      </c>
      <c r="AK3" s="2">
        <v>1389697.7379198179</v>
      </c>
      <c r="AL3" s="6">
        <v>126.08</v>
      </c>
      <c r="AM3" s="6">
        <v>0</v>
      </c>
      <c r="AN3" s="6">
        <v>0</v>
      </c>
      <c r="AO3" s="6">
        <v>126.08</v>
      </c>
      <c r="AP3" s="3">
        <v>3.1719499793099112E-2</v>
      </c>
      <c r="AQ3">
        <v>0</v>
      </c>
      <c r="AR3">
        <v>0</v>
      </c>
      <c r="AS3">
        <v>0</v>
      </c>
      <c r="AT3">
        <v>0</v>
      </c>
      <c r="AU3" s="2">
        <v>0</v>
      </c>
      <c r="AV3" s="6">
        <v>0</v>
      </c>
      <c r="AW3" s="6">
        <v>0</v>
      </c>
      <c r="AX3" s="6">
        <v>0</v>
      </c>
      <c r="AY3" s="6">
        <v>0</v>
      </c>
      <c r="AZ3" s="3">
        <v>0</v>
      </c>
      <c r="BA3">
        <v>4</v>
      </c>
      <c r="BB3">
        <v>0</v>
      </c>
      <c r="BC3">
        <v>0</v>
      </c>
      <c r="BD3">
        <v>4</v>
      </c>
      <c r="BE3" s="2">
        <v>40524.538381139027</v>
      </c>
      <c r="BF3" s="6">
        <v>23.64</v>
      </c>
      <c r="BG3" s="6">
        <v>0</v>
      </c>
      <c r="BH3" s="6">
        <v>0</v>
      </c>
      <c r="BI3" s="6">
        <v>23.64</v>
      </c>
      <c r="BJ3" s="3">
        <v>5.2013999586198212</v>
      </c>
      <c r="BK3" s="6">
        <v>538.52</v>
      </c>
      <c r="BL3" s="6">
        <v>0</v>
      </c>
      <c r="BM3" s="6">
        <v>0</v>
      </c>
      <c r="BN3" s="6">
        <v>538.52</v>
      </c>
      <c r="BO3" s="3">
        <v>6.7227514484816773</v>
      </c>
      <c r="BP3" s="7">
        <v>71923.12</v>
      </c>
      <c r="BQ3" s="2">
        <v>7.7286521012111704</v>
      </c>
      <c r="BR3" s="2">
        <v>33.49082577191507</v>
      </c>
    </row>
    <row r="4" spans="1:70" x14ac:dyDescent="0.3">
      <c r="A4">
        <v>1977</v>
      </c>
      <c r="B4" s="1">
        <v>125269</v>
      </c>
      <c r="C4" s="2">
        <v>2614070.6345539242</v>
      </c>
      <c r="D4" s="3">
        <v>20.86765787668077</v>
      </c>
      <c r="E4" s="1">
        <v>75161</v>
      </c>
      <c r="F4" s="4">
        <v>0.45827862966356331</v>
      </c>
      <c r="G4" s="4">
        <v>0.31107587158321892</v>
      </c>
      <c r="H4" s="4">
        <v>0.32216903484254772</v>
      </c>
      <c r="I4" s="4">
        <v>0.3581183510739972</v>
      </c>
      <c r="J4" s="5">
        <v>4.6661380737482832</v>
      </c>
      <c r="K4">
        <v>774</v>
      </c>
      <c r="L4">
        <v>17474</v>
      </c>
      <c r="M4">
        <v>22562</v>
      </c>
      <c r="N4">
        <v>40810</v>
      </c>
      <c r="O4" s="6">
        <v>5805</v>
      </c>
      <c r="P4" s="6">
        <v>43685</v>
      </c>
      <c r="Q4" s="6">
        <v>27074.400000000001</v>
      </c>
      <c r="R4" s="6">
        <v>76564.399999999994</v>
      </c>
      <c r="S4" s="2">
        <v>3.9633333333333329</v>
      </c>
      <c r="T4" s="2">
        <v>11.919111111111111</v>
      </c>
      <c r="U4" s="2">
        <v>4.6169333333333329</v>
      </c>
      <c r="V4" s="2">
        <v>20.499377777777781</v>
      </c>
      <c r="W4">
        <v>19</v>
      </c>
      <c r="X4">
        <v>0</v>
      </c>
      <c r="Y4">
        <v>0</v>
      </c>
      <c r="Z4">
        <v>19</v>
      </c>
      <c r="AA4" s="2">
        <v>997260.36552904954</v>
      </c>
      <c r="AB4" s="6">
        <v>459.8</v>
      </c>
      <c r="AC4" s="6">
        <v>0</v>
      </c>
      <c r="AD4" s="6">
        <v>0</v>
      </c>
      <c r="AE4" s="6">
        <v>459.8</v>
      </c>
      <c r="AF4" s="3">
        <v>1.920342904596704</v>
      </c>
      <c r="AG4">
        <v>19</v>
      </c>
      <c r="AH4">
        <v>0</v>
      </c>
      <c r="AI4">
        <v>0</v>
      </c>
      <c r="AJ4">
        <v>19</v>
      </c>
      <c r="AK4" s="2">
        <v>1574286.3962198731</v>
      </c>
      <c r="AL4" s="6">
        <v>144.4</v>
      </c>
      <c r="AM4" s="6">
        <v>0</v>
      </c>
      <c r="AN4" s="6">
        <v>0</v>
      </c>
      <c r="AO4" s="6">
        <v>144.4</v>
      </c>
      <c r="AP4" s="3">
        <v>4.1603098839557637E-2</v>
      </c>
      <c r="AQ4">
        <v>0</v>
      </c>
      <c r="AR4">
        <v>0</v>
      </c>
      <c r="AS4">
        <v>0</v>
      </c>
      <c r="AT4">
        <v>0</v>
      </c>
      <c r="AU4" s="2">
        <v>0</v>
      </c>
      <c r="AV4" s="6">
        <v>0</v>
      </c>
      <c r="AW4" s="6">
        <v>0</v>
      </c>
      <c r="AX4" s="6">
        <v>0</v>
      </c>
      <c r="AY4" s="6">
        <v>0</v>
      </c>
      <c r="AZ4" s="3">
        <v>0</v>
      </c>
      <c r="BA4">
        <v>5</v>
      </c>
      <c r="BB4">
        <v>0</v>
      </c>
      <c r="BC4">
        <v>0</v>
      </c>
      <c r="BD4">
        <v>5</v>
      </c>
      <c r="BE4" s="2">
        <v>42523.872805001112</v>
      </c>
      <c r="BF4" s="6">
        <v>28.425000000000001</v>
      </c>
      <c r="BG4" s="6">
        <v>0</v>
      </c>
      <c r="BH4" s="6">
        <v>0</v>
      </c>
      <c r="BI4" s="6">
        <v>28.425000000000001</v>
      </c>
      <c r="BJ4" s="3">
        <v>6.8482967708081413</v>
      </c>
      <c r="BK4" s="6">
        <v>632.625</v>
      </c>
      <c r="BL4" s="6">
        <v>0</v>
      </c>
      <c r="BM4" s="6">
        <v>0</v>
      </c>
      <c r="BN4" s="6">
        <v>632.625</v>
      </c>
      <c r="BO4" s="3">
        <v>8.8102427742444025</v>
      </c>
      <c r="BP4" s="7">
        <v>77197.024999999994</v>
      </c>
      <c r="BQ4" s="2">
        <v>8.7928861656066548</v>
      </c>
      <c r="BR4" s="2">
        <v>38.102506717628827</v>
      </c>
    </row>
    <row r="5" spans="1:70" x14ac:dyDescent="0.3">
      <c r="A5">
        <v>1978</v>
      </c>
      <c r="B5" s="1">
        <v>128129</v>
      </c>
      <c r="C5" s="2">
        <v>2970168.2124395319</v>
      </c>
      <c r="D5" s="3">
        <v>23.181076980539402</v>
      </c>
      <c r="E5" s="1">
        <v>76877</v>
      </c>
      <c r="F5" s="4">
        <v>0.47394753904211617</v>
      </c>
      <c r="G5" s="4">
        <v>0.33166961100163972</v>
      </c>
      <c r="H5" s="4">
        <v>0.41887188191888058</v>
      </c>
      <c r="I5" s="4">
        <v>0.40380564633965038</v>
      </c>
      <c r="J5" s="5">
        <v>4.9750441650245953</v>
      </c>
      <c r="K5">
        <v>982</v>
      </c>
      <c r="L5">
        <v>18849</v>
      </c>
      <c r="M5">
        <v>22910</v>
      </c>
      <c r="N5">
        <v>42741</v>
      </c>
      <c r="O5" s="6">
        <v>7365</v>
      </c>
      <c r="P5" s="6">
        <v>47122.5</v>
      </c>
      <c r="Q5" s="6">
        <v>27492</v>
      </c>
      <c r="R5" s="6">
        <v>81979.5</v>
      </c>
      <c r="S5" s="2">
        <v>4.9083333333333332</v>
      </c>
      <c r="T5" s="2">
        <v>12.556444444444439</v>
      </c>
      <c r="U5" s="2">
        <v>4.5785333333333336</v>
      </c>
      <c r="V5" s="2">
        <v>22.043311111111109</v>
      </c>
      <c r="W5">
        <v>21</v>
      </c>
      <c r="X5">
        <v>0</v>
      </c>
      <c r="Y5">
        <v>0</v>
      </c>
      <c r="Z5">
        <v>21</v>
      </c>
      <c r="AA5" s="2">
        <v>1163151.843647148</v>
      </c>
      <c r="AB5" s="6">
        <v>520.79999999999995</v>
      </c>
      <c r="AC5" s="6">
        <v>0</v>
      </c>
      <c r="AD5" s="6">
        <v>0</v>
      </c>
      <c r="AE5" s="6">
        <v>520.79999999999995</v>
      </c>
      <c r="AF5" s="3">
        <v>2.3813578488509122</v>
      </c>
      <c r="AG5">
        <v>21</v>
      </c>
      <c r="AH5">
        <v>0</v>
      </c>
      <c r="AI5">
        <v>0</v>
      </c>
      <c r="AJ5">
        <v>21</v>
      </c>
      <c r="AK5" s="2">
        <v>1762601.2630580759</v>
      </c>
      <c r="AL5" s="6">
        <v>163.80000000000001</v>
      </c>
      <c r="AM5" s="6">
        <v>0</v>
      </c>
      <c r="AN5" s="6">
        <v>0</v>
      </c>
      <c r="AO5" s="6">
        <v>163.80000000000001</v>
      </c>
      <c r="AP5" s="3">
        <v>5.235991251041279E-2</v>
      </c>
      <c r="AQ5">
        <v>0</v>
      </c>
      <c r="AR5">
        <v>0</v>
      </c>
      <c r="AS5">
        <v>0</v>
      </c>
      <c r="AT5">
        <v>0</v>
      </c>
      <c r="AU5" s="2">
        <v>0</v>
      </c>
      <c r="AV5" s="6">
        <v>0</v>
      </c>
      <c r="AW5" s="6">
        <v>0</v>
      </c>
      <c r="AX5" s="6">
        <v>0</v>
      </c>
      <c r="AY5" s="6">
        <v>0</v>
      </c>
      <c r="AZ5" s="3">
        <v>0</v>
      </c>
      <c r="BA5">
        <v>5</v>
      </c>
      <c r="BB5">
        <v>0</v>
      </c>
      <c r="BC5">
        <v>0</v>
      </c>
      <c r="BD5">
        <v>5</v>
      </c>
      <c r="BE5" s="2">
        <v>44415.105734308308</v>
      </c>
      <c r="BF5" s="6">
        <v>29.1</v>
      </c>
      <c r="BG5" s="6">
        <v>0</v>
      </c>
      <c r="BH5" s="6">
        <v>0</v>
      </c>
      <c r="BI5" s="6">
        <v>29.1</v>
      </c>
      <c r="BJ5" s="3">
        <v>8.5644484209357046</v>
      </c>
      <c r="BK5" s="6">
        <v>713.7</v>
      </c>
      <c r="BL5" s="6">
        <v>0</v>
      </c>
      <c r="BM5" s="6">
        <v>0</v>
      </c>
      <c r="BN5" s="6">
        <v>713.7</v>
      </c>
      <c r="BO5" s="3">
        <v>10.99816618229703</v>
      </c>
      <c r="BP5" s="7">
        <v>82693.2</v>
      </c>
      <c r="BQ5" s="2">
        <v>9.91244318802244</v>
      </c>
      <c r="BR5" s="2">
        <v>42.953920481430572</v>
      </c>
    </row>
    <row r="6" spans="1:70" x14ac:dyDescent="0.3">
      <c r="A6">
        <v>1979</v>
      </c>
      <c r="B6" s="1">
        <v>131163</v>
      </c>
      <c r="C6" s="2">
        <v>3343983.5373201589</v>
      </c>
      <c r="D6" s="3">
        <v>25.494869264351681</v>
      </c>
      <c r="E6" s="1">
        <v>78697</v>
      </c>
      <c r="F6" s="4">
        <v>0.48815286818176618</v>
      </c>
      <c r="G6" s="4">
        <v>0.35125898189694182</v>
      </c>
      <c r="H6" s="4">
        <v>0.52225440382703736</v>
      </c>
      <c r="I6" s="4">
        <v>0.44739225832787449</v>
      </c>
      <c r="J6" s="5">
        <v>5.2688847284541271</v>
      </c>
      <c r="K6">
        <v>1219</v>
      </c>
      <c r="L6">
        <v>20239</v>
      </c>
      <c r="M6">
        <v>23294</v>
      </c>
      <c r="N6">
        <v>44752</v>
      </c>
      <c r="O6" s="6">
        <v>9142.5</v>
      </c>
      <c r="P6" s="6">
        <v>50597.5</v>
      </c>
      <c r="Q6" s="6">
        <v>27952.799999999999</v>
      </c>
      <c r="R6" s="6">
        <v>87692.800000000003</v>
      </c>
      <c r="S6" s="2">
        <v>5.9533333333333331</v>
      </c>
      <c r="T6" s="2">
        <v>13.181555555555549</v>
      </c>
      <c r="U6" s="2">
        <v>4.5514666666666663</v>
      </c>
      <c r="V6" s="2">
        <v>23.686355555555551</v>
      </c>
      <c r="W6">
        <v>24</v>
      </c>
      <c r="X6">
        <v>0</v>
      </c>
      <c r="Y6">
        <v>0</v>
      </c>
      <c r="Z6">
        <v>24</v>
      </c>
      <c r="AA6" s="2">
        <v>1340000.968257549</v>
      </c>
      <c r="AB6" s="6">
        <v>578.4</v>
      </c>
      <c r="AC6" s="6">
        <v>0</v>
      </c>
      <c r="AD6" s="6">
        <v>0</v>
      </c>
      <c r="AE6" s="6">
        <v>578.4</v>
      </c>
      <c r="AF6" s="3">
        <v>2.8698206100901662</v>
      </c>
      <c r="AG6">
        <v>24</v>
      </c>
      <c r="AH6">
        <v>0</v>
      </c>
      <c r="AI6">
        <v>0</v>
      </c>
      <c r="AJ6">
        <v>24</v>
      </c>
      <c r="AK6" s="2">
        <v>1957719.6870850939</v>
      </c>
      <c r="AL6" s="6">
        <v>186.24</v>
      </c>
      <c r="AM6" s="6">
        <v>0</v>
      </c>
      <c r="AN6" s="6">
        <v>0</v>
      </c>
      <c r="AO6" s="6">
        <v>186.24</v>
      </c>
      <c r="AP6" s="3">
        <v>6.3942119971981848E-2</v>
      </c>
      <c r="AQ6">
        <v>0</v>
      </c>
      <c r="AR6">
        <v>0</v>
      </c>
      <c r="AS6">
        <v>0</v>
      </c>
      <c r="AT6">
        <v>0</v>
      </c>
      <c r="AU6" s="2">
        <v>0</v>
      </c>
      <c r="AV6" s="6">
        <v>0</v>
      </c>
      <c r="AW6" s="6">
        <v>0</v>
      </c>
      <c r="AX6" s="6">
        <v>0</v>
      </c>
      <c r="AY6" s="6">
        <v>0</v>
      </c>
      <c r="AZ6" s="3">
        <v>0</v>
      </c>
      <c r="BA6">
        <v>5</v>
      </c>
      <c r="BB6">
        <v>0</v>
      </c>
      <c r="BC6">
        <v>0</v>
      </c>
      <c r="BD6">
        <v>5</v>
      </c>
      <c r="BE6" s="2">
        <v>46262.881977514713</v>
      </c>
      <c r="BF6" s="6">
        <v>27.975000000000001</v>
      </c>
      <c r="BG6" s="6">
        <v>0</v>
      </c>
      <c r="BH6" s="6">
        <v>0</v>
      </c>
      <c r="BI6" s="6">
        <v>27.975000000000001</v>
      </c>
      <c r="BJ6" s="3">
        <v>10.33860454621842</v>
      </c>
      <c r="BK6" s="6">
        <v>792.61500000000001</v>
      </c>
      <c r="BL6" s="6">
        <v>0</v>
      </c>
      <c r="BM6" s="6">
        <v>0</v>
      </c>
      <c r="BN6" s="6">
        <v>792.61500000000001</v>
      </c>
      <c r="BO6" s="3">
        <v>13.272367276280569</v>
      </c>
      <c r="BP6" s="7">
        <v>88485.414999999994</v>
      </c>
      <c r="BQ6" s="2">
        <v>11.087616849550839</v>
      </c>
      <c r="BR6" s="2">
        <v>48.046339681386968</v>
      </c>
    </row>
    <row r="7" spans="1:70" x14ac:dyDescent="0.3">
      <c r="A7">
        <v>1980</v>
      </c>
      <c r="B7" s="1">
        <v>134376</v>
      </c>
      <c r="C7" s="2">
        <v>3740886.1133222142</v>
      </c>
      <c r="D7" s="3">
        <v>27.838945297688682</v>
      </c>
      <c r="E7" s="1">
        <v>80625</v>
      </c>
      <c r="F7" s="4">
        <v>0.50130864277862963</v>
      </c>
      <c r="G7" s="4">
        <v>0.36989296790001103</v>
      </c>
      <c r="H7" s="4">
        <v>0.62504324817839219</v>
      </c>
      <c r="I7" s="4">
        <v>0.48756266822183608</v>
      </c>
      <c r="J7" s="5">
        <v>5.5483945185001664</v>
      </c>
      <c r="K7">
        <v>1485</v>
      </c>
      <c r="L7">
        <v>21663</v>
      </c>
      <c r="M7">
        <v>23710</v>
      </c>
      <c r="N7">
        <v>46858</v>
      </c>
      <c r="O7" s="6">
        <v>11137.5</v>
      </c>
      <c r="P7" s="6">
        <v>54157.5</v>
      </c>
      <c r="Q7" s="6">
        <v>28452</v>
      </c>
      <c r="R7" s="6">
        <v>93747</v>
      </c>
      <c r="S7" s="2">
        <v>7.1</v>
      </c>
      <c r="T7" s="2">
        <v>13.80466666666667</v>
      </c>
      <c r="U7" s="2">
        <v>4.532866666666667</v>
      </c>
      <c r="V7" s="2">
        <v>25.437533333333331</v>
      </c>
      <c r="W7">
        <v>27</v>
      </c>
      <c r="X7">
        <v>0</v>
      </c>
      <c r="Y7">
        <v>0</v>
      </c>
      <c r="Z7">
        <v>27</v>
      </c>
      <c r="AA7" s="2">
        <v>1529994.891817352</v>
      </c>
      <c r="AB7" s="6">
        <v>658.8</v>
      </c>
      <c r="AC7" s="6">
        <v>0</v>
      </c>
      <c r="AD7" s="6">
        <v>0</v>
      </c>
      <c r="AE7" s="6">
        <v>658.8</v>
      </c>
      <c r="AF7" s="3">
        <v>3.384099891990529</v>
      </c>
      <c r="AG7">
        <v>27</v>
      </c>
      <c r="AH7">
        <v>0</v>
      </c>
      <c r="AI7">
        <v>0</v>
      </c>
      <c r="AJ7">
        <v>27</v>
      </c>
      <c r="AK7" s="2">
        <v>2162775.763042137</v>
      </c>
      <c r="AL7" s="6">
        <v>206.28</v>
      </c>
      <c r="AM7" s="6">
        <v>0</v>
      </c>
      <c r="AN7" s="6">
        <v>0</v>
      </c>
      <c r="AO7" s="6">
        <v>206.28</v>
      </c>
      <c r="AP7" s="3">
        <v>7.6325283841692654E-2</v>
      </c>
      <c r="AQ7">
        <v>0</v>
      </c>
      <c r="AR7">
        <v>0</v>
      </c>
      <c r="AS7">
        <v>0</v>
      </c>
      <c r="AT7">
        <v>0</v>
      </c>
      <c r="AU7" s="2">
        <v>0</v>
      </c>
      <c r="AV7" s="6">
        <v>0</v>
      </c>
      <c r="AW7" s="6">
        <v>0</v>
      </c>
      <c r="AX7" s="6">
        <v>0</v>
      </c>
      <c r="AY7" s="6">
        <v>0</v>
      </c>
      <c r="AZ7" s="3">
        <v>0</v>
      </c>
      <c r="BA7">
        <v>5</v>
      </c>
      <c r="BB7">
        <v>0</v>
      </c>
      <c r="BC7">
        <v>0</v>
      </c>
      <c r="BD7">
        <v>5</v>
      </c>
      <c r="BE7" s="2">
        <v>48115.458462725393</v>
      </c>
      <c r="BF7" s="6">
        <v>27.975000000000001</v>
      </c>
      <c r="BG7" s="6">
        <v>0</v>
      </c>
      <c r="BH7" s="6">
        <v>0</v>
      </c>
      <c r="BI7" s="6">
        <v>27.975000000000001</v>
      </c>
      <c r="BJ7" s="3">
        <v>12.16502958537064</v>
      </c>
      <c r="BK7" s="6">
        <v>893.05499999999995</v>
      </c>
      <c r="BL7" s="6">
        <v>0</v>
      </c>
      <c r="BM7" s="6">
        <v>0</v>
      </c>
      <c r="BN7" s="6">
        <v>893.05499999999995</v>
      </c>
      <c r="BO7" s="3">
        <v>15.62545476120286</v>
      </c>
      <c r="BP7" s="7">
        <v>94640.054999999993</v>
      </c>
      <c r="BQ7" s="2">
        <v>12.31889642836086</v>
      </c>
      <c r="BR7" s="2">
        <v>53.381884522897053</v>
      </c>
    </row>
    <row r="8" spans="1:70" x14ac:dyDescent="0.3">
      <c r="A8">
        <v>1981</v>
      </c>
      <c r="B8" s="1">
        <v>137756</v>
      </c>
      <c r="C8" s="2">
        <v>4166622.9411864271</v>
      </c>
      <c r="D8" s="3">
        <v>30.24639900393759</v>
      </c>
      <c r="E8" s="1">
        <v>82653</v>
      </c>
      <c r="F8" s="4">
        <v>0.51373388625208849</v>
      </c>
      <c r="G8" s="4">
        <v>0.38761816368186502</v>
      </c>
      <c r="H8" s="4">
        <v>0.71997786617798709</v>
      </c>
      <c r="I8" s="4">
        <v>0.52338406114808267</v>
      </c>
      <c r="J8" s="5">
        <v>5.8142724552279752</v>
      </c>
      <c r="K8">
        <v>1785</v>
      </c>
      <c r="L8">
        <v>23136</v>
      </c>
      <c r="M8">
        <v>24150</v>
      </c>
      <c r="N8">
        <v>49071</v>
      </c>
      <c r="O8" s="6">
        <v>13387.5</v>
      </c>
      <c r="P8" s="6">
        <v>57840</v>
      </c>
      <c r="Q8" s="6">
        <v>28980</v>
      </c>
      <c r="R8" s="6">
        <v>100207.5</v>
      </c>
      <c r="S8" s="2">
        <v>8.3550000000000004</v>
      </c>
      <c r="T8" s="2">
        <v>14.43266666666667</v>
      </c>
      <c r="U8" s="2">
        <v>4.5196666666666667</v>
      </c>
      <c r="V8" s="2">
        <v>27.307333333333329</v>
      </c>
      <c r="W8">
        <v>29</v>
      </c>
      <c r="X8">
        <v>0</v>
      </c>
      <c r="Y8">
        <v>0</v>
      </c>
      <c r="Z8">
        <v>29</v>
      </c>
      <c r="AA8" s="2">
        <v>1735564.4144742601</v>
      </c>
      <c r="AB8" s="6">
        <v>696</v>
      </c>
      <c r="AC8" s="6">
        <v>0</v>
      </c>
      <c r="AD8" s="6">
        <v>0</v>
      </c>
      <c r="AE8" s="6">
        <v>696</v>
      </c>
      <c r="AF8" s="3">
        <v>3.9230512526756018</v>
      </c>
      <c r="AG8">
        <v>29</v>
      </c>
      <c r="AH8">
        <v>0</v>
      </c>
      <c r="AI8">
        <v>0</v>
      </c>
      <c r="AJ8">
        <v>29</v>
      </c>
      <c r="AK8" s="2">
        <v>2381048.809958749</v>
      </c>
      <c r="AL8" s="6">
        <v>222.72</v>
      </c>
      <c r="AM8" s="6">
        <v>0</v>
      </c>
      <c r="AN8" s="6">
        <v>0</v>
      </c>
      <c r="AO8" s="6">
        <v>222.72</v>
      </c>
      <c r="AP8" s="3">
        <v>8.9493803539035729E-2</v>
      </c>
      <c r="AQ8">
        <v>0</v>
      </c>
      <c r="AR8">
        <v>0</v>
      </c>
      <c r="AS8">
        <v>0</v>
      </c>
      <c r="AT8">
        <v>0</v>
      </c>
      <c r="AU8" s="2">
        <v>0</v>
      </c>
      <c r="AV8" s="6">
        <v>0</v>
      </c>
      <c r="AW8" s="6">
        <v>0</v>
      </c>
      <c r="AX8" s="6">
        <v>0</v>
      </c>
      <c r="AY8" s="6">
        <v>0</v>
      </c>
      <c r="AZ8" s="3">
        <v>0</v>
      </c>
      <c r="BA8">
        <v>5</v>
      </c>
      <c r="BB8">
        <v>0</v>
      </c>
      <c r="BC8">
        <v>0</v>
      </c>
      <c r="BD8">
        <v>5</v>
      </c>
      <c r="BE8" s="2">
        <v>50009.716753418739</v>
      </c>
      <c r="BF8" s="6">
        <v>27.975000000000001</v>
      </c>
      <c r="BG8" s="6">
        <v>0</v>
      </c>
      <c r="BH8" s="6">
        <v>0</v>
      </c>
      <c r="BI8" s="6">
        <v>27.975000000000001</v>
      </c>
      <c r="BJ8" s="3">
        <v>14.040182269352339</v>
      </c>
      <c r="BK8" s="6">
        <v>946.69500000000005</v>
      </c>
      <c r="BL8" s="6">
        <v>0</v>
      </c>
      <c r="BM8" s="6">
        <v>0</v>
      </c>
      <c r="BN8" s="6">
        <v>946.69500000000005</v>
      </c>
      <c r="BO8" s="3">
        <v>18.05272732556698</v>
      </c>
      <c r="BP8" s="7">
        <v>101154.19500000001</v>
      </c>
      <c r="BQ8" s="2">
        <v>13.60801819767009</v>
      </c>
      <c r="BR8" s="2">
        <v>58.968078856570401</v>
      </c>
    </row>
    <row r="9" spans="1:70" x14ac:dyDescent="0.3">
      <c r="A9">
        <v>1982</v>
      </c>
      <c r="B9" s="1">
        <v>141268</v>
      </c>
      <c r="C9" s="2">
        <v>4627653.1088202009</v>
      </c>
      <c r="D9" s="3">
        <v>32.757971435995422</v>
      </c>
      <c r="E9" s="1">
        <v>84760</v>
      </c>
      <c r="F9" s="4">
        <v>0.52570111855780144</v>
      </c>
      <c r="G9" s="4">
        <v>0.40447889146460042</v>
      </c>
      <c r="H9" s="4">
        <v>0.80161754490359272</v>
      </c>
      <c r="I9" s="4">
        <v>0.55445630407541457</v>
      </c>
      <c r="J9" s="5">
        <v>6.0671833719690058</v>
      </c>
      <c r="K9">
        <v>2121</v>
      </c>
      <c r="L9">
        <v>24670</v>
      </c>
      <c r="M9">
        <v>24604</v>
      </c>
      <c r="N9">
        <v>51395</v>
      </c>
      <c r="O9" s="6">
        <v>15907.5</v>
      </c>
      <c r="P9" s="6">
        <v>61675</v>
      </c>
      <c r="Q9" s="6">
        <v>29524.799999999999</v>
      </c>
      <c r="R9" s="6">
        <v>107107.3</v>
      </c>
      <c r="S9" s="2">
        <v>9.7183333333333337</v>
      </c>
      <c r="T9" s="2">
        <v>15.068444444444451</v>
      </c>
      <c r="U9" s="2">
        <v>4.5084666666666671</v>
      </c>
      <c r="V9" s="2">
        <v>29.29524444444445</v>
      </c>
      <c r="W9">
        <v>32</v>
      </c>
      <c r="X9">
        <v>0</v>
      </c>
      <c r="Y9">
        <v>0</v>
      </c>
      <c r="Z9">
        <v>32</v>
      </c>
      <c r="AA9" s="2">
        <v>1959490.6867428119</v>
      </c>
      <c r="AB9" s="6">
        <v>787.2</v>
      </c>
      <c r="AC9" s="6">
        <v>0</v>
      </c>
      <c r="AD9" s="6">
        <v>0</v>
      </c>
      <c r="AE9" s="6">
        <v>787.2</v>
      </c>
      <c r="AF9" s="3">
        <v>4.485815993429914</v>
      </c>
      <c r="AG9">
        <v>32</v>
      </c>
      <c r="AH9">
        <v>0</v>
      </c>
      <c r="AI9">
        <v>0</v>
      </c>
      <c r="AJ9">
        <v>32</v>
      </c>
      <c r="AK9" s="2">
        <v>2616186.6087545631</v>
      </c>
      <c r="AL9" s="6">
        <v>244.48</v>
      </c>
      <c r="AM9" s="6">
        <v>0</v>
      </c>
      <c r="AN9" s="6">
        <v>0</v>
      </c>
      <c r="AO9" s="6">
        <v>244.48</v>
      </c>
      <c r="AP9" s="3">
        <v>0.1034370689310907</v>
      </c>
      <c r="AQ9">
        <v>0</v>
      </c>
      <c r="AR9">
        <v>0</v>
      </c>
      <c r="AS9">
        <v>0</v>
      </c>
      <c r="AT9">
        <v>0</v>
      </c>
      <c r="AU9" s="2">
        <v>0</v>
      </c>
      <c r="AV9" s="6">
        <v>0</v>
      </c>
      <c r="AW9" s="6">
        <v>0</v>
      </c>
      <c r="AX9" s="6">
        <v>0</v>
      </c>
      <c r="AY9" s="6">
        <v>0</v>
      </c>
      <c r="AZ9" s="3">
        <v>0</v>
      </c>
      <c r="BA9">
        <v>5</v>
      </c>
      <c r="BB9">
        <v>0</v>
      </c>
      <c r="BC9">
        <v>0</v>
      </c>
      <c r="BD9">
        <v>5</v>
      </c>
      <c r="BE9" s="2">
        <v>51975.813322826667</v>
      </c>
      <c r="BF9" s="6">
        <v>28.425000000000001</v>
      </c>
      <c r="BG9" s="6">
        <v>0</v>
      </c>
      <c r="BH9" s="6">
        <v>0</v>
      </c>
      <c r="BI9" s="6">
        <v>28.425000000000001</v>
      </c>
      <c r="BJ9" s="3">
        <v>15.961779942062311</v>
      </c>
      <c r="BK9" s="6">
        <v>1060.105</v>
      </c>
      <c r="BL9" s="6">
        <v>0</v>
      </c>
      <c r="BM9" s="6">
        <v>0</v>
      </c>
      <c r="BN9" s="6">
        <v>1060.105</v>
      </c>
      <c r="BO9" s="3">
        <v>20.551033004423321</v>
      </c>
      <c r="BP9" s="7">
        <v>108167.405</v>
      </c>
      <c r="BQ9" s="2">
        <v>14.95388323466033</v>
      </c>
      <c r="BR9" s="2">
        <v>64.800160683528091</v>
      </c>
    </row>
    <row r="10" spans="1:70" x14ac:dyDescent="0.3">
      <c r="A10">
        <v>1983</v>
      </c>
      <c r="B10" s="1">
        <v>144855</v>
      </c>
      <c r="C10" s="2">
        <v>5131537.7943015182</v>
      </c>
      <c r="D10" s="3">
        <v>35.425341163933027</v>
      </c>
      <c r="E10" s="1">
        <v>86913</v>
      </c>
      <c r="F10" s="4">
        <v>0.53745973050568518</v>
      </c>
      <c r="G10" s="4">
        <v>0.42051731185003499</v>
      </c>
      <c r="H10" s="4">
        <v>0.86721566337049594</v>
      </c>
      <c r="I10" s="4">
        <v>0.58087895301534964</v>
      </c>
      <c r="J10" s="5">
        <v>6.3077596777505249</v>
      </c>
      <c r="K10">
        <v>2497</v>
      </c>
      <c r="L10">
        <v>26275</v>
      </c>
      <c r="M10">
        <v>25056</v>
      </c>
      <c r="N10">
        <v>53828</v>
      </c>
      <c r="O10" s="6">
        <v>18727.5</v>
      </c>
      <c r="P10" s="6">
        <v>65687.5</v>
      </c>
      <c r="Q10" s="6">
        <v>30067.200000000001</v>
      </c>
      <c r="R10" s="6">
        <v>114482.2</v>
      </c>
      <c r="S10" s="2">
        <v>11.2</v>
      </c>
      <c r="T10" s="2">
        <v>15.712444444444451</v>
      </c>
      <c r="U10" s="2">
        <v>4.4951999999999996</v>
      </c>
      <c r="V10" s="2">
        <v>31.40764444444445</v>
      </c>
      <c r="W10">
        <v>35</v>
      </c>
      <c r="X10">
        <v>0</v>
      </c>
      <c r="Y10">
        <v>0</v>
      </c>
      <c r="Z10">
        <v>35</v>
      </c>
      <c r="AA10" s="2">
        <v>2205051.8964001732</v>
      </c>
      <c r="AB10" s="6">
        <v>861</v>
      </c>
      <c r="AC10" s="6">
        <v>0</v>
      </c>
      <c r="AD10" s="6">
        <v>0</v>
      </c>
      <c r="AE10" s="6">
        <v>861</v>
      </c>
      <c r="AF10" s="3">
        <v>5.071784740000127</v>
      </c>
      <c r="AG10">
        <v>35</v>
      </c>
      <c r="AH10">
        <v>0</v>
      </c>
      <c r="AI10">
        <v>0</v>
      </c>
      <c r="AJ10">
        <v>35</v>
      </c>
      <c r="AK10" s="2">
        <v>2872445.3156287372</v>
      </c>
      <c r="AL10" s="6">
        <v>271.60000000000002</v>
      </c>
      <c r="AM10" s="6">
        <v>0</v>
      </c>
      <c r="AN10" s="6">
        <v>0</v>
      </c>
      <c r="AO10" s="6">
        <v>271.60000000000002</v>
      </c>
      <c r="AP10" s="3">
        <v>0.1181489090751581</v>
      </c>
      <c r="AQ10">
        <v>0</v>
      </c>
      <c r="AR10">
        <v>0</v>
      </c>
      <c r="AS10">
        <v>0</v>
      </c>
      <c r="AT10">
        <v>0</v>
      </c>
      <c r="AU10" s="2">
        <v>0</v>
      </c>
      <c r="AV10" s="6">
        <v>0</v>
      </c>
      <c r="AW10" s="6">
        <v>0</v>
      </c>
      <c r="AX10" s="6">
        <v>0</v>
      </c>
      <c r="AY10" s="6">
        <v>0</v>
      </c>
      <c r="AZ10" s="3">
        <v>0</v>
      </c>
      <c r="BA10">
        <v>5</v>
      </c>
      <c r="BB10">
        <v>0</v>
      </c>
      <c r="BC10">
        <v>0</v>
      </c>
      <c r="BD10">
        <v>5</v>
      </c>
      <c r="BE10" s="2">
        <v>54040.582272608248</v>
      </c>
      <c r="BF10" s="6">
        <v>28.65</v>
      </c>
      <c r="BG10" s="6">
        <v>0</v>
      </c>
      <c r="BH10" s="6">
        <v>0</v>
      </c>
      <c r="BI10" s="6">
        <v>28.65</v>
      </c>
      <c r="BJ10" s="3">
        <v>17.92859239025611</v>
      </c>
      <c r="BK10" s="6">
        <v>1161.25</v>
      </c>
      <c r="BL10" s="6">
        <v>0</v>
      </c>
      <c r="BM10" s="6">
        <v>0</v>
      </c>
      <c r="BN10" s="6">
        <v>1161.25</v>
      </c>
      <c r="BO10" s="3">
        <v>23.1185260393314</v>
      </c>
      <c r="BP10" s="7">
        <v>115643.45</v>
      </c>
      <c r="BQ10" s="2">
        <v>16.357851145132749</v>
      </c>
      <c r="BR10" s="2">
        <v>70.884021628908599</v>
      </c>
    </row>
    <row r="11" spans="1:70" x14ac:dyDescent="0.3">
      <c r="A11">
        <v>1984</v>
      </c>
      <c r="B11" s="1">
        <v>148436</v>
      </c>
      <c r="C11" s="2">
        <v>5686952.5973368417</v>
      </c>
      <c r="D11" s="3">
        <v>38.312488866156741</v>
      </c>
      <c r="E11" s="1">
        <v>89061</v>
      </c>
      <c r="F11" s="4">
        <v>0.54924078676873989</v>
      </c>
      <c r="G11" s="4">
        <v>0.43577352924317242</v>
      </c>
      <c r="H11" s="4">
        <v>0.91654074661664731</v>
      </c>
      <c r="I11" s="4">
        <v>0.60310343382742215</v>
      </c>
      <c r="J11" s="5">
        <v>6.5366029386475866</v>
      </c>
      <c r="K11">
        <v>2915</v>
      </c>
      <c r="L11">
        <v>27956</v>
      </c>
      <c r="M11">
        <v>25488</v>
      </c>
      <c r="N11">
        <v>56359</v>
      </c>
      <c r="O11" s="6">
        <v>21862.5</v>
      </c>
      <c r="P11" s="6">
        <v>69890</v>
      </c>
      <c r="Q11" s="6">
        <v>30585.599999999999</v>
      </c>
      <c r="R11" s="6">
        <v>122338.1</v>
      </c>
      <c r="S11" s="2">
        <v>12.79833333333333</v>
      </c>
      <c r="T11" s="2">
        <v>16.361555555555551</v>
      </c>
      <c r="U11" s="2">
        <v>4.4752000000000001</v>
      </c>
      <c r="V11" s="2">
        <v>33.635088888888887</v>
      </c>
      <c r="W11">
        <v>37</v>
      </c>
      <c r="X11">
        <v>0</v>
      </c>
      <c r="Y11">
        <v>0</v>
      </c>
      <c r="Z11">
        <v>37</v>
      </c>
      <c r="AA11" s="2">
        <v>2476039.5046787439</v>
      </c>
      <c r="AB11" s="6">
        <v>891.7</v>
      </c>
      <c r="AC11" s="6">
        <v>0</v>
      </c>
      <c r="AD11" s="6">
        <v>0</v>
      </c>
      <c r="AE11" s="6">
        <v>891.7</v>
      </c>
      <c r="AF11" s="3">
        <v>5.680609942200209</v>
      </c>
      <c r="AG11">
        <v>37</v>
      </c>
      <c r="AH11">
        <v>0</v>
      </c>
      <c r="AI11">
        <v>0</v>
      </c>
      <c r="AJ11">
        <v>37</v>
      </c>
      <c r="AK11" s="2">
        <v>3154688.249685145</v>
      </c>
      <c r="AL11" s="6">
        <v>281.2</v>
      </c>
      <c r="AM11" s="6">
        <v>0</v>
      </c>
      <c r="AN11" s="6">
        <v>0</v>
      </c>
      <c r="AO11" s="6">
        <v>281.2</v>
      </c>
      <c r="AP11" s="3">
        <v>0.13362803110707189</v>
      </c>
      <c r="AQ11">
        <v>0</v>
      </c>
      <c r="AR11">
        <v>0</v>
      </c>
      <c r="AS11">
        <v>0</v>
      </c>
      <c r="AT11">
        <v>0</v>
      </c>
      <c r="AU11" s="2">
        <v>0</v>
      </c>
      <c r="AV11" s="6">
        <v>0</v>
      </c>
      <c r="AW11" s="6">
        <v>0</v>
      </c>
      <c r="AX11" s="6">
        <v>0</v>
      </c>
      <c r="AY11" s="6">
        <v>0</v>
      </c>
      <c r="AZ11" s="3">
        <v>0</v>
      </c>
      <c r="BA11">
        <v>5</v>
      </c>
      <c r="BB11">
        <v>0</v>
      </c>
      <c r="BC11">
        <v>0</v>
      </c>
      <c r="BD11">
        <v>5</v>
      </c>
      <c r="BE11" s="2">
        <v>56224.842972952953</v>
      </c>
      <c r="BF11" s="6">
        <v>28.425000000000001</v>
      </c>
      <c r="BG11" s="6">
        <v>0</v>
      </c>
      <c r="BH11" s="6">
        <v>0</v>
      </c>
      <c r="BI11" s="6">
        <v>28.425000000000001</v>
      </c>
      <c r="BJ11" s="3">
        <v>19.940451012064209</v>
      </c>
      <c r="BK11" s="6">
        <v>1201.325</v>
      </c>
      <c r="BL11" s="6">
        <v>0</v>
      </c>
      <c r="BM11" s="6">
        <v>0</v>
      </c>
      <c r="BN11" s="6">
        <v>1201.325</v>
      </c>
      <c r="BO11" s="3">
        <v>25.754688985371491</v>
      </c>
      <c r="BP11" s="7">
        <v>123539.425</v>
      </c>
      <c r="BQ11" s="2">
        <v>17.81693336227811</v>
      </c>
      <c r="BR11" s="2">
        <v>77.206711236538496</v>
      </c>
    </row>
    <row r="12" spans="1:70" x14ac:dyDescent="0.3">
      <c r="A12">
        <v>1985</v>
      </c>
      <c r="B12" s="1">
        <v>151909</v>
      </c>
      <c r="C12" s="2">
        <v>6303991.1595043493</v>
      </c>
      <c r="D12" s="3">
        <v>41.498470528437089</v>
      </c>
      <c r="E12" s="1">
        <v>91145</v>
      </c>
      <c r="F12" s="4">
        <v>0.56126246464149721</v>
      </c>
      <c r="G12" s="4">
        <v>0.45028569213410441</v>
      </c>
      <c r="H12" s="4">
        <v>0.9511874962263478</v>
      </c>
      <c r="I12" s="4">
        <v>0.62178478834793283</v>
      </c>
      <c r="J12" s="5">
        <v>6.7542853820115658</v>
      </c>
      <c r="K12">
        <v>3381</v>
      </c>
      <c r="L12">
        <v>29715</v>
      </c>
      <c r="M12">
        <v>25875</v>
      </c>
      <c r="N12">
        <v>58971</v>
      </c>
      <c r="O12" s="6">
        <v>25357.5</v>
      </c>
      <c r="P12" s="6">
        <v>74287.5</v>
      </c>
      <c r="Q12" s="6">
        <v>31050</v>
      </c>
      <c r="R12" s="6">
        <v>130695</v>
      </c>
      <c r="S12" s="2">
        <v>14.516666666666669</v>
      </c>
      <c r="T12" s="2">
        <v>17.009777777777781</v>
      </c>
      <c r="U12" s="2">
        <v>4.4435333333333329</v>
      </c>
      <c r="V12" s="2">
        <v>35.969977777777778</v>
      </c>
      <c r="W12">
        <v>40</v>
      </c>
      <c r="X12">
        <v>0</v>
      </c>
      <c r="Y12">
        <v>0</v>
      </c>
      <c r="Z12">
        <v>40</v>
      </c>
      <c r="AA12" s="2">
        <v>2776879.8240944641</v>
      </c>
      <c r="AB12" s="6">
        <v>988</v>
      </c>
      <c r="AC12" s="6">
        <v>0</v>
      </c>
      <c r="AD12" s="6">
        <v>0</v>
      </c>
      <c r="AE12" s="6">
        <v>988</v>
      </c>
      <c r="AF12" s="3">
        <v>6.312167575829176</v>
      </c>
      <c r="AG12">
        <v>40</v>
      </c>
      <c r="AH12">
        <v>0</v>
      </c>
      <c r="AI12">
        <v>0</v>
      </c>
      <c r="AJ12">
        <v>40</v>
      </c>
      <c r="AK12" s="2">
        <v>3468564.5042072642</v>
      </c>
      <c r="AL12" s="6">
        <v>304</v>
      </c>
      <c r="AM12" s="6">
        <v>0</v>
      </c>
      <c r="AN12" s="6">
        <v>0</v>
      </c>
      <c r="AO12" s="6">
        <v>304</v>
      </c>
      <c r="AP12" s="3">
        <v>0.1498774033022135</v>
      </c>
      <c r="AQ12">
        <v>0</v>
      </c>
      <c r="AR12">
        <v>0</v>
      </c>
      <c r="AS12">
        <v>0</v>
      </c>
      <c r="AT12">
        <v>0</v>
      </c>
      <c r="AU12" s="2">
        <v>0</v>
      </c>
      <c r="AV12" s="6">
        <v>0</v>
      </c>
      <c r="AW12" s="6">
        <v>0</v>
      </c>
      <c r="AX12" s="6">
        <v>0</v>
      </c>
      <c r="AY12" s="6">
        <v>0</v>
      </c>
      <c r="AZ12" s="3">
        <v>0</v>
      </c>
      <c r="BA12">
        <v>5</v>
      </c>
      <c r="BB12">
        <v>0</v>
      </c>
      <c r="BC12">
        <v>0</v>
      </c>
      <c r="BD12">
        <v>5</v>
      </c>
      <c r="BE12" s="2">
        <v>58546.831202621899</v>
      </c>
      <c r="BF12" s="6">
        <v>28.425000000000001</v>
      </c>
      <c r="BG12" s="6">
        <v>0</v>
      </c>
      <c r="BH12" s="6">
        <v>0</v>
      </c>
      <c r="BI12" s="6">
        <v>28.425000000000001</v>
      </c>
      <c r="BJ12" s="3">
        <v>21.99804853652854</v>
      </c>
      <c r="BK12" s="6">
        <v>1320.425</v>
      </c>
      <c r="BL12" s="6">
        <v>0</v>
      </c>
      <c r="BM12" s="6">
        <v>0</v>
      </c>
      <c r="BN12" s="6">
        <v>1320.425</v>
      </c>
      <c r="BO12" s="3">
        <v>28.460093515659931</v>
      </c>
      <c r="BP12" s="7">
        <v>132015.42499999999</v>
      </c>
      <c r="BQ12" s="2">
        <v>19.329021388031311</v>
      </c>
      <c r="BR12" s="2">
        <v>83.759092681469014</v>
      </c>
    </row>
    <row r="13" spans="1:70" x14ac:dyDescent="0.3">
      <c r="A13">
        <v>1986</v>
      </c>
      <c r="B13" s="1">
        <v>155151</v>
      </c>
      <c r="C13" s="2">
        <v>6993286.8604585491</v>
      </c>
      <c r="D13" s="3">
        <v>45.074068877793557</v>
      </c>
      <c r="E13" s="1">
        <v>93090</v>
      </c>
      <c r="F13" s="4">
        <v>0.5737094019012754</v>
      </c>
      <c r="G13" s="4">
        <v>0.46409008848910632</v>
      </c>
      <c r="H13" s="4">
        <v>0.97374600682675516</v>
      </c>
      <c r="I13" s="4">
        <v>0.63764650466791317</v>
      </c>
      <c r="J13" s="5">
        <v>6.9613513273365939</v>
      </c>
      <c r="K13">
        <v>3897</v>
      </c>
      <c r="L13">
        <v>31545</v>
      </c>
      <c r="M13">
        <v>26189</v>
      </c>
      <c r="N13">
        <v>61631</v>
      </c>
      <c r="O13" s="6">
        <v>29227.5</v>
      </c>
      <c r="P13" s="6">
        <v>78862.5</v>
      </c>
      <c r="Q13" s="6">
        <v>31426.799999999999</v>
      </c>
      <c r="R13" s="6">
        <v>139516.79999999999</v>
      </c>
      <c r="S13" s="2">
        <v>16.353333333333332</v>
      </c>
      <c r="T13" s="2">
        <v>17.646888888888888</v>
      </c>
      <c r="U13" s="2">
        <v>4.3951333333333329</v>
      </c>
      <c r="V13" s="2">
        <v>38.395355555555547</v>
      </c>
      <c r="W13">
        <v>43</v>
      </c>
      <c r="X13">
        <v>0</v>
      </c>
      <c r="Y13">
        <v>0</v>
      </c>
      <c r="Z13">
        <v>43</v>
      </c>
      <c r="AA13" s="2">
        <v>3112314.0771611249</v>
      </c>
      <c r="AB13" s="6">
        <v>1066.4000000000001</v>
      </c>
      <c r="AC13" s="6">
        <v>0</v>
      </c>
      <c r="AD13" s="6">
        <v>0</v>
      </c>
      <c r="AE13" s="6">
        <v>1066.4000000000001</v>
      </c>
      <c r="AF13" s="3">
        <v>6.9665519947792758</v>
      </c>
      <c r="AG13">
        <v>43</v>
      </c>
      <c r="AH13">
        <v>0</v>
      </c>
      <c r="AI13">
        <v>0</v>
      </c>
      <c r="AJ13">
        <v>43</v>
      </c>
      <c r="AK13" s="2">
        <v>3819960.72971969</v>
      </c>
      <c r="AL13" s="6">
        <v>331.96</v>
      </c>
      <c r="AM13" s="6">
        <v>0</v>
      </c>
      <c r="AN13" s="6">
        <v>0</v>
      </c>
      <c r="AO13" s="6">
        <v>331.96</v>
      </c>
      <c r="AP13" s="3">
        <v>0.16690429940106061</v>
      </c>
      <c r="AQ13">
        <v>0</v>
      </c>
      <c r="AR13">
        <v>0</v>
      </c>
      <c r="AS13">
        <v>0</v>
      </c>
      <c r="AT13">
        <v>0</v>
      </c>
      <c r="AU13" s="2">
        <v>0</v>
      </c>
      <c r="AV13" s="6">
        <v>0</v>
      </c>
      <c r="AW13" s="6">
        <v>0</v>
      </c>
      <c r="AX13" s="6">
        <v>0</v>
      </c>
      <c r="AY13" s="6">
        <v>0</v>
      </c>
      <c r="AZ13" s="3">
        <v>0</v>
      </c>
      <c r="BA13">
        <v>5</v>
      </c>
      <c r="BB13">
        <v>0</v>
      </c>
      <c r="BC13">
        <v>0</v>
      </c>
      <c r="BD13">
        <v>5</v>
      </c>
      <c r="BE13" s="2">
        <v>61012.05357773407</v>
      </c>
      <c r="BF13" s="6">
        <v>29.324999999999999</v>
      </c>
      <c r="BG13" s="6">
        <v>0</v>
      </c>
      <c r="BH13" s="6">
        <v>0</v>
      </c>
      <c r="BI13" s="6">
        <v>29.324999999999999</v>
      </c>
      <c r="BJ13" s="3">
        <v>24.1028873224584</v>
      </c>
      <c r="BK13" s="6">
        <v>1427.6849999999999</v>
      </c>
      <c r="BL13" s="6">
        <v>0</v>
      </c>
      <c r="BM13" s="6">
        <v>0</v>
      </c>
      <c r="BN13" s="6">
        <v>1427.6849999999999</v>
      </c>
      <c r="BO13" s="3">
        <v>31.236343616638731</v>
      </c>
      <c r="BP13" s="7">
        <v>140944.48499999999</v>
      </c>
      <c r="BQ13" s="2">
        <v>20.889509751658281</v>
      </c>
      <c r="BR13" s="2">
        <v>90.521208923852569</v>
      </c>
    </row>
    <row r="14" spans="1:70" x14ac:dyDescent="0.3">
      <c r="A14">
        <v>1987</v>
      </c>
      <c r="B14" s="1">
        <v>158033</v>
      </c>
      <c r="C14" s="2">
        <v>7765250.2567868447</v>
      </c>
      <c r="D14" s="3">
        <v>49.136890755644991</v>
      </c>
      <c r="E14" s="1">
        <v>94819</v>
      </c>
      <c r="F14" s="4">
        <v>0.58671318289892871</v>
      </c>
      <c r="G14" s="4">
        <v>0.47722123648945441</v>
      </c>
      <c r="H14" s="4">
        <v>0.98719004967914326</v>
      </c>
      <c r="I14" s="4">
        <v>0.6514015572837103</v>
      </c>
      <c r="J14" s="5">
        <v>7.1583185473418158</v>
      </c>
      <c r="K14">
        <v>4466</v>
      </c>
      <c r="L14">
        <v>33429</v>
      </c>
      <c r="M14">
        <v>26397</v>
      </c>
      <c r="N14">
        <v>64292</v>
      </c>
      <c r="O14" s="6">
        <v>33495</v>
      </c>
      <c r="P14" s="6">
        <v>83572.5</v>
      </c>
      <c r="Q14" s="6">
        <v>31676.400000000001</v>
      </c>
      <c r="R14" s="6">
        <v>148743.9</v>
      </c>
      <c r="S14" s="2">
        <v>18.298333333333328</v>
      </c>
      <c r="T14" s="2">
        <v>18.259777777777781</v>
      </c>
      <c r="U14" s="2">
        <v>4.3255333333333326</v>
      </c>
      <c r="V14" s="2">
        <v>40.883644444444442</v>
      </c>
      <c r="W14">
        <v>46</v>
      </c>
      <c r="X14">
        <v>0</v>
      </c>
      <c r="Y14">
        <v>0</v>
      </c>
      <c r="Z14">
        <v>46</v>
      </c>
      <c r="AA14" s="2">
        <v>3487108.1216846369</v>
      </c>
      <c r="AB14" s="6">
        <v>1108.5999999999999</v>
      </c>
      <c r="AC14" s="6">
        <v>0</v>
      </c>
      <c r="AD14" s="6">
        <v>0</v>
      </c>
      <c r="AE14" s="6">
        <v>1108.5999999999999</v>
      </c>
      <c r="AF14" s="3">
        <v>7.6440200642548826</v>
      </c>
      <c r="AG14">
        <v>46</v>
      </c>
      <c r="AH14">
        <v>0</v>
      </c>
      <c r="AI14">
        <v>0</v>
      </c>
      <c r="AJ14">
        <v>46</v>
      </c>
      <c r="AK14" s="2">
        <v>4214530.473228775</v>
      </c>
      <c r="AL14" s="6">
        <v>355.12</v>
      </c>
      <c r="AM14" s="6">
        <v>0</v>
      </c>
      <c r="AN14" s="6">
        <v>0</v>
      </c>
      <c r="AO14" s="6">
        <v>355.12</v>
      </c>
      <c r="AP14" s="3">
        <v>0.1847192785265781</v>
      </c>
      <c r="AQ14">
        <v>0</v>
      </c>
      <c r="AR14">
        <v>0</v>
      </c>
      <c r="AS14">
        <v>0</v>
      </c>
      <c r="AT14">
        <v>0</v>
      </c>
      <c r="AU14" s="2">
        <v>0</v>
      </c>
      <c r="AV14" s="6">
        <v>0</v>
      </c>
      <c r="AW14" s="6">
        <v>0</v>
      </c>
      <c r="AX14" s="6">
        <v>0</v>
      </c>
      <c r="AY14" s="6">
        <v>0</v>
      </c>
      <c r="AZ14" s="3">
        <v>0</v>
      </c>
      <c r="BA14">
        <v>5</v>
      </c>
      <c r="BB14">
        <v>0</v>
      </c>
      <c r="BC14">
        <v>0</v>
      </c>
      <c r="BD14">
        <v>5</v>
      </c>
      <c r="BE14" s="2">
        <v>63611.66187343288</v>
      </c>
      <c r="BF14" s="6">
        <v>27.75</v>
      </c>
      <c r="BG14" s="6">
        <v>0</v>
      </c>
      <c r="BH14" s="6">
        <v>0</v>
      </c>
      <c r="BI14" s="6">
        <v>27.75</v>
      </c>
      <c r="BJ14" s="3">
        <v>26.257020211722409</v>
      </c>
      <c r="BK14" s="6">
        <v>1491.47</v>
      </c>
      <c r="BL14" s="6">
        <v>0</v>
      </c>
      <c r="BM14" s="6">
        <v>0</v>
      </c>
      <c r="BN14" s="6">
        <v>1491.47</v>
      </c>
      <c r="BO14" s="3">
        <v>34.085759554503873</v>
      </c>
      <c r="BP14" s="7">
        <v>150235.37</v>
      </c>
      <c r="BQ14" s="2">
        <v>22.49082119968449</v>
      </c>
      <c r="BR14" s="2">
        <v>97.460225198632799</v>
      </c>
    </row>
    <row r="15" spans="1:70" x14ac:dyDescent="0.3">
      <c r="A15">
        <v>1988</v>
      </c>
      <c r="B15" s="1">
        <v>160450</v>
      </c>
      <c r="C15" s="2">
        <v>8628797.2654553205</v>
      </c>
      <c r="D15" s="3">
        <v>53.778730230322971</v>
      </c>
      <c r="E15" s="1">
        <v>96270</v>
      </c>
      <c r="F15" s="4">
        <v>0.60031978376148321</v>
      </c>
      <c r="G15" s="4">
        <v>0.48971197084485918</v>
      </c>
      <c r="H15" s="4">
        <v>0.99440444479854206</v>
      </c>
      <c r="I15" s="4">
        <v>0.6636852172215314</v>
      </c>
      <c r="J15" s="5">
        <v>7.3456795626728866</v>
      </c>
      <c r="K15">
        <v>5087</v>
      </c>
      <c r="L15">
        <v>35339</v>
      </c>
      <c r="M15">
        <v>26471</v>
      </c>
      <c r="N15">
        <v>66897</v>
      </c>
      <c r="O15" s="6">
        <v>38152.5</v>
      </c>
      <c r="P15" s="6">
        <v>88347.5</v>
      </c>
      <c r="Q15" s="6">
        <v>31765.200000000001</v>
      </c>
      <c r="R15" s="6">
        <v>158265.20000000001</v>
      </c>
      <c r="S15" s="2">
        <v>20.33666666666667</v>
      </c>
      <c r="T15" s="2">
        <v>18.835111111111111</v>
      </c>
      <c r="U15" s="2">
        <v>4.2325999999999997</v>
      </c>
      <c r="V15" s="2">
        <v>43.404377777777768</v>
      </c>
      <c r="W15">
        <v>49</v>
      </c>
      <c r="X15">
        <v>0</v>
      </c>
      <c r="Y15">
        <v>0</v>
      </c>
      <c r="Z15">
        <v>49</v>
      </c>
      <c r="AA15" s="2">
        <v>3905568.3063428188</v>
      </c>
      <c r="AB15" s="6">
        <v>1210.3</v>
      </c>
      <c r="AC15" s="6">
        <v>0</v>
      </c>
      <c r="AD15" s="6">
        <v>0</v>
      </c>
      <c r="AE15" s="6">
        <v>1210.3</v>
      </c>
      <c r="AF15" s="3">
        <v>8.3449564633151567</v>
      </c>
      <c r="AG15">
        <v>49</v>
      </c>
      <c r="AH15">
        <v>0</v>
      </c>
      <c r="AI15">
        <v>0</v>
      </c>
      <c r="AJ15">
        <v>49</v>
      </c>
      <c r="AK15" s="2">
        <v>4656908.5107723149</v>
      </c>
      <c r="AL15" s="6">
        <v>380.24</v>
      </c>
      <c r="AM15" s="6">
        <v>0</v>
      </c>
      <c r="AN15" s="6">
        <v>0</v>
      </c>
      <c r="AO15" s="6">
        <v>380.24</v>
      </c>
      <c r="AP15" s="3">
        <v>0.20333556689818841</v>
      </c>
      <c r="AQ15">
        <v>0</v>
      </c>
      <c r="AR15">
        <v>0</v>
      </c>
      <c r="AS15">
        <v>0</v>
      </c>
      <c r="AT15">
        <v>0</v>
      </c>
      <c r="AU15" s="2">
        <v>0</v>
      </c>
      <c r="AV15" s="6">
        <v>0</v>
      </c>
      <c r="AW15" s="6">
        <v>0</v>
      </c>
      <c r="AX15" s="6">
        <v>0</v>
      </c>
      <c r="AY15" s="6">
        <v>0</v>
      </c>
      <c r="AZ15" s="3">
        <v>0</v>
      </c>
      <c r="BA15">
        <v>5</v>
      </c>
      <c r="BB15">
        <v>0</v>
      </c>
      <c r="BC15">
        <v>0</v>
      </c>
      <c r="BD15">
        <v>5</v>
      </c>
      <c r="BE15" s="2">
        <v>66320.448340187329</v>
      </c>
      <c r="BF15" s="6">
        <v>28.2</v>
      </c>
      <c r="BG15" s="6">
        <v>0</v>
      </c>
      <c r="BH15" s="6">
        <v>0</v>
      </c>
      <c r="BI15" s="6">
        <v>28.2</v>
      </c>
      <c r="BJ15" s="3">
        <v>28.462891536031709</v>
      </c>
      <c r="BK15" s="6">
        <v>1618.74</v>
      </c>
      <c r="BL15" s="6">
        <v>0</v>
      </c>
      <c r="BM15" s="6">
        <v>0</v>
      </c>
      <c r="BN15" s="6">
        <v>1618.74</v>
      </c>
      <c r="BO15" s="3">
        <v>37.011183566245052</v>
      </c>
      <c r="BP15" s="7">
        <v>159883.94</v>
      </c>
      <c r="BQ15" s="2">
        <v>24.12466840320684</v>
      </c>
      <c r="BR15" s="2">
        <v>104.5402297472297</v>
      </c>
    </row>
    <row r="16" spans="1:70" x14ac:dyDescent="0.3">
      <c r="A16">
        <v>1989</v>
      </c>
      <c r="B16" s="1">
        <v>162363</v>
      </c>
      <c r="C16" s="2">
        <v>9590001.9492776711</v>
      </c>
      <c r="D16" s="3">
        <v>59.065193112209499</v>
      </c>
      <c r="E16" s="1">
        <v>97417</v>
      </c>
      <c r="F16" s="4">
        <v>0.61445747457995359</v>
      </c>
      <c r="G16" s="4">
        <v>0.50159352489734232</v>
      </c>
      <c r="H16" s="4">
        <v>0.99783190247259534</v>
      </c>
      <c r="I16" s="4">
        <v>0.67499472574468544</v>
      </c>
      <c r="J16" s="5">
        <v>7.5239028734601341</v>
      </c>
      <c r="K16">
        <v>5756</v>
      </c>
      <c r="L16">
        <v>37235</v>
      </c>
      <c r="M16">
        <v>26393</v>
      </c>
      <c r="N16">
        <v>69384</v>
      </c>
      <c r="O16" s="6">
        <v>43170</v>
      </c>
      <c r="P16" s="6">
        <v>93087.5</v>
      </c>
      <c r="Q16" s="6">
        <v>31671.599999999999</v>
      </c>
      <c r="R16" s="6">
        <v>167929.1</v>
      </c>
      <c r="S16" s="2">
        <v>22.45</v>
      </c>
      <c r="T16" s="2">
        <v>19.362444444444449</v>
      </c>
      <c r="U16" s="2">
        <v>4.1173999999999999</v>
      </c>
      <c r="V16" s="2">
        <v>45.929844444444441</v>
      </c>
      <c r="W16">
        <v>53</v>
      </c>
      <c r="X16">
        <v>0</v>
      </c>
      <c r="Y16">
        <v>0</v>
      </c>
      <c r="Z16">
        <v>53</v>
      </c>
      <c r="AA16" s="2">
        <v>4371028.4666422112</v>
      </c>
      <c r="AB16" s="6">
        <v>1309.0999999999999</v>
      </c>
      <c r="AC16" s="6">
        <v>0</v>
      </c>
      <c r="AD16" s="6">
        <v>0</v>
      </c>
      <c r="AE16" s="6">
        <v>1309.0999999999999</v>
      </c>
      <c r="AF16" s="3">
        <v>9.0698461700031885</v>
      </c>
      <c r="AG16">
        <v>53</v>
      </c>
      <c r="AH16">
        <v>0</v>
      </c>
      <c r="AI16">
        <v>0</v>
      </c>
      <c r="AJ16">
        <v>53</v>
      </c>
      <c r="AK16" s="2">
        <v>5149874.5764697548</v>
      </c>
      <c r="AL16" s="6">
        <v>413.4</v>
      </c>
      <c r="AM16" s="6">
        <v>0</v>
      </c>
      <c r="AN16" s="6">
        <v>0</v>
      </c>
      <c r="AO16" s="6">
        <v>413.4</v>
      </c>
      <c r="AP16" s="3">
        <v>0.2227685643597207</v>
      </c>
      <c r="AQ16">
        <v>0</v>
      </c>
      <c r="AR16">
        <v>0</v>
      </c>
      <c r="AS16">
        <v>0</v>
      </c>
      <c r="AT16">
        <v>0</v>
      </c>
      <c r="AU16" s="2">
        <v>0</v>
      </c>
      <c r="AV16" s="6">
        <v>0</v>
      </c>
      <c r="AW16" s="6">
        <v>0</v>
      </c>
      <c r="AX16" s="6">
        <v>0</v>
      </c>
      <c r="AY16" s="6">
        <v>0</v>
      </c>
      <c r="AZ16" s="3">
        <v>0</v>
      </c>
      <c r="BA16">
        <v>5</v>
      </c>
      <c r="BB16">
        <v>0</v>
      </c>
      <c r="BC16">
        <v>0</v>
      </c>
      <c r="BD16">
        <v>5</v>
      </c>
      <c r="BE16" s="2">
        <v>69098.906165705397</v>
      </c>
      <c r="BF16" s="6">
        <v>27.975000000000001</v>
      </c>
      <c r="BG16" s="6">
        <v>0</v>
      </c>
      <c r="BH16" s="6">
        <v>0</v>
      </c>
      <c r="BI16" s="6">
        <v>27.975000000000001</v>
      </c>
      <c r="BJ16" s="3">
        <v>30.723215276124119</v>
      </c>
      <c r="BK16" s="6">
        <v>1750.4749999999999</v>
      </c>
      <c r="BL16" s="6">
        <v>0</v>
      </c>
      <c r="BM16" s="6">
        <v>0</v>
      </c>
      <c r="BN16" s="6">
        <v>1750.4749999999999</v>
      </c>
      <c r="BO16" s="3">
        <v>40.015830010487029</v>
      </c>
      <c r="BP16" s="7">
        <v>169679.57500000001</v>
      </c>
      <c r="BQ16" s="2">
        <v>25.78370233647944</v>
      </c>
      <c r="BR16" s="2">
        <v>111.7293767914109</v>
      </c>
    </row>
    <row r="17" spans="1:70" x14ac:dyDescent="0.3">
      <c r="A17">
        <v>1990</v>
      </c>
      <c r="B17" s="1">
        <v>163823</v>
      </c>
      <c r="C17" s="2">
        <v>12605830.806758881</v>
      </c>
      <c r="D17" s="3">
        <v>76.947869388052197</v>
      </c>
      <c r="E17" s="1">
        <v>98293</v>
      </c>
      <c r="F17" s="4">
        <v>0.6543862307109124</v>
      </c>
      <c r="G17" s="4">
        <v>0.51289560872085982</v>
      </c>
      <c r="H17" s="4">
        <v>0.99991309573068954</v>
      </c>
      <c r="I17" s="4">
        <v>0.69493117776879243</v>
      </c>
      <c r="J17" s="5">
        <v>7.6934341308128973</v>
      </c>
      <c r="K17">
        <v>7218</v>
      </c>
      <c r="L17">
        <v>41934</v>
      </c>
      <c r="M17">
        <v>25351</v>
      </c>
      <c r="N17">
        <v>74503</v>
      </c>
      <c r="O17" s="6">
        <v>54135</v>
      </c>
      <c r="P17" s="6">
        <v>104835</v>
      </c>
      <c r="Q17" s="6">
        <v>30421.200000000001</v>
      </c>
      <c r="R17" s="6">
        <v>189391.2</v>
      </c>
      <c r="S17" s="2">
        <v>26.45333333333333</v>
      </c>
      <c r="T17" s="2">
        <v>20.490222222222219</v>
      </c>
      <c r="U17" s="2">
        <v>3.7162000000000002</v>
      </c>
      <c r="V17" s="2">
        <v>50.659755555555563</v>
      </c>
      <c r="W17">
        <v>79</v>
      </c>
      <c r="X17">
        <v>0</v>
      </c>
      <c r="Y17">
        <v>0</v>
      </c>
      <c r="Z17">
        <v>79</v>
      </c>
      <c r="AA17" s="2">
        <v>6839919.6586416028</v>
      </c>
      <c r="AB17" s="6">
        <v>1951.3</v>
      </c>
      <c r="AC17" s="6">
        <v>0</v>
      </c>
      <c r="AD17" s="6">
        <v>0</v>
      </c>
      <c r="AE17" s="6">
        <v>1951.3</v>
      </c>
      <c r="AF17" s="3">
        <v>9.8192349720447698</v>
      </c>
      <c r="AG17">
        <v>79</v>
      </c>
      <c r="AH17">
        <v>0</v>
      </c>
      <c r="AI17">
        <v>0</v>
      </c>
      <c r="AJ17">
        <v>79</v>
      </c>
      <c r="AK17" s="2">
        <v>5694007.0479423944</v>
      </c>
      <c r="AL17" s="6">
        <v>619.36</v>
      </c>
      <c r="AM17" s="6">
        <v>0</v>
      </c>
      <c r="AN17" s="6">
        <v>0</v>
      </c>
      <c r="AO17" s="6">
        <v>619.36</v>
      </c>
      <c r="AP17" s="3">
        <v>0.24303508185063269</v>
      </c>
      <c r="AQ17">
        <v>0</v>
      </c>
      <c r="AR17">
        <v>0</v>
      </c>
      <c r="AS17">
        <v>0</v>
      </c>
      <c r="AT17">
        <v>0</v>
      </c>
      <c r="AU17" s="2">
        <v>0</v>
      </c>
      <c r="AV17" s="6">
        <v>0</v>
      </c>
      <c r="AW17" s="6">
        <v>0</v>
      </c>
      <c r="AX17" s="6">
        <v>0</v>
      </c>
      <c r="AY17" s="6">
        <v>0</v>
      </c>
      <c r="AZ17" s="3">
        <v>0</v>
      </c>
      <c r="BA17">
        <v>5</v>
      </c>
      <c r="BB17">
        <v>0</v>
      </c>
      <c r="BC17">
        <v>0</v>
      </c>
      <c r="BD17">
        <v>5</v>
      </c>
      <c r="BE17" s="2">
        <v>71904.100174878709</v>
      </c>
      <c r="BF17" s="6">
        <v>29.1</v>
      </c>
      <c r="BG17" s="6">
        <v>0</v>
      </c>
      <c r="BH17" s="6">
        <v>0</v>
      </c>
      <c r="BI17" s="6">
        <v>29.1</v>
      </c>
      <c r="BJ17" s="3">
        <v>33.040808632852432</v>
      </c>
      <c r="BK17" s="6">
        <v>2599.7600000000002</v>
      </c>
      <c r="BL17" s="6">
        <v>0</v>
      </c>
      <c r="BM17" s="6">
        <v>0</v>
      </c>
      <c r="BN17" s="6">
        <v>2599.7600000000002</v>
      </c>
      <c r="BO17" s="3">
        <v>43.103078686747843</v>
      </c>
      <c r="BP17" s="7">
        <v>191990.96</v>
      </c>
      <c r="BQ17" s="2">
        <v>28.128850272691022</v>
      </c>
      <c r="BR17" s="2">
        <v>121.8916845149944</v>
      </c>
    </row>
    <row r="18" spans="1:70" x14ac:dyDescent="0.3">
      <c r="A18">
        <v>1991</v>
      </c>
      <c r="B18" s="1">
        <v>164660</v>
      </c>
      <c r="C18" s="2">
        <v>13890769.826550899</v>
      </c>
      <c r="D18" s="3">
        <v>84.360317178130103</v>
      </c>
      <c r="E18" s="1">
        <v>98796</v>
      </c>
      <c r="F18" s="4">
        <v>0.66825831137646463</v>
      </c>
      <c r="G18" s="4">
        <v>0.52364648341196329</v>
      </c>
      <c r="H18" s="4">
        <v>0.99997711159209812</v>
      </c>
      <c r="I18" s="4">
        <v>0.70467825997526268</v>
      </c>
      <c r="J18" s="5">
        <v>7.8546972511794486</v>
      </c>
      <c r="K18">
        <v>7964</v>
      </c>
      <c r="L18">
        <v>43465</v>
      </c>
      <c r="M18">
        <v>24829</v>
      </c>
      <c r="N18">
        <v>76258</v>
      </c>
      <c r="O18" s="6">
        <v>59730</v>
      </c>
      <c r="P18" s="6">
        <v>108662.5</v>
      </c>
      <c r="Q18" s="6">
        <v>29794.799999999999</v>
      </c>
      <c r="R18" s="6">
        <v>198187.3</v>
      </c>
      <c r="S18" s="2">
        <v>28.661666666666669</v>
      </c>
      <c r="T18" s="2">
        <v>20.855555555555551</v>
      </c>
      <c r="U18" s="2">
        <v>3.5741333333333332</v>
      </c>
      <c r="V18" s="2">
        <v>53.091355555555552</v>
      </c>
      <c r="W18">
        <v>84</v>
      </c>
      <c r="X18">
        <v>0</v>
      </c>
      <c r="Y18">
        <v>0</v>
      </c>
      <c r="Z18">
        <v>84</v>
      </c>
      <c r="AA18" s="2">
        <v>7578054.1783056986</v>
      </c>
      <c r="AB18" s="6">
        <v>2032.8</v>
      </c>
      <c r="AC18" s="6">
        <v>0</v>
      </c>
      <c r="AD18" s="6">
        <v>0</v>
      </c>
      <c r="AE18" s="6">
        <v>2032.8</v>
      </c>
      <c r="AF18" s="3">
        <v>10.457354595683039</v>
      </c>
      <c r="AG18">
        <v>84</v>
      </c>
      <c r="AH18">
        <v>0</v>
      </c>
      <c r="AI18">
        <v>0</v>
      </c>
      <c r="AJ18">
        <v>84</v>
      </c>
      <c r="AK18" s="2">
        <v>6238149.5373330005</v>
      </c>
      <c r="AL18" s="6">
        <v>638.4</v>
      </c>
      <c r="AM18" s="6">
        <v>0</v>
      </c>
      <c r="AN18" s="6">
        <v>0</v>
      </c>
      <c r="AO18" s="6">
        <v>638.4</v>
      </c>
      <c r="AP18" s="3">
        <v>0.25847132054253891</v>
      </c>
      <c r="AQ18">
        <v>0</v>
      </c>
      <c r="AR18">
        <v>0</v>
      </c>
      <c r="AS18">
        <v>0</v>
      </c>
      <c r="AT18">
        <v>0</v>
      </c>
      <c r="AU18" s="2">
        <v>0</v>
      </c>
      <c r="AV18" s="6">
        <v>0</v>
      </c>
      <c r="AW18" s="6">
        <v>0</v>
      </c>
      <c r="AX18" s="6">
        <v>0</v>
      </c>
      <c r="AY18" s="6">
        <v>0</v>
      </c>
      <c r="AZ18" s="3">
        <v>0</v>
      </c>
      <c r="BA18">
        <v>5</v>
      </c>
      <c r="BB18">
        <v>0</v>
      </c>
      <c r="BC18">
        <v>0</v>
      </c>
      <c r="BD18">
        <v>5</v>
      </c>
      <c r="BE18" s="2">
        <v>74566.110912201693</v>
      </c>
      <c r="BF18" s="6">
        <v>27.975000000000001</v>
      </c>
      <c r="BG18" s="6">
        <v>0</v>
      </c>
      <c r="BH18" s="6">
        <v>0</v>
      </c>
      <c r="BI18" s="6">
        <v>27.975000000000001</v>
      </c>
      <c r="BJ18" s="3">
        <v>35.41855055642349</v>
      </c>
      <c r="BK18" s="6">
        <v>2699.1750000000002</v>
      </c>
      <c r="BL18" s="6">
        <v>0</v>
      </c>
      <c r="BM18" s="6">
        <v>0</v>
      </c>
      <c r="BN18" s="6">
        <v>2699.1750000000002</v>
      </c>
      <c r="BO18" s="3">
        <v>46.134376472649073</v>
      </c>
      <c r="BP18" s="7">
        <v>200886.47500000001</v>
      </c>
      <c r="BQ18" s="2">
        <v>29.76771960846138</v>
      </c>
      <c r="BR18" s="2">
        <v>128.99345163666601</v>
      </c>
    </row>
    <row r="19" spans="1:70" x14ac:dyDescent="0.3">
      <c r="A19">
        <v>1992</v>
      </c>
      <c r="B19" s="1">
        <v>165442</v>
      </c>
      <c r="C19" s="2">
        <v>15283962.59139714</v>
      </c>
      <c r="D19" s="3">
        <v>92.382602914599346</v>
      </c>
      <c r="E19" s="1">
        <v>99265</v>
      </c>
      <c r="F19" s="4">
        <v>0.68196168021518977</v>
      </c>
      <c r="G19" s="4">
        <v>0.53387303175726097</v>
      </c>
      <c r="H19" s="4">
        <v>0.99999459871638385</v>
      </c>
      <c r="I19" s="4">
        <v>0.71405533762183049</v>
      </c>
      <c r="J19" s="5">
        <v>8.0080954763589141</v>
      </c>
      <c r="K19">
        <v>8726</v>
      </c>
      <c r="L19">
        <v>44894</v>
      </c>
      <c r="M19">
        <v>24228</v>
      </c>
      <c r="N19">
        <v>77848</v>
      </c>
      <c r="O19" s="6">
        <v>65445</v>
      </c>
      <c r="P19" s="6">
        <v>112235</v>
      </c>
      <c r="Q19" s="6">
        <v>29073.599999999999</v>
      </c>
      <c r="R19" s="6">
        <v>206753.6</v>
      </c>
      <c r="S19" s="2">
        <v>30.90666666666667</v>
      </c>
      <c r="T19" s="2">
        <v>21.201555555555551</v>
      </c>
      <c r="U19" s="2">
        <v>3.4325999999999999</v>
      </c>
      <c r="V19" s="2">
        <v>55.540822222222218</v>
      </c>
      <c r="W19">
        <v>89</v>
      </c>
      <c r="X19">
        <v>1</v>
      </c>
      <c r="Y19">
        <v>1</v>
      </c>
      <c r="Z19">
        <v>91</v>
      </c>
      <c r="AA19" s="2">
        <v>8382355.7825155891</v>
      </c>
      <c r="AB19" s="6">
        <v>2136</v>
      </c>
      <c r="AC19" s="6">
        <v>247</v>
      </c>
      <c r="AD19" s="6">
        <v>0</v>
      </c>
      <c r="AE19" s="6">
        <v>2383</v>
      </c>
      <c r="AF19" s="3">
        <v>11.122150045937939</v>
      </c>
      <c r="AG19">
        <v>89</v>
      </c>
      <c r="AH19">
        <v>1</v>
      </c>
      <c r="AI19">
        <v>0</v>
      </c>
      <c r="AJ19">
        <v>90</v>
      </c>
      <c r="AK19" s="2">
        <v>6824416.4782777643</v>
      </c>
      <c r="AL19" s="6">
        <v>683.52</v>
      </c>
      <c r="AM19" s="6">
        <v>97</v>
      </c>
      <c r="AN19" s="6">
        <v>0</v>
      </c>
      <c r="AO19" s="6">
        <v>780.52</v>
      </c>
      <c r="AP19" s="3">
        <v>0.27464749066692717</v>
      </c>
      <c r="AQ19">
        <v>0</v>
      </c>
      <c r="AR19">
        <v>0</v>
      </c>
      <c r="AS19">
        <v>0</v>
      </c>
      <c r="AT19">
        <v>0</v>
      </c>
      <c r="AU19" s="2">
        <v>0</v>
      </c>
      <c r="AV19" s="6">
        <v>0</v>
      </c>
      <c r="AW19" s="6">
        <v>0</v>
      </c>
      <c r="AX19" s="6">
        <v>0</v>
      </c>
      <c r="AY19" s="6">
        <v>0</v>
      </c>
      <c r="AZ19" s="3">
        <v>0</v>
      </c>
      <c r="BA19">
        <v>5</v>
      </c>
      <c r="BB19">
        <v>0</v>
      </c>
      <c r="BC19">
        <v>0</v>
      </c>
      <c r="BD19">
        <v>5</v>
      </c>
      <c r="BE19" s="2">
        <v>77190.330603789916</v>
      </c>
      <c r="BF19" s="6">
        <v>29.1</v>
      </c>
      <c r="BG19" s="6">
        <v>0</v>
      </c>
      <c r="BH19" s="6">
        <v>0</v>
      </c>
      <c r="BI19" s="6">
        <v>29.1</v>
      </c>
      <c r="BJ19" s="3">
        <v>37.859272935947267</v>
      </c>
      <c r="BK19" s="6">
        <v>2848.62</v>
      </c>
      <c r="BL19" s="6">
        <v>344</v>
      </c>
      <c r="BM19" s="6">
        <v>0</v>
      </c>
      <c r="BN19" s="6">
        <v>3192.62</v>
      </c>
      <c r="BO19" s="3">
        <v>49.256070472552139</v>
      </c>
      <c r="BP19" s="7">
        <v>209946.22</v>
      </c>
      <c r="BQ19" s="2">
        <v>31.439067808432309</v>
      </c>
      <c r="BR19" s="2">
        <v>136.23596050320671</v>
      </c>
    </row>
    <row r="20" spans="1:70" x14ac:dyDescent="0.3">
      <c r="A20">
        <v>1993</v>
      </c>
      <c r="B20" s="1">
        <v>166202</v>
      </c>
      <c r="C20" s="2">
        <v>16767583.74054504</v>
      </c>
      <c r="D20" s="3">
        <v>100.8867747713327</v>
      </c>
      <c r="E20" s="1">
        <v>99721</v>
      </c>
      <c r="F20" s="4">
        <v>0.69524620406879678</v>
      </c>
      <c r="G20" s="4">
        <v>0.54360082545438715</v>
      </c>
      <c r="H20" s="4">
        <v>0.99999883130244194</v>
      </c>
      <c r="I20" s="4">
        <v>0.72300185036927411</v>
      </c>
      <c r="J20" s="5">
        <v>8.1540123818158072</v>
      </c>
      <c r="K20">
        <v>9490</v>
      </c>
      <c r="L20">
        <v>46196</v>
      </c>
      <c r="M20">
        <v>23571</v>
      </c>
      <c r="N20">
        <v>79257</v>
      </c>
      <c r="O20" s="6">
        <v>71175</v>
      </c>
      <c r="P20" s="6">
        <v>115490</v>
      </c>
      <c r="Q20" s="6">
        <v>28285.200000000001</v>
      </c>
      <c r="R20" s="6">
        <v>214950.2</v>
      </c>
      <c r="S20" s="2">
        <v>33.168333333333337</v>
      </c>
      <c r="T20" s="2">
        <v>21.526888888888891</v>
      </c>
      <c r="U20" s="2">
        <v>3.295266666666667</v>
      </c>
      <c r="V20" s="2">
        <v>57.990488888888891</v>
      </c>
      <c r="W20">
        <v>95</v>
      </c>
      <c r="X20">
        <v>1</v>
      </c>
      <c r="Y20">
        <v>1</v>
      </c>
      <c r="Z20">
        <v>97</v>
      </c>
      <c r="AA20" s="2">
        <v>9245929.0932761282</v>
      </c>
      <c r="AB20" s="6">
        <v>2308.5</v>
      </c>
      <c r="AC20" s="6">
        <v>240</v>
      </c>
      <c r="AD20" s="6">
        <v>0</v>
      </c>
      <c r="AE20" s="6">
        <v>2548.5</v>
      </c>
      <c r="AF20" s="3">
        <v>11.813998695849319</v>
      </c>
      <c r="AG20">
        <v>95</v>
      </c>
      <c r="AH20">
        <v>1</v>
      </c>
      <c r="AI20">
        <v>0</v>
      </c>
      <c r="AJ20">
        <v>96</v>
      </c>
      <c r="AK20" s="2">
        <v>7441978.6171632493</v>
      </c>
      <c r="AL20" s="6">
        <v>722</v>
      </c>
      <c r="AM20" s="6">
        <v>97.5</v>
      </c>
      <c r="AN20" s="6">
        <v>0</v>
      </c>
      <c r="AO20" s="6">
        <v>819.5</v>
      </c>
      <c r="AP20" s="3">
        <v>0.2915780224778019</v>
      </c>
      <c r="AQ20">
        <v>0</v>
      </c>
      <c r="AR20">
        <v>0</v>
      </c>
      <c r="AS20">
        <v>0</v>
      </c>
      <c r="AT20">
        <v>0</v>
      </c>
      <c r="AU20" s="2">
        <v>0</v>
      </c>
      <c r="AV20" s="6">
        <v>0</v>
      </c>
      <c r="AW20" s="6">
        <v>0</v>
      </c>
      <c r="AX20" s="6">
        <v>0</v>
      </c>
      <c r="AY20" s="6">
        <v>0</v>
      </c>
      <c r="AZ20" s="3">
        <v>0</v>
      </c>
      <c r="BA20">
        <v>5</v>
      </c>
      <c r="BB20">
        <v>0</v>
      </c>
      <c r="BC20">
        <v>0</v>
      </c>
      <c r="BD20">
        <v>5</v>
      </c>
      <c r="BE20" s="2">
        <v>79676.030105663551</v>
      </c>
      <c r="BF20" s="6">
        <v>27.75</v>
      </c>
      <c r="BG20" s="6">
        <v>0</v>
      </c>
      <c r="BH20" s="6">
        <v>0</v>
      </c>
      <c r="BI20" s="6">
        <v>27.75</v>
      </c>
      <c r="BJ20" s="3">
        <v>40.365834775073161</v>
      </c>
      <c r="BK20" s="6">
        <v>3058.25</v>
      </c>
      <c r="BL20" s="6">
        <v>337.5</v>
      </c>
      <c r="BM20" s="6">
        <v>0</v>
      </c>
      <c r="BN20" s="6">
        <v>3395.75</v>
      </c>
      <c r="BO20" s="3">
        <v>52.471411493400282</v>
      </c>
      <c r="BP20" s="7">
        <v>218345.95</v>
      </c>
      <c r="BQ20" s="2">
        <v>33.13857011468675</v>
      </c>
      <c r="BR20" s="2">
        <v>143.6004704969759</v>
      </c>
    </row>
    <row r="21" spans="1:70" x14ac:dyDescent="0.3">
      <c r="A21">
        <v>1994</v>
      </c>
      <c r="B21" s="1">
        <v>166955</v>
      </c>
      <c r="C21" s="2">
        <v>18320714.153279811</v>
      </c>
      <c r="D21" s="3">
        <v>109.73444433098631</v>
      </c>
      <c r="E21" s="1">
        <v>100173</v>
      </c>
      <c r="F21" s="4">
        <v>0.70792816561905514</v>
      </c>
      <c r="G21" s="4">
        <v>0.55285418905456607</v>
      </c>
      <c r="H21" s="4">
        <v>0.99999976228663012</v>
      </c>
      <c r="I21" s="4">
        <v>0.73147569061153039</v>
      </c>
      <c r="J21" s="5">
        <v>8.2928128358184914</v>
      </c>
      <c r="K21">
        <v>10246</v>
      </c>
      <c r="L21">
        <v>47355</v>
      </c>
      <c r="M21">
        <v>22882</v>
      </c>
      <c r="N21">
        <v>80483</v>
      </c>
      <c r="O21" s="6">
        <v>76845</v>
      </c>
      <c r="P21" s="6">
        <v>118387.5</v>
      </c>
      <c r="Q21" s="6">
        <v>27458.400000000001</v>
      </c>
      <c r="R21" s="6">
        <v>222690.9</v>
      </c>
      <c r="S21" s="2">
        <v>35.424999999999997</v>
      </c>
      <c r="T21" s="2">
        <v>21.829555555555551</v>
      </c>
      <c r="U21" s="2">
        <v>3.1644000000000001</v>
      </c>
      <c r="V21" s="2">
        <v>60.418955555555563</v>
      </c>
      <c r="W21">
        <v>101</v>
      </c>
      <c r="X21">
        <v>1</v>
      </c>
      <c r="Y21">
        <v>1</v>
      </c>
      <c r="Z21">
        <v>103</v>
      </c>
      <c r="AA21" s="2">
        <v>10160215.24288461</v>
      </c>
      <c r="AB21" s="6">
        <v>2434.1</v>
      </c>
      <c r="AC21" s="6">
        <v>242</v>
      </c>
      <c r="AD21" s="6">
        <v>0</v>
      </c>
      <c r="AE21" s="6">
        <v>2676.1</v>
      </c>
      <c r="AF21" s="3">
        <v>12.53329676056425</v>
      </c>
      <c r="AG21">
        <v>101</v>
      </c>
      <c r="AH21">
        <v>1</v>
      </c>
      <c r="AI21">
        <v>0</v>
      </c>
      <c r="AJ21">
        <v>102</v>
      </c>
      <c r="AK21" s="2">
        <v>8078569.7766635297</v>
      </c>
      <c r="AL21" s="6">
        <v>767.6</v>
      </c>
      <c r="AM21" s="6">
        <v>97</v>
      </c>
      <c r="AN21" s="6">
        <v>0</v>
      </c>
      <c r="AO21" s="6">
        <v>864.6</v>
      </c>
      <c r="AP21" s="3">
        <v>0.30927768155283619</v>
      </c>
      <c r="AQ21">
        <v>0</v>
      </c>
      <c r="AR21">
        <v>0</v>
      </c>
      <c r="AS21">
        <v>0</v>
      </c>
      <c r="AT21">
        <v>0</v>
      </c>
      <c r="AU21" s="2">
        <v>0</v>
      </c>
      <c r="AV21" s="6">
        <v>0</v>
      </c>
      <c r="AW21" s="6">
        <v>0</v>
      </c>
      <c r="AX21" s="6">
        <v>0</v>
      </c>
      <c r="AY21" s="6">
        <v>0</v>
      </c>
      <c r="AZ21" s="3">
        <v>0</v>
      </c>
      <c r="BA21">
        <v>5</v>
      </c>
      <c r="BB21">
        <v>0</v>
      </c>
      <c r="BC21">
        <v>0</v>
      </c>
      <c r="BD21">
        <v>5</v>
      </c>
      <c r="BE21" s="2">
        <v>81929.133731670707</v>
      </c>
      <c r="BF21" s="6">
        <v>29.1</v>
      </c>
      <c r="BG21" s="6">
        <v>0</v>
      </c>
      <c r="BH21" s="6">
        <v>0</v>
      </c>
      <c r="BI21" s="6">
        <v>29.1</v>
      </c>
      <c r="BJ21" s="3">
        <v>42.941001234907937</v>
      </c>
      <c r="BK21" s="6">
        <v>3230.8</v>
      </c>
      <c r="BL21" s="6">
        <v>339</v>
      </c>
      <c r="BM21" s="6">
        <v>0</v>
      </c>
      <c r="BN21" s="6">
        <v>3569.8</v>
      </c>
      <c r="BO21" s="3">
        <v>55.783575677025027</v>
      </c>
      <c r="BP21" s="7">
        <v>226260.7</v>
      </c>
      <c r="BQ21" s="2">
        <v>34.860759369774172</v>
      </c>
      <c r="BR21" s="2">
        <v>151.06329060235481</v>
      </c>
    </row>
    <row r="22" spans="1:70" x14ac:dyDescent="0.3">
      <c r="A22">
        <v>1995</v>
      </c>
      <c r="B22" s="1">
        <v>167708</v>
      </c>
      <c r="C22" s="2">
        <v>19923545.181269351</v>
      </c>
      <c r="D22" s="3">
        <v>118.7990148428778</v>
      </c>
      <c r="E22" s="1">
        <v>100624</v>
      </c>
      <c r="F22" s="4">
        <v>0.71990165652590321</v>
      </c>
      <c r="G22" s="4">
        <v>0.56165626078666031</v>
      </c>
      <c r="H22" s="4">
        <v>0.99999995350042759</v>
      </c>
      <c r="I22" s="4">
        <v>0.73945982842167257</v>
      </c>
      <c r="J22" s="5">
        <v>8.4248439117999041</v>
      </c>
      <c r="K22">
        <v>10986</v>
      </c>
      <c r="L22">
        <v>48375</v>
      </c>
      <c r="M22">
        <v>22181</v>
      </c>
      <c r="N22">
        <v>81542</v>
      </c>
      <c r="O22" s="6">
        <v>82395</v>
      </c>
      <c r="P22" s="6">
        <v>120937.5</v>
      </c>
      <c r="Q22" s="6">
        <v>26617.200000000001</v>
      </c>
      <c r="R22" s="6">
        <v>229949.7</v>
      </c>
      <c r="S22" s="2">
        <v>37.656666666666673</v>
      </c>
      <c r="T22" s="2">
        <v>22.109333333333328</v>
      </c>
      <c r="U22" s="2">
        <v>3.0413333333333332</v>
      </c>
      <c r="V22" s="2">
        <v>62.807333333333332</v>
      </c>
      <c r="W22">
        <v>108</v>
      </c>
      <c r="X22">
        <v>1</v>
      </c>
      <c r="Y22">
        <v>1</v>
      </c>
      <c r="Z22">
        <v>110</v>
      </c>
      <c r="AA22" s="2">
        <v>11116915.57733617</v>
      </c>
      <c r="AB22" s="6">
        <v>2592</v>
      </c>
      <c r="AC22" s="6">
        <v>242</v>
      </c>
      <c r="AD22" s="6">
        <v>0</v>
      </c>
      <c r="AE22" s="6">
        <v>2834</v>
      </c>
      <c r="AF22" s="3">
        <v>13.280457157129479</v>
      </c>
      <c r="AG22">
        <v>108</v>
      </c>
      <c r="AH22">
        <v>1</v>
      </c>
      <c r="AI22">
        <v>0</v>
      </c>
      <c r="AJ22">
        <v>109</v>
      </c>
      <c r="AK22" s="2">
        <v>8722750.9461774807</v>
      </c>
      <c r="AL22" s="6">
        <v>842.4</v>
      </c>
      <c r="AM22" s="6">
        <v>99</v>
      </c>
      <c r="AN22" s="6">
        <v>0</v>
      </c>
      <c r="AO22" s="6">
        <v>941.4</v>
      </c>
      <c r="AP22" s="3">
        <v>0.32776154003586372</v>
      </c>
      <c r="AQ22">
        <v>0</v>
      </c>
      <c r="AR22">
        <v>0</v>
      </c>
      <c r="AS22">
        <v>0</v>
      </c>
      <c r="AT22">
        <v>0</v>
      </c>
      <c r="AU22" s="2">
        <v>0</v>
      </c>
      <c r="AV22" s="6">
        <v>0</v>
      </c>
      <c r="AW22" s="6">
        <v>0</v>
      </c>
      <c r="AX22" s="6">
        <v>0</v>
      </c>
      <c r="AY22" s="6">
        <v>0</v>
      </c>
      <c r="AZ22" s="3">
        <v>0</v>
      </c>
      <c r="BA22">
        <v>5</v>
      </c>
      <c r="BB22">
        <v>0</v>
      </c>
      <c r="BC22">
        <v>0</v>
      </c>
      <c r="BD22">
        <v>5</v>
      </c>
      <c r="BE22" s="2">
        <v>83878.657755700813</v>
      </c>
      <c r="BF22" s="6">
        <v>28.425000000000001</v>
      </c>
      <c r="BG22" s="6">
        <v>0</v>
      </c>
      <c r="BH22" s="6">
        <v>0</v>
      </c>
      <c r="BI22" s="6">
        <v>28.425000000000001</v>
      </c>
      <c r="BJ22" s="3">
        <v>45.587448343820313</v>
      </c>
      <c r="BK22" s="6">
        <v>3462.8249999999998</v>
      </c>
      <c r="BL22" s="6">
        <v>341</v>
      </c>
      <c r="BM22" s="6">
        <v>0</v>
      </c>
      <c r="BN22" s="6">
        <v>3803.8249999999998</v>
      </c>
      <c r="BO22" s="3">
        <v>59.195667040985647</v>
      </c>
      <c r="BP22" s="7">
        <v>233753.52499999999</v>
      </c>
      <c r="BQ22" s="2">
        <v>36.600900112295697</v>
      </c>
      <c r="BR22" s="2">
        <v>158.60390048661469</v>
      </c>
    </row>
    <row r="23" spans="1:70" x14ac:dyDescent="0.3">
      <c r="A23">
        <v>1996</v>
      </c>
      <c r="B23" s="1">
        <v>168463</v>
      </c>
      <c r="C23" s="2">
        <v>21560777.69627928</v>
      </c>
      <c r="D23" s="3">
        <v>127.98524124751</v>
      </c>
      <c r="E23" s="1">
        <v>101077</v>
      </c>
      <c r="F23" s="4">
        <v>0.7311371454170954</v>
      </c>
      <c r="G23" s="4">
        <v>0.57002905041479413</v>
      </c>
      <c r="H23" s="4">
        <v>0.99999999110114701</v>
      </c>
      <c r="I23" s="4">
        <v>0.74696217672140242</v>
      </c>
      <c r="J23" s="5">
        <v>8.550435756221912</v>
      </c>
      <c r="K23">
        <v>11704</v>
      </c>
      <c r="L23">
        <v>49267</v>
      </c>
      <c r="M23">
        <v>21486</v>
      </c>
      <c r="N23">
        <v>82457</v>
      </c>
      <c r="O23" s="6">
        <v>87780</v>
      </c>
      <c r="P23" s="6">
        <v>123167.5</v>
      </c>
      <c r="Q23" s="6">
        <v>25783.200000000001</v>
      </c>
      <c r="R23" s="6">
        <v>236730.7</v>
      </c>
      <c r="S23" s="2">
        <v>39.853333333333332</v>
      </c>
      <c r="T23" s="2">
        <v>22.367333333333331</v>
      </c>
      <c r="U23" s="2">
        <v>2.9264000000000001</v>
      </c>
      <c r="V23" s="2">
        <v>65.14706666666666</v>
      </c>
      <c r="W23">
        <v>115</v>
      </c>
      <c r="X23">
        <v>1</v>
      </c>
      <c r="Y23">
        <v>1</v>
      </c>
      <c r="Z23">
        <v>117</v>
      </c>
      <c r="AA23" s="2">
        <v>12109607.331129581</v>
      </c>
      <c r="AB23" s="6">
        <v>2829</v>
      </c>
      <c r="AC23" s="6">
        <v>243</v>
      </c>
      <c r="AD23" s="6">
        <v>2925</v>
      </c>
      <c r="AE23" s="6">
        <v>5997</v>
      </c>
      <c r="AF23" s="3">
        <v>14.055924387388851</v>
      </c>
      <c r="AG23">
        <v>115</v>
      </c>
      <c r="AH23">
        <v>1</v>
      </c>
      <c r="AI23">
        <v>1</v>
      </c>
      <c r="AJ23">
        <v>117</v>
      </c>
      <c r="AK23" s="2">
        <v>9365684.9626413379</v>
      </c>
      <c r="AL23" s="6">
        <v>910.8</v>
      </c>
      <c r="AM23" s="6">
        <v>98</v>
      </c>
      <c r="AN23" s="6">
        <v>1170</v>
      </c>
      <c r="AO23" s="6">
        <v>2178.8000000000002</v>
      </c>
      <c r="AP23" s="3">
        <v>0.34704526160677202</v>
      </c>
      <c r="AQ23">
        <v>0</v>
      </c>
      <c r="AR23">
        <v>0</v>
      </c>
      <c r="AS23">
        <v>0</v>
      </c>
      <c r="AT23">
        <v>0</v>
      </c>
      <c r="AU23" s="2">
        <v>0</v>
      </c>
      <c r="AV23" s="6">
        <v>0</v>
      </c>
      <c r="AW23" s="6">
        <v>0</v>
      </c>
      <c r="AX23" s="6">
        <v>0</v>
      </c>
      <c r="AY23" s="6">
        <v>0</v>
      </c>
      <c r="AZ23" s="3">
        <v>0</v>
      </c>
      <c r="BA23">
        <v>5</v>
      </c>
      <c r="BB23">
        <v>0</v>
      </c>
      <c r="BC23">
        <v>0</v>
      </c>
      <c r="BD23">
        <v>5</v>
      </c>
      <c r="BE23" s="2">
        <v>85485.402508353654</v>
      </c>
      <c r="BF23" s="6">
        <v>28.875</v>
      </c>
      <c r="BG23" s="6">
        <v>0</v>
      </c>
      <c r="BH23" s="6">
        <v>0</v>
      </c>
      <c r="BI23" s="6">
        <v>28.875</v>
      </c>
      <c r="BJ23" s="3">
        <v>48.307845452434343</v>
      </c>
      <c r="BK23" s="6">
        <v>3768.6750000000002</v>
      </c>
      <c r="BL23" s="6">
        <v>341</v>
      </c>
      <c r="BM23" s="6">
        <v>4095</v>
      </c>
      <c r="BN23" s="6">
        <v>8204.6749999999993</v>
      </c>
      <c r="BO23" s="3">
        <v>62.710815101429958</v>
      </c>
      <c r="BP23" s="7">
        <v>244935.375</v>
      </c>
      <c r="BQ23" s="2">
        <v>38.357364530428981</v>
      </c>
      <c r="BR23" s="2">
        <v>166.21524629852561</v>
      </c>
    </row>
    <row r="24" spans="1:70" x14ac:dyDescent="0.3">
      <c r="A24">
        <v>1997</v>
      </c>
      <c r="B24" s="1">
        <v>169221</v>
      </c>
      <c r="C24" s="2">
        <v>23222427.05963197</v>
      </c>
      <c r="D24" s="3">
        <v>137.23135461693269</v>
      </c>
      <c r="E24" s="1">
        <v>101532</v>
      </c>
      <c r="F24" s="4">
        <v>0.7416583676529146</v>
      </c>
      <c r="G24" s="4">
        <v>0.57799349427422952</v>
      </c>
      <c r="H24" s="4">
        <v>0.99999999831524189</v>
      </c>
      <c r="I24" s="4">
        <v>0.75400741499556023</v>
      </c>
      <c r="J24" s="5">
        <v>8.6699024141134426</v>
      </c>
      <c r="K24">
        <v>12400</v>
      </c>
      <c r="L24">
        <v>50046</v>
      </c>
      <c r="M24">
        <v>20806</v>
      </c>
      <c r="N24">
        <v>83252</v>
      </c>
      <c r="O24" s="6">
        <v>93000</v>
      </c>
      <c r="P24" s="6">
        <v>125115</v>
      </c>
      <c r="Q24" s="6">
        <v>24967.200000000001</v>
      </c>
      <c r="R24" s="6">
        <v>243082.2</v>
      </c>
      <c r="S24" s="2">
        <v>42.006666666666668</v>
      </c>
      <c r="T24" s="2">
        <v>22.605333333333331</v>
      </c>
      <c r="U24" s="2">
        <v>2.8193999999999999</v>
      </c>
      <c r="V24" s="2">
        <v>67.431399999999996</v>
      </c>
      <c r="W24">
        <v>122</v>
      </c>
      <c r="X24">
        <v>2</v>
      </c>
      <c r="Y24">
        <v>2</v>
      </c>
      <c r="Z24">
        <v>126</v>
      </c>
      <c r="AA24" s="2">
        <v>13134162.501699639</v>
      </c>
      <c r="AB24" s="6">
        <v>3025.6</v>
      </c>
      <c r="AC24" s="6">
        <v>486</v>
      </c>
      <c r="AD24" s="6">
        <v>2910</v>
      </c>
      <c r="AE24" s="6">
        <v>6421.6</v>
      </c>
      <c r="AF24" s="3">
        <v>14.86014992583736</v>
      </c>
      <c r="AG24">
        <v>122</v>
      </c>
      <c r="AH24">
        <v>2</v>
      </c>
      <c r="AI24">
        <v>1</v>
      </c>
      <c r="AJ24">
        <v>125</v>
      </c>
      <c r="AK24" s="2">
        <v>10001527.90330733</v>
      </c>
      <c r="AL24" s="6">
        <v>951.6</v>
      </c>
      <c r="AM24" s="6">
        <v>197</v>
      </c>
      <c r="AN24" s="6">
        <v>1176</v>
      </c>
      <c r="AO24" s="6">
        <v>2324.6</v>
      </c>
      <c r="AP24" s="3">
        <v>0.36714466304915833</v>
      </c>
      <c r="AQ24">
        <v>0</v>
      </c>
      <c r="AR24">
        <v>0</v>
      </c>
      <c r="AS24">
        <v>0</v>
      </c>
      <c r="AT24">
        <v>0</v>
      </c>
      <c r="AU24" s="2">
        <v>0</v>
      </c>
      <c r="AV24" s="6">
        <v>0</v>
      </c>
      <c r="AW24" s="6">
        <v>0</v>
      </c>
      <c r="AX24" s="6">
        <v>0</v>
      </c>
      <c r="AY24" s="6">
        <v>0</v>
      </c>
      <c r="AZ24" s="3">
        <v>0</v>
      </c>
      <c r="BA24">
        <v>5</v>
      </c>
      <c r="BB24">
        <v>0</v>
      </c>
      <c r="BC24">
        <v>0</v>
      </c>
      <c r="BD24">
        <v>5</v>
      </c>
      <c r="BE24" s="2">
        <v>86736.654625005554</v>
      </c>
      <c r="BF24" s="6">
        <v>29.324999999999999</v>
      </c>
      <c r="BG24" s="6">
        <v>0</v>
      </c>
      <c r="BH24" s="6">
        <v>0</v>
      </c>
      <c r="BI24" s="6">
        <v>29.324999999999999</v>
      </c>
      <c r="BJ24" s="3">
        <v>51.104750729838273</v>
      </c>
      <c r="BK24" s="6">
        <v>4006.5250000000001</v>
      </c>
      <c r="BL24" s="6">
        <v>683</v>
      </c>
      <c r="BM24" s="6">
        <v>4086</v>
      </c>
      <c r="BN24" s="6">
        <v>8775.5249999999996</v>
      </c>
      <c r="BO24" s="3">
        <v>66.332045318724781</v>
      </c>
      <c r="BP24" s="7">
        <v>251857.72500000001</v>
      </c>
      <c r="BQ24" s="2">
        <v>40.129033595617443</v>
      </c>
      <c r="BR24" s="2">
        <v>173.89247891434221</v>
      </c>
    </row>
    <row r="25" spans="1:70" x14ac:dyDescent="0.3">
      <c r="A25">
        <v>1998</v>
      </c>
      <c r="B25" s="1">
        <v>169982</v>
      </c>
      <c r="C25" s="2">
        <v>24903944.96876521</v>
      </c>
      <c r="D25" s="3">
        <v>146.50930668403251</v>
      </c>
      <c r="E25" s="1">
        <v>101989</v>
      </c>
      <c r="F25" s="4">
        <v>0.75152479501331992</v>
      </c>
      <c r="G25" s="4">
        <v>0.58556950762310855</v>
      </c>
      <c r="H25" s="4">
        <v>0.99999999968285924</v>
      </c>
      <c r="I25" s="4">
        <v>0.76063082668712245</v>
      </c>
      <c r="J25" s="5">
        <v>8.7835426143466275</v>
      </c>
      <c r="K25">
        <v>13073</v>
      </c>
      <c r="L25">
        <v>50732</v>
      </c>
      <c r="M25">
        <v>20148</v>
      </c>
      <c r="N25">
        <v>83953</v>
      </c>
      <c r="O25" s="6">
        <v>98047.5</v>
      </c>
      <c r="P25" s="6">
        <v>126830</v>
      </c>
      <c r="Q25" s="6">
        <v>24177.599999999999</v>
      </c>
      <c r="R25" s="6">
        <v>249055.1</v>
      </c>
      <c r="S25" s="2">
        <v>44.115000000000002</v>
      </c>
      <c r="T25" s="2">
        <v>22.826000000000001</v>
      </c>
      <c r="U25" s="2">
        <v>2.719666666666666</v>
      </c>
      <c r="V25" s="2">
        <v>69.660666666666671</v>
      </c>
      <c r="W25">
        <v>129</v>
      </c>
      <c r="X25">
        <v>2</v>
      </c>
      <c r="Y25">
        <v>2</v>
      </c>
      <c r="Z25">
        <v>133</v>
      </c>
      <c r="AA25" s="2">
        <v>14188894.611849951</v>
      </c>
      <c r="AB25" s="6">
        <v>3147.6</v>
      </c>
      <c r="AC25" s="6">
        <v>486</v>
      </c>
      <c r="AD25" s="6">
        <v>2940</v>
      </c>
      <c r="AE25" s="6">
        <v>6573.6</v>
      </c>
      <c r="AF25" s="3">
        <v>15.693599078061229</v>
      </c>
      <c r="AG25">
        <v>129</v>
      </c>
      <c r="AH25">
        <v>2</v>
      </c>
      <c r="AI25">
        <v>1</v>
      </c>
      <c r="AJ25">
        <v>132</v>
      </c>
      <c r="AK25" s="2">
        <v>10627409.224311059</v>
      </c>
      <c r="AL25" s="6">
        <v>990.72</v>
      </c>
      <c r="AM25" s="6">
        <v>193</v>
      </c>
      <c r="AN25" s="6">
        <v>1152</v>
      </c>
      <c r="AO25" s="6">
        <v>2335.7199999999998</v>
      </c>
      <c r="AP25" s="3">
        <v>0.38807584441275977</v>
      </c>
      <c r="AQ25">
        <v>0</v>
      </c>
      <c r="AR25">
        <v>0</v>
      </c>
      <c r="AS25">
        <v>0</v>
      </c>
      <c r="AT25">
        <v>0</v>
      </c>
      <c r="AU25" s="2">
        <v>0</v>
      </c>
      <c r="AV25" s="6">
        <v>0</v>
      </c>
      <c r="AW25" s="6">
        <v>0</v>
      </c>
      <c r="AX25" s="6">
        <v>0</v>
      </c>
      <c r="AY25" s="6">
        <v>0</v>
      </c>
      <c r="AZ25" s="3">
        <v>0</v>
      </c>
      <c r="BA25">
        <v>5</v>
      </c>
      <c r="BB25">
        <v>0</v>
      </c>
      <c r="BC25">
        <v>0</v>
      </c>
      <c r="BD25">
        <v>5</v>
      </c>
      <c r="BE25" s="2">
        <v>87641.132604209095</v>
      </c>
      <c r="BF25" s="6">
        <v>29.1</v>
      </c>
      <c r="BG25" s="6">
        <v>0</v>
      </c>
      <c r="BH25" s="6">
        <v>0</v>
      </c>
      <c r="BI25" s="6">
        <v>29.1</v>
      </c>
      <c r="BJ25" s="3">
        <v>53.980655970623523</v>
      </c>
      <c r="BK25" s="6">
        <v>4167.42</v>
      </c>
      <c r="BL25" s="6">
        <v>679</v>
      </c>
      <c r="BM25" s="6">
        <v>4092</v>
      </c>
      <c r="BN25" s="6">
        <v>8938.42</v>
      </c>
      <c r="BO25" s="3">
        <v>70.06233089309751</v>
      </c>
      <c r="BP25" s="7">
        <v>257993.52</v>
      </c>
      <c r="BQ25" s="2">
        <v>41.916899267929253</v>
      </c>
      <c r="BR25" s="2">
        <v>181.63989682769341</v>
      </c>
    </row>
    <row r="26" spans="1:70" x14ac:dyDescent="0.3">
      <c r="A26">
        <v>1999</v>
      </c>
      <c r="B26" s="1">
        <v>170746</v>
      </c>
      <c r="C26" s="2">
        <v>26605018.995554298</v>
      </c>
      <c r="D26" s="3">
        <v>155.81635291927361</v>
      </c>
      <c r="E26" s="1">
        <v>102447</v>
      </c>
      <c r="F26" s="4">
        <v>0.76081177154844293</v>
      </c>
      <c r="G26" s="4">
        <v>0.59277603444097238</v>
      </c>
      <c r="H26" s="4">
        <v>0.99999999994061284</v>
      </c>
      <c r="I26" s="4">
        <v>0.76687153927087204</v>
      </c>
      <c r="J26" s="5">
        <v>8.8916405166145864</v>
      </c>
      <c r="K26">
        <v>13725</v>
      </c>
      <c r="L26">
        <v>51342</v>
      </c>
      <c r="M26">
        <v>19515</v>
      </c>
      <c r="N26">
        <v>84582</v>
      </c>
      <c r="O26" s="6">
        <v>102937.5</v>
      </c>
      <c r="P26" s="6">
        <v>128355</v>
      </c>
      <c r="Q26" s="6">
        <v>23418</v>
      </c>
      <c r="R26" s="6">
        <v>254710.5</v>
      </c>
      <c r="S26" s="2">
        <v>46.178333333333327</v>
      </c>
      <c r="T26" s="2">
        <v>23.03177777777778</v>
      </c>
      <c r="U26" s="2">
        <v>2.6263333333333332</v>
      </c>
      <c r="V26" s="2">
        <v>71.836444444444439</v>
      </c>
      <c r="W26">
        <v>137</v>
      </c>
      <c r="X26">
        <v>2</v>
      </c>
      <c r="Y26">
        <v>2</v>
      </c>
      <c r="Z26">
        <v>141</v>
      </c>
      <c r="AA26" s="2">
        <v>15274071.640047939</v>
      </c>
      <c r="AB26" s="6">
        <v>3301.7</v>
      </c>
      <c r="AC26" s="6">
        <v>488</v>
      </c>
      <c r="AD26" s="6">
        <v>2955</v>
      </c>
      <c r="AE26" s="6">
        <v>6744.7</v>
      </c>
      <c r="AF26" s="3">
        <v>16.556759727218559</v>
      </c>
      <c r="AG26">
        <v>137</v>
      </c>
      <c r="AH26">
        <v>2</v>
      </c>
      <c r="AI26">
        <v>1</v>
      </c>
      <c r="AJ26">
        <v>140</v>
      </c>
      <c r="AK26" s="2">
        <v>11242727.365247119</v>
      </c>
      <c r="AL26" s="6">
        <v>1068.5999999999999</v>
      </c>
      <c r="AM26" s="6">
        <v>190</v>
      </c>
      <c r="AN26" s="6">
        <v>1182</v>
      </c>
      <c r="AO26" s="6">
        <v>2440.6</v>
      </c>
      <c r="AP26" s="3">
        <v>0.40985535785521032</v>
      </c>
      <c r="AQ26">
        <v>0</v>
      </c>
      <c r="AR26">
        <v>0</v>
      </c>
      <c r="AS26">
        <v>0</v>
      </c>
      <c r="AT26">
        <v>0</v>
      </c>
      <c r="AU26" s="2">
        <v>0</v>
      </c>
      <c r="AV26" s="6">
        <v>0</v>
      </c>
      <c r="AW26" s="6">
        <v>0</v>
      </c>
      <c r="AX26" s="6">
        <v>0</v>
      </c>
      <c r="AY26" s="6">
        <v>0</v>
      </c>
      <c r="AZ26" s="3">
        <v>0</v>
      </c>
      <c r="BA26">
        <v>5</v>
      </c>
      <c r="BB26">
        <v>0</v>
      </c>
      <c r="BC26">
        <v>0</v>
      </c>
      <c r="BD26">
        <v>5</v>
      </c>
      <c r="BE26" s="2">
        <v>88219.990259238431</v>
      </c>
      <c r="BF26" s="6">
        <v>27.975000000000001</v>
      </c>
      <c r="BG26" s="6">
        <v>0</v>
      </c>
      <c r="BH26" s="6">
        <v>0</v>
      </c>
      <c r="BI26" s="6">
        <v>27.975000000000001</v>
      </c>
      <c r="BJ26" s="3">
        <v>56.938037567269497</v>
      </c>
      <c r="BK26" s="6">
        <v>4398.2749999999996</v>
      </c>
      <c r="BL26" s="6">
        <v>678</v>
      </c>
      <c r="BM26" s="6">
        <v>4137</v>
      </c>
      <c r="BN26" s="6">
        <v>9213.2749999999996</v>
      </c>
      <c r="BO26" s="3">
        <v>73.904652652343273</v>
      </c>
      <c r="BP26" s="7">
        <v>263923.77500000002</v>
      </c>
      <c r="BQ26" s="2">
        <v>43.722329129036311</v>
      </c>
      <c r="BR26" s="2">
        <v>189.46342622582401</v>
      </c>
    </row>
    <row r="27" spans="1:70" x14ac:dyDescent="0.3">
      <c r="A27">
        <v>2000</v>
      </c>
      <c r="B27" s="1">
        <v>171514</v>
      </c>
      <c r="C27" s="2">
        <v>28328874.495887011</v>
      </c>
      <c r="D27" s="3">
        <v>165.16945844588199</v>
      </c>
      <c r="E27" s="1">
        <v>102908</v>
      </c>
      <c r="F27" s="4">
        <v>0.76959998289341391</v>
      </c>
      <c r="G27" s="4">
        <v>0.59963109479857801</v>
      </c>
      <c r="H27" s="4">
        <v>0.99999999998897104</v>
      </c>
      <c r="I27" s="4">
        <v>0.77276907097867187</v>
      </c>
      <c r="J27" s="5">
        <v>8.9944664219786699</v>
      </c>
      <c r="K27">
        <v>14359</v>
      </c>
      <c r="L27">
        <v>51891</v>
      </c>
      <c r="M27">
        <v>18906</v>
      </c>
      <c r="N27">
        <v>85156</v>
      </c>
      <c r="O27" s="6">
        <v>107692.5</v>
      </c>
      <c r="P27" s="6">
        <v>129727.5</v>
      </c>
      <c r="Q27" s="6">
        <v>22687.200000000001</v>
      </c>
      <c r="R27" s="6">
        <v>260107.2</v>
      </c>
      <c r="S27" s="2">
        <v>48.2</v>
      </c>
      <c r="T27" s="2">
        <v>23.225333333333332</v>
      </c>
      <c r="U27" s="2">
        <v>2.5386000000000002</v>
      </c>
      <c r="V27" s="2">
        <v>73.96393333333333</v>
      </c>
      <c r="W27">
        <v>145</v>
      </c>
      <c r="X27">
        <v>2</v>
      </c>
      <c r="Y27">
        <v>2</v>
      </c>
      <c r="Z27">
        <v>149</v>
      </c>
      <c r="AA27" s="2">
        <v>16391678.990628241</v>
      </c>
      <c r="AB27" s="6">
        <v>3552.5</v>
      </c>
      <c r="AC27" s="6">
        <v>480</v>
      </c>
      <c r="AD27" s="6">
        <v>2940</v>
      </c>
      <c r="AE27" s="6">
        <v>6972.5</v>
      </c>
      <c r="AF27" s="3">
        <v>17.450133434067439</v>
      </c>
      <c r="AG27">
        <v>145</v>
      </c>
      <c r="AH27">
        <v>2</v>
      </c>
      <c r="AI27">
        <v>1</v>
      </c>
      <c r="AJ27">
        <v>148</v>
      </c>
      <c r="AK27" s="2">
        <v>11848692.65806834</v>
      </c>
      <c r="AL27" s="6">
        <v>1102</v>
      </c>
      <c r="AM27" s="6">
        <v>198</v>
      </c>
      <c r="AN27" s="6">
        <v>1158</v>
      </c>
      <c r="AO27" s="6">
        <v>2458</v>
      </c>
      <c r="AP27" s="3">
        <v>0.43250005435070199</v>
      </c>
      <c r="AQ27">
        <v>0</v>
      </c>
      <c r="AR27">
        <v>0</v>
      </c>
      <c r="AS27">
        <v>0</v>
      </c>
      <c r="AT27">
        <v>0</v>
      </c>
      <c r="AU27" s="2">
        <v>0</v>
      </c>
      <c r="AV27" s="6">
        <v>0</v>
      </c>
      <c r="AW27" s="6">
        <v>0</v>
      </c>
      <c r="AX27" s="6">
        <v>0</v>
      </c>
      <c r="AY27" s="6">
        <v>0</v>
      </c>
      <c r="AZ27" s="3">
        <v>0</v>
      </c>
      <c r="BA27">
        <v>5</v>
      </c>
      <c r="BB27">
        <v>0</v>
      </c>
      <c r="BC27">
        <v>0</v>
      </c>
      <c r="BD27">
        <v>5</v>
      </c>
      <c r="BE27" s="2">
        <v>88502.84719042854</v>
      </c>
      <c r="BF27" s="6">
        <v>29.324999999999999</v>
      </c>
      <c r="BG27" s="6">
        <v>0</v>
      </c>
      <c r="BH27" s="6">
        <v>0</v>
      </c>
      <c r="BI27" s="6">
        <v>29.324999999999999</v>
      </c>
      <c r="BJ27" s="3">
        <v>59.979323118329553</v>
      </c>
      <c r="BK27" s="6">
        <v>4683.8249999999998</v>
      </c>
      <c r="BL27" s="6">
        <v>678</v>
      </c>
      <c r="BM27" s="6">
        <v>4098</v>
      </c>
      <c r="BN27" s="6">
        <v>9459.8250000000007</v>
      </c>
      <c r="BO27" s="3">
        <v>77.861956606747682</v>
      </c>
      <c r="BP27" s="7">
        <v>269567.02500000002</v>
      </c>
      <c r="BQ27" s="2">
        <v>45.547766982024307</v>
      </c>
      <c r="BR27" s="2">
        <v>197.37365692210531</v>
      </c>
    </row>
    <row r="28" spans="1:70" x14ac:dyDescent="0.3">
      <c r="A28">
        <v>2001</v>
      </c>
      <c r="B28" s="1">
        <v>172285</v>
      </c>
      <c r="C28" s="2">
        <v>30080116.64965716</v>
      </c>
      <c r="D28" s="3">
        <v>174.59509910704449</v>
      </c>
      <c r="E28" s="1">
        <v>103371</v>
      </c>
      <c r="F28" s="4">
        <v>0.77763898386029284</v>
      </c>
      <c r="G28" s="4">
        <v>0.60615182991746086</v>
      </c>
      <c r="H28" s="4">
        <v>0.99999999999797839</v>
      </c>
      <c r="I28" s="4">
        <v>0.77825122848838646</v>
      </c>
      <c r="J28" s="5">
        <v>9.0922774487619122</v>
      </c>
      <c r="K28">
        <v>14965</v>
      </c>
      <c r="L28">
        <v>52377</v>
      </c>
      <c r="M28">
        <v>18344</v>
      </c>
      <c r="N28">
        <v>85686</v>
      </c>
      <c r="O28" s="6">
        <v>112237.5</v>
      </c>
      <c r="P28" s="6">
        <v>130942.5</v>
      </c>
      <c r="Q28" s="6">
        <v>22012.799999999999</v>
      </c>
      <c r="R28" s="6">
        <v>265192.8</v>
      </c>
      <c r="S28" s="2">
        <v>50.148333333333333</v>
      </c>
      <c r="T28" s="2">
        <v>23.402444444444441</v>
      </c>
      <c r="U28" s="2">
        <v>2.458933333333333</v>
      </c>
      <c r="V28" s="2">
        <v>76.009711111111116</v>
      </c>
      <c r="W28">
        <v>153</v>
      </c>
      <c r="X28">
        <v>2</v>
      </c>
      <c r="Y28">
        <v>2</v>
      </c>
      <c r="Z28">
        <v>157</v>
      </c>
      <c r="AA28" s="2">
        <v>17544405.285569262</v>
      </c>
      <c r="AB28" s="6">
        <v>3748.5</v>
      </c>
      <c r="AC28" s="6">
        <v>494</v>
      </c>
      <c r="AD28" s="6">
        <v>2925</v>
      </c>
      <c r="AE28" s="6">
        <v>7167.5</v>
      </c>
      <c r="AF28" s="3">
        <v>18.37421481714161</v>
      </c>
      <c r="AG28">
        <v>153</v>
      </c>
      <c r="AH28">
        <v>2</v>
      </c>
      <c r="AI28">
        <v>1</v>
      </c>
      <c r="AJ28">
        <v>156</v>
      </c>
      <c r="AK28" s="2">
        <v>12447193.278195931</v>
      </c>
      <c r="AL28" s="6">
        <v>1175.04</v>
      </c>
      <c r="AM28" s="6">
        <v>194</v>
      </c>
      <c r="AN28" s="6">
        <v>1170</v>
      </c>
      <c r="AO28" s="6">
        <v>2539.04</v>
      </c>
      <c r="AP28" s="3">
        <v>0.45602670807422208</v>
      </c>
      <c r="AQ28">
        <v>0</v>
      </c>
      <c r="AR28">
        <v>0</v>
      </c>
      <c r="AS28">
        <v>0</v>
      </c>
      <c r="AT28">
        <v>0</v>
      </c>
      <c r="AU28" s="2">
        <v>0</v>
      </c>
      <c r="AV28" s="6">
        <v>0</v>
      </c>
      <c r="AW28" s="6">
        <v>0</v>
      </c>
      <c r="AX28" s="6">
        <v>0</v>
      </c>
      <c r="AY28" s="6">
        <v>0</v>
      </c>
      <c r="AZ28" s="3">
        <v>0</v>
      </c>
      <c r="BA28">
        <v>5</v>
      </c>
      <c r="BB28">
        <v>0</v>
      </c>
      <c r="BC28">
        <v>0</v>
      </c>
      <c r="BD28">
        <v>5</v>
      </c>
      <c r="BE28" s="2">
        <v>88518.085891968527</v>
      </c>
      <c r="BF28" s="6">
        <v>27.975000000000001</v>
      </c>
      <c r="BG28" s="6">
        <v>0</v>
      </c>
      <c r="BH28" s="6">
        <v>0</v>
      </c>
      <c r="BI28" s="6">
        <v>27.975000000000001</v>
      </c>
      <c r="BJ28" s="3">
        <v>63.106804645006889</v>
      </c>
      <c r="BK28" s="6">
        <v>4951.5150000000003</v>
      </c>
      <c r="BL28" s="6">
        <v>688</v>
      </c>
      <c r="BM28" s="6">
        <v>4095</v>
      </c>
      <c r="BN28" s="6">
        <v>9734.5149999999994</v>
      </c>
      <c r="BO28" s="3">
        <v>81.937046170222715</v>
      </c>
      <c r="BP28" s="7">
        <v>274927.315</v>
      </c>
      <c r="BQ28" s="2">
        <v>47.384027184400153</v>
      </c>
      <c r="BR28" s="2">
        <v>205.33078446573401</v>
      </c>
    </row>
    <row r="29" spans="1:70" x14ac:dyDescent="0.3">
      <c r="A29">
        <v>2002</v>
      </c>
      <c r="B29" s="1">
        <v>173060</v>
      </c>
      <c r="C29" s="2">
        <v>31864429.660844252</v>
      </c>
      <c r="D29" s="3">
        <v>184.1235967921198</v>
      </c>
      <c r="E29" s="1">
        <v>103836</v>
      </c>
      <c r="F29" s="4">
        <v>0.78529801466656413</v>
      </c>
      <c r="G29" s="4">
        <v>0.61235454503191733</v>
      </c>
      <c r="H29" s="4">
        <v>0.99999999999963629</v>
      </c>
      <c r="I29" s="4">
        <v>0.78345215900963927</v>
      </c>
      <c r="J29" s="5">
        <v>9.1853181754787592</v>
      </c>
      <c r="K29">
        <v>15555</v>
      </c>
      <c r="L29">
        <v>52824</v>
      </c>
      <c r="M29">
        <v>17805</v>
      </c>
      <c r="N29">
        <v>86184</v>
      </c>
      <c r="O29" s="6">
        <v>116662.5</v>
      </c>
      <c r="P29" s="6">
        <v>132060</v>
      </c>
      <c r="Q29" s="6">
        <v>21366</v>
      </c>
      <c r="R29" s="6">
        <v>270088.5</v>
      </c>
      <c r="S29" s="2">
        <v>52.056666666666658</v>
      </c>
      <c r="T29" s="2">
        <v>23.571333333333332</v>
      </c>
      <c r="U29" s="2">
        <v>2.3835333333333328</v>
      </c>
      <c r="V29" s="2">
        <v>78.011533333333333</v>
      </c>
      <c r="W29">
        <v>162</v>
      </c>
      <c r="X29">
        <v>3</v>
      </c>
      <c r="Y29">
        <v>3</v>
      </c>
      <c r="Z29">
        <v>168</v>
      </c>
      <c r="AA29" s="2">
        <v>18735553.396215491</v>
      </c>
      <c r="AB29" s="6">
        <v>4001.4</v>
      </c>
      <c r="AC29" s="6">
        <v>720</v>
      </c>
      <c r="AD29" s="6">
        <v>2910</v>
      </c>
      <c r="AE29" s="6">
        <v>7631.4</v>
      </c>
      <c r="AF29" s="3">
        <v>19.329541720606901</v>
      </c>
      <c r="AG29">
        <v>162</v>
      </c>
      <c r="AH29">
        <v>3</v>
      </c>
      <c r="AI29">
        <v>1</v>
      </c>
      <c r="AJ29">
        <v>166</v>
      </c>
      <c r="AK29" s="2">
        <v>13040583.333963919</v>
      </c>
      <c r="AL29" s="6">
        <v>1257.1199999999999</v>
      </c>
      <c r="AM29" s="6">
        <v>294</v>
      </c>
      <c r="AN29" s="6">
        <v>1164</v>
      </c>
      <c r="AO29" s="6">
        <v>2715.12</v>
      </c>
      <c r="AP29" s="3">
        <v>0.48045294002632488</v>
      </c>
      <c r="AQ29">
        <v>0</v>
      </c>
      <c r="AR29">
        <v>0</v>
      </c>
      <c r="AS29">
        <v>0</v>
      </c>
      <c r="AT29">
        <v>0</v>
      </c>
      <c r="AU29" s="2">
        <v>0</v>
      </c>
      <c r="AV29" s="6">
        <v>0</v>
      </c>
      <c r="AW29" s="6">
        <v>0</v>
      </c>
      <c r="AX29" s="6">
        <v>0</v>
      </c>
      <c r="AY29" s="6">
        <v>0</v>
      </c>
      <c r="AZ29" s="3">
        <v>0</v>
      </c>
      <c r="BA29">
        <v>5</v>
      </c>
      <c r="BB29">
        <v>0</v>
      </c>
      <c r="BC29">
        <v>0</v>
      </c>
      <c r="BD29">
        <v>5</v>
      </c>
      <c r="BE29" s="2">
        <v>88292.930664832151</v>
      </c>
      <c r="BF29" s="6">
        <v>28.425000000000001</v>
      </c>
      <c r="BG29" s="6">
        <v>0</v>
      </c>
      <c r="BH29" s="6">
        <v>0</v>
      </c>
      <c r="BI29" s="6">
        <v>28.425000000000001</v>
      </c>
      <c r="BJ29" s="3">
        <v>66.322882479088577</v>
      </c>
      <c r="BK29" s="6">
        <v>5286.9449999999997</v>
      </c>
      <c r="BL29" s="6">
        <v>1014</v>
      </c>
      <c r="BM29" s="6">
        <v>4074</v>
      </c>
      <c r="BN29" s="6">
        <v>10374.945</v>
      </c>
      <c r="BO29" s="3">
        <v>86.132877139721813</v>
      </c>
      <c r="BP29" s="7">
        <v>280463.44500000001</v>
      </c>
      <c r="BQ29" s="2">
        <v>49.243323141916541</v>
      </c>
      <c r="BR29" s="2">
        <v>213.38773361497169</v>
      </c>
    </row>
    <row r="30" spans="1:70" x14ac:dyDescent="0.3">
      <c r="A30">
        <v>2003</v>
      </c>
      <c r="B30" s="1">
        <v>173838</v>
      </c>
      <c r="C30" s="2">
        <v>33687560.949139759</v>
      </c>
      <c r="D30" s="3">
        <v>193.78709458886871</v>
      </c>
      <c r="E30" s="1">
        <v>104302</v>
      </c>
      <c r="F30" s="4">
        <v>0.79263316752202895</v>
      </c>
      <c r="G30" s="4">
        <v>0.61825475016058362</v>
      </c>
      <c r="H30" s="4">
        <v>0.99999999999993605</v>
      </c>
      <c r="I30" s="4">
        <v>0.7883999130441004</v>
      </c>
      <c r="J30" s="5">
        <v>9.2738212524087551</v>
      </c>
      <c r="K30">
        <v>16130</v>
      </c>
      <c r="L30">
        <v>53241</v>
      </c>
      <c r="M30">
        <v>17287</v>
      </c>
      <c r="N30">
        <v>86658</v>
      </c>
      <c r="O30" s="6">
        <v>120975</v>
      </c>
      <c r="P30" s="6">
        <v>133102.5</v>
      </c>
      <c r="Q30" s="6">
        <v>20744.400000000001</v>
      </c>
      <c r="R30" s="6">
        <v>274821.90000000002</v>
      </c>
      <c r="S30" s="2">
        <v>53.93</v>
      </c>
      <c r="T30" s="2">
        <v>23.733555555555551</v>
      </c>
      <c r="U30" s="2">
        <v>2.311866666666667</v>
      </c>
      <c r="V30" s="2">
        <v>79.975422222222207</v>
      </c>
      <c r="W30">
        <v>171</v>
      </c>
      <c r="X30">
        <v>3</v>
      </c>
      <c r="Y30">
        <v>3</v>
      </c>
      <c r="Z30">
        <v>177</v>
      </c>
      <c r="AA30" s="2">
        <v>19968541.366748512</v>
      </c>
      <c r="AB30" s="6">
        <v>4172.3999999999996</v>
      </c>
      <c r="AC30" s="6">
        <v>738</v>
      </c>
      <c r="AD30" s="6">
        <v>2955</v>
      </c>
      <c r="AE30" s="6">
        <v>7865.4</v>
      </c>
      <c r="AF30" s="3">
        <v>20.316644204850888</v>
      </c>
      <c r="AG30">
        <v>171</v>
      </c>
      <c r="AH30">
        <v>3</v>
      </c>
      <c r="AI30">
        <v>1</v>
      </c>
      <c r="AJ30">
        <v>175</v>
      </c>
      <c r="AK30" s="2">
        <v>13631169.21564056</v>
      </c>
      <c r="AL30" s="6">
        <v>1326.96</v>
      </c>
      <c r="AM30" s="6">
        <v>286.5</v>
      </c>
      <c r="AN30" s="6">
        <v>1140</v>
      </c>
      <c r="AO30" s="6">
        <v>2753.46</v>
      </c>
      <c r="AP30" s="3">
        <v>0.50579629603813514</v>
      </c>
      <c r="AQ30">
        <v>0</v>
      </c>
      <c r="AR30">
        <v>0</v>
      </c>
      <c r="AS30">
        <v>0</v>
      </c>
      <c r="AT30">
        <v>0</v>
      </c>
      <c r="AU30" s="2">
        <v>0</v>
      </c>
      <c r="AV30" s="6">
        <v>0</v>
      </c>
      <c r="AW30" s="6">
        <v>0</v>
      </c>
      <c r="AX30" s="6">
        <v>0</v>
      </c>
      <c r="AY30" s="6">
        <v>0</v>
      </c>
      <c r="AZ30" s="3">
        <v>0</v>
      </c>
      <c r="BA30">
        <v>5</v>
      </c>
      <c r="BB30">
        <v>0</v>
      </c>
      <c r="BC30">
        <v>0</v>
      </c>
      <c r="BD30">
        <v>5</v>
      </c>
      <c r="BE30" s="2">
        <v>87850.366750684247</v>
      </c>
      <c r="BF30" s="6">
        <v>29.55</v>
      </c>
      <c r="BG30" s="6">
        <v>0</v>
      </c>
      <c r="BH30" s="6">
        <v>0</v>
      </c>
      <c r="BI30" s="6">
        <v>29.55</v>
      </c>
      <c r="BJ30" s="3">
        <v>69.629830284329728</v>
      </c>
      <c r="BK30" s="6">
        <v>5528.91</v>
      </c>
      <c r="BL30" s="6">
        <v>1024.5</v>
      </c>
      <c r="BM30" s="6">
        <v>4095</v>
      </c>
      <c r="BN30" s="6">
        <v>10648.41</v>
      </c>
      <c r="BO30" s="3">
        <v>90.452270785218758</v>
      </c>
      <c r="BP30" s="7">
        <v>285470.31</v>
      </c>
      <c r="BQ30" s="2">
        <v>51.128307902232287</v>
      </c>
      <c r="BR30" s="2">
        <v>221.5560009096732</v>
      </c>
    </row>
    <row r="31" spans="1:70" x14ac:dyDescent="0.3">
      <c r="A31">
        <v>2004</v>
      </c>
      <c r="B31" s="1">
        <v>174620</v>
      </c>
      <c r="C31" s="2">
        <v>35555934.962275483</v>
      </c>
      <c r="D31" s="3">
        <v>203.61891514302761</v>
      </c>
      <c r="E31" s="1">
        <v>104772</v>
      </c>
      <c r="F31" s="4">
        <v>0.79969239948905968</v>
      </c>
      <c r="G31" s="4">
        <v>0.6238671988895611</v>
      </c>
      <c r="H31" s="4">
        <v>0.99999999999998923</v>
      </c>
      <c r="I31" s="4">
        <v>0.79311903574708575</v>
      </c>
      <c r="J31" s="5">
        <v>9.3580079833434162</v>
      </c>
      <c r="K31">
        <v>16693</v>
      </c>
      <c r="L31">
        <v>53634</v>
      </c>
      <c r="M31">
        <v>16787</v>
      </c>
      <c r="N31">
        <v>87114</v>
      </c>
      <c r="O31" s="6">
        <v>125197.5</v>
      </c>
      <c r="P31" s="6">
        <v>134085</v>
      </c>
      <c r="Q31" s="6">
        <v>20144.400000000001</v>
      </c>
      <c r="R31" s="6">
        <v>279426.90000000002</v>
      </c>
      <c r="S31" s="2">
        <v>55.768333333333331</v>
      </c>
      <c r="T31" s="2">
        <v>23.890444444444441</v>
      </c>
      <c r="U31" s="2">
        <v>2.2433333333333332</v>
      </c>
      <c r="V31" s="2">
        <v>81.902111111111111</v>
      </c>
      <c r="W31">
        <v>181</v>
      </c>
      <c r="X31">
        <v>3</v>
      </c>
      <c r="Y31">
        <v>3</v>
      </c>
      <c r="Z31">
        <v>187</v>
      </c>
      <c r="AA31" s="2">
        <v>21247251.535410341</v>
      </c>
      <c r="AB31" s="6">
        <v>4488.8</v>
      </c>
      <c r="AC31" s="6">
        <v>744</v>
      </c>
      <c r="AD31" s="6">
        <v>5790</v>
      </c>
      <c r="AE31" s="6">
        <v>11022.8</v>
      </c>
      <c r="AF31" s="3">
        <v>21.336064759070911</v>
      </c>
      <c r="AG31">
        <v>181</v>
      </c>
      <c r="AH31">
        <v>3</v>
      </c>
      <c r="AI31">
        <v>2</v>
      </c>
      <c r="AJ31">
        <v>186</v>
      </c>
      <c r="AK31" s="2">
        <v>14221470.97007768</v>
      </c>
      <c r="AL31" s="6">
        <v>1433.52</v>
      </c>
      <c r="AM31" s="6">
        <v>289.5</v>
      </c>
      <c r="AN31" s="6">
        <v>2352</v>
      </c>
      <c r="AO31" s="6">
        <v>4075.02</v>
      </c>
      <c r="AP31" s="3">
        <v>0.53207461468497397</v>
      </c>
      <c r="AQ31">
        <v>0</v>
      </c>
      <c r="AR31">
        <v>0</v>
      </c>
      <c r="AS31">
        <v>0</v>
      </c>
      <c r="AT31">
        <v>0</v>
      </c>
      <c r="AU31" s="2">
        <v>0</v>
      </c>
      <c r="AV31" s="6">
        <v>0</v>
      </c>
      <c r="AW31" s="6">
        <v>0</v>
      </c>
      <c r="AX31" s="6">
        <v>0</v>
      </c>
      <c r="AY31" s="6">
        <v>0</v>
      </c>
      <c r="AZ31" s="3">
        <v>0</v>
      </c>
      <c r="BA31">
        <v>5</v>
      </c>
      <c r="BB31">
        <v>0</v>
      </c>
      <c r="BC31">
        <v>0</v>
      </c>
      <c r="BD31">
        <v>5</v>
      </c>
      <c r="BE31" s="2">
        <v>87212.456787468269</v>
      </c>
      <c r="BF31" s="6">
        <v>29.1</v>
      </c>
      <c r="BG31" s="6">
        <v>0</v>
      </c>
      <c r="BH31" s="6">
        <v>0</v>
      </c>
      <c r="BI31" s="6">
        <v>29.1</v>
      </c>
      <c r="BJ31" s="3">
        <v>73.029899137892471</v>
      </c>
      <c r="BK31" s="6">
        <v>5951.42</v>
      </c>
      <c r="BL31" s="6">
        <v>1033.5</v>
      </c>
      <c r="BM31" s="6">
        <v>8142</v>
      </c>
      <c r="BN31" s="6">
        <v>15126.92</v>
      </c>
      <c r="BO31" s="3">
        <v>94.898038511648352</v>
      </c>
      <c r="BP31" s="7">
        <v>294553.82</v>
      </c>
      <c r="BQ31" s="2">
        <v>53.040044886827843</v>
      </c>
      <c r="BR31" s="2">
        <v>229.84019450958729</v>
      </c>
    </row>
    <row r="32" spans="1:70" x14ac:dyDescent="0.3">
      <c r="A32">
        <v>2005</v>
      </c>
      <c r="B32" s="1">
        <v>175405</v>
      </c>
      <c r="C32" s="2">
        <v>37474492.062535517</v>
      </c>
      <c r="D32" s="3">
        <v>213.64551787312519</v>
      </c>
      <c r="E32" s="1">
        <v>105243</v>
      </c>
      <c r="F32" s="4">
        <v>0.80651128798361271</v>
      </c>
      <c r="G32" s="4">
        <v>0.62920592526406616</v>
      </c>
      <c r="H32" s="4">
        <v>0.99999999999999811</v>
      </c>
      <c r="I32" s="4">
        <v>0.79762927379864756</v>
      </c>
      <c r="J32" s="5">
        <v>9.4380888789609916</v>
      </c>
      <c r="K32">
        <v>17244</v>
      </c>
      <c r="L32">
        <v>54008</v>
      </c>
      <c r="M32">
        <v>16305</v>
      </c>
      <c r="N32">
        <v>87557</v>
      </c>
      <c r="O32" s="6">
        <v>129330</v>
      </c>
      <c r="P32" s="6">
        <v>135020</v>
      </c>
      <c r="Q32" s="6">
        <v>19566</v>
      </c>
      <c r="R32" s="6">
        <v>283916</v>
      </c>
      <c r="S32" s="2">
        <v>57.576666666666668</v>
      </c>
      <c r="T32" s="2">
        <v>24.043111111111109</v>
      </c>
      <c r="U32" s="2">
        <v>2.1776</v>
      </c>
      <c r="V32" s="2">
        <v>83.797377777777783</v>
      </c>
      <c r="W32">
        <v>191</v>
      </c>
      <c r="X32">
        <v>3</v>
      </c>
      <c r="Y32">
        <v>3</v>
      </c>
      <c r="Z32">
        <v>197</v>
      </c>
      <c r="AA32" s="2">
        <v>22574885.441655811</v>
      </c>
      <c r="AB32" s="6">
        <v>4641.3</v>
      </c>
      <c r="AC32" s="6">
        <v>723</v>
      </c>
      <c r="AD32" s="6">
        <v>5760</v>
      </c>
      <c r="AE32" s="6">
        <v>11124.3</v>
      </c>
      <c r="AF32" s="3">
        <v>22.388382256283681</v>
      </c>
      <c r="AG32">
        <v>191</v>
      </c>
      <c r="AH32">
        <v>3</v>
      </c>
      <c r="AI32">
        <v>2</v>
      </c>
      <c r="AJ32">
        <v>196</v>
      </c>
      <c r="AK32" s="2">
        <v>14813213.740771079</v>
      </c>
      <c r="AL32" s="6">
        <v>1451.6</v>
      </c>
      <c r="AM32" s="6">
        <v>295.5</v>
      </c>
      <c r="AN32" s="6">
        <v>2328</v>
      </c>
      <c r="AO32" s="6">
        <v>4075.1</v>
      </c>
      <c r="AP32" s="3">
        <v>0.55930647592511029</v>
      </c>
      <c r="AQ32">
        <v>0</v>
      </c>
      <c r="AR32">
        <v>0</v>
      </c>
      <c r="AS32">
        <v>0</v>
      </c>
      <c r="AT32">
        <v>0</v>
      </c>
      <c r="AU32" s="2">
        <v>0</v>
      </c>
      <c r="AV32" s="6">
        <v>0</v>
      </c>
      <c r="AW32" s="6">
        <v>0</v>
      </c>
      <c r="AX32" s="6">
        <v>0</v>
      </c>
      <c r="AY32" s="6">
        <v>0</v>
      </c>
      <c r="AZ32" s="3">
        <v>0</v>
      </c>
      <c r="BA32">
        <v>5</v>
      </c>
      <c r="BB32">
        <v>0</v>
      </c>
      <c r="BC32">
        <v>0</v>
      </c>
      <c r="BD32">
        <v>5</v>
      </c>
      <c r="BE32" s="2">
        <v>86392.880108634869</v>
      </c>
      <c r="BF32" s="6">
        <v>28.875</v>
      </c>
      <c r="BG32" s="6">
        <v>0</v>
      </c>
      <c r="BH32" s="6">
        <v>0</v>
      </c>
      <c r="BI32" s="6">
        <v>28.875</v>
      </c>
      <c r="BJ32" s="3">
        <v>76.525434144274641</v>
      </c>
      <c r="BK32" s="6">
        <v>6121.7749999999996</v>
      </c>
      <c r="BL32" s="6">
        <v>1018.5</v>
      </c>
      <c r="BM32" s="6">
        <v>8088</v>
      </c>
      <c r="BN32" s="6">
        <v>15228.275</v>
      </c>
      <c r="BO32" s="3">
        <v>99.47312287648343</v>
      </c>
      <c r="BP32" s="7">
        <v>299144.27500000002</v>
      </c>
      <c r="BQ32" s="2">
        <v>54.981150196278357</v>
      </c>
      <c r="BR32" s="2">
        <v>238.25165085053959</v>
      </c>
    </row>
    <row r="33" spans="1:70" x14ac:dyDescent="0.3">
      <c r="A33">
        <v>2006</v>
      </c>
      <c r="B33" s="1">
        <v>176194</v>
      </c>
      <c r="C33" s="2">
        <v>39448550.855555236</v>
      </c>
      <c r="D33" s="3">
        <v>223.89270267747619</v>
      </c>
      <c r="E33" s="1">
        <v>105716</v>
      </c>
      <c r="F33" s="4">
        <v>0.81311963142658161</v>
      </c>
      <c r="G33" s="4">
        <v>0.63428427888085326</v>
      </c>
      <c r="H33" s="4">
        <v>0.99999999999999978</v>
      </c>
      <c r="I33" s="4">
        <v>0.80194785714526928</v>
      </c>
      <c r="J33" s="5">
        <v>9.5142641832127985</v>
      </c>
      <c r="K33">
        <v>17785</v>
      </c>
      <c r="L33">
        <v>54366</v>
      </c>
      <c r="M33">
        <v>15838</v>
      </c>
      <c r="N33">
        <v>87989</v>
      </c>
      <c r="O33" s="6">
        <v>133387.5</v>
      </c>
      <c r="P33" s="6">
        <v>135915</v>
      </c>
      <c r="Q33" s="6">
        <v>19005.599999999999</v>
      </c>
      <c r="R33" s="6">
        <v>288308.09999999998</v>
      </c>
      <c r="S33" s="2">
        <v>59.354999999999997</v>
      </c>
      <c r="T33" s="2">
        <v>24.19222222222222</v>
      </c>
      <c r="U33" s="2">
        <v>2.1143333333333332</v>
      </c>
      <c r="V33" s="2">
        <v>85.661555555555552</v>
      </c>
      <c r="W33">
        <v>202</v>
      </c>
      <c r="X33">
        <v>4</v>
      </c>
      <c r="Y33">
        <v>4</v>
      </c>
      <c r="Z33">
        <v>210</v>
      </c>
      <c r="AA33" s="2">
        <v>23954943.88208887</v>
      </c>
      <c r="AB33" s="6">
        <v>4928.8</v>
      </c>
      <c r="AC33" s="6">
        <v>988</v>
      </c>
      <c r="AD33" s="6">
        <v>5820</v>
      </c>
      <c r="AE33" s="6">
        <v>11736.8</v>
      </c>
      <c r="AF33" s="3">
        <v>23.474153277768458</v>
      </c>
      <c r="AG33">
        <v>202</v>
      </c>
      <c r="AH33">
        <v>4</v>
      </c>
      <c r="AI33">
        <v>2</v>
      </c>
      <c r="AJ33">
        <v>208</v>
      </c>
      <c r="AK33" s="2">
        <v>15408202.091445019</v>
      </c>
      <c r="AL33" s="6">
        <v>1591.76</v>
      </c>
      <c r="AM33" s="6">
        <v>390</v>
      </c>
      <c r="AN33" s="6">
        <v>2292</v>
      </c>
      <c r="AO33" s="6">
        <v>4273.76</v>
      </c>
      <c r="AP33" s="3">
        <v>0.58751013270035335</v>
      </c>
      <c r="AQ33">
        <v>0</v>
      </c>
      <c r="AR33">
        <v>0</v>
      </c>
      <c r="AS33">
        <v>0</v>
      </c>
      <c r="AT33">
        <v>0</v>
      </c>
      <c r="AU33" s="2">
        <v>0</v>
      </c>
      <c r="AV33" s="6">
        <v>0</v>
      </c>
      <c r="AW33" s="6">
        <v>0</v>
      </c>
      <c r="AX33" s="6">
        <v>0</v>
      </c>
      <c r="AY33" s="6">
        <v>0</v>
      </c>
      <c r="AZ33" s="3">
        <v>0</v>
      </c>
      <c r="BA33">
        <v>4</v>
      </c>
      <c r="BB33">
        <v>0</v>
      </c>
      <c r="BC33">
        <v>0</v>
      </c>
      <c r="BD33">
        <v>4</v>
      </c>
      <c r="BE33" s="2">
        <v>85404.882021353114</v>
      </c>
      <c r="BF33" s="6">
        <v>23.1</v>
      </c>
      <c r="BG33" s="6">
        <v>0</v>
      </c>
      <c r="BH33" s="6">
        <v>0</v>
      </c>
      <c r="BI33" s="6">
        <v>23.1</v>
      </c>
      <c r="BJ33" s="3">
        <v>80.118603493096259</v>
      </c>
      <c r="BK33" s="6">
        <v>6543.66</v>
      </c>
      <c r="BL33" s="6">
        <v>1378</v>
      </c>
      <c r="BM33" s="6">
        <v>8112</v>
      </c>
      <c r="BN33" s="6">
        <v>16033.66</v>
      </c>
      <c r="BO33" s="3">
        <v>104.1802669035651</v>
      </c>
      <c r="BP33" s="7">
        <v>304341.76000000001</v>
      </c>
      <c r="BQ33" s="2">
        <v>56.952546737736192</v>
      </c>
      <c r="BR33" s="2">
        <v>246.79436919685679</v>
      </c>
    </row>
    <row r="34" spans="1:70" x14ac:dyDescent="0.3">
      <c r="A34">
        <v>2007</v>
      </c>
      <c r="B34" s="1">
        <v>176986</v>
      </c>
      <c r="C34" s="2">
        <v>41482859.33869227</v>
      </c>
      <c r="D34" s="3">
        <v>234.38497586640901</v>
      </c>
      <c r="E34" s="1">
        <v>106191</v>
      </c>
      <c r="F34" s="4">
        <v>0.81954200859229465</v>
      </c>
      <c r="G34" s="4">
        <v>0.63911495826916087</v>
      </c>
      <c r="H34" s="4">
        <v>1</v>
      </c>
      <c r="I34" s="4">
        <v>0.80608975341162525</v>
      </c>
      <c r="J34" s="5">
        <v>9.5867243740374128</v>
      </c>
      <c r="K34">
        <v>18315</v>
      </c>
      <c r="L34">
        <v>54713</v>
      </c>
      <c r="M34">
        <v>15385</v>
      </c>
      <c r="N34">
        <v>88413</v>
      </c>
      <c r="O34" s="6">
        <v>137362.5</v>
      </c>
      <c r="P34" s="6">
        <v>136782.5</v>
      </c>
      <c r="Q34" s="6">
        <v>18462</v>
      </c>
      <c r="R34" s="6">
        <v>292607</v>
      </c>
      <c r="S34" s="2">
        <v>61.104999999999997</v>
      </c>
      <c r="T34" s="2">
        <v>24.338444444444441</v>
      </c>
      <c r="U34" s="2">
        <v>2.0531999999999999</v>
      </c>
      <c r="V34" s="2">
        <v>87.496644444444442</v>
      </c>
      <c r="W34">
        <v>213</v>
      </c>
      <c r="X34">
        <v>4</v>
      </c>
      <c r="Y34">
        <v>4</v>
      </c>
      <c r="Z34">
        <v>221</v>
      </c>
      <c r="AA34" s="2">
        <v>25390722.010572881</v>
      </c>
      <c r="AB34" s="6">
        <v>5154.6000000000004</v>
      </c>
      <c r="AC34" s="6">
        <v>992</v>
      </c>
      <c r="AD34" s="6">
        <v>5850</v>
      </c>
      <c r="AE34" s="6">
        <v>11996.6</v>
      </c>
      <c r="AF34" s="3">
        <v>24.59398491757786</v>
      </c>
      <c r="AG34">
        <v>213</v>
      </c>
      <c r="AH34">
        <v>4</v>
      </c>
      <c r="AI34">
        <v>2</v>
      </c>
      <c r="AJ34">
        <v>219</v>
      </c>
      <c r="AK34" s="2">
        <v>16007879.29661751</v>
      </c>
      <c r="AL34" s="6">
        <v>1669.92</v>
      </c>
      <c r="AM34" s="6">
        <v>384</v>
      </c>
      <c r="AN34" s="6">
        <v>2280</v>
      </c>
      <c r="AO34" s="6">
        <v>4333.92</v>
      </c>
      <c r="AP34" s="3">
        <v>0.6167048442096299</v>
      </c>
      <c r="AQ34">
        <v>0</v>
      </c>
      <c r="AR34">
        <v>0</v>
      </c>
      <c r="AS34">
        <v>0</v>
      </c>
      <c r="AT34">
        <v>0</v>
      </c>
      <c r="AU34" s="2">
        <v>0</v>
      </c>
      <c r="AV34" s="6">
        <v>0</v>
      </c>
      <c r="AW34" s="6">
        <v>0</v>
      </c>
      <c r="AX34" s="6">
        <v>0</v>
      </c>
      <c r="AY34" s="6">
        <v>0</v>
      </c>
      <c r="AZ34" s="3">
        <v>0</v>
      </c>
      <c r="BA34">
        <v>4</v>
      </c>
      <c r="BB34">
        <v>0</v>
      </c>
      <c r="BC34">
        <v>0</v>
      </c>
      <c r="BD34">
        <v>4</v>
      </c>
      <c r="BE34" s="2">
        <v>84258.031501878344</v>
      </c>
      <c r="BF34" s="6">
        <v>22.56</v>
      </c>
      <c r="BG34" s="6">
        <v>0</v>
      </c>
      <c r="BH34" s="6">
        <v>0</v>
      </c>
      <c r="BI34" s="6">
        <v>22.56</v>
      </c>
      <c r="BJ34" s="3">
        <v>83.811747016358453</v>
      </c>
      <c r="BK34" s="6">
        <v>6847.08</v>
      </c>
      <c r="BL34" s="6">
        <v>1376</v>
      </c>
      <c r="BM34" s="6">
        <v>8130</v>
      </c>
      <c r="BN34" s="6">
        <v>16353.08</v>
      </c>
      <c r="BO34" s="3">
        <v>109.0224367781459</v>
      </c>
      <c r="BP34" s="7">
        <v>308960.08</v>
      </c>
      <c r="BQ34" s="2">
        <v>58.955724366777112</v>
      </c>
      <c r="BR34" s="2">
        <v>255.47480558936749</v>
      </c>
    </row>
    <row r="35" spans="1:70" x14ac:dyDescent="0.3">
      <c r="A35">
        <v>2008</v>
      </c>
      <c r="B35" s="1">
        <v>177782</v>
      </c>
      <c r="C35" s="2">
        <v>43582039.023032032</v>
      </c>
      <c r="D35" s="3">
        <v>245.14314735480551</v>
      </c>
      <c r="E35" s="1">
        <v>106669</v>
      </c>
      <c r="F35" s="4">
        <v>0.82579721957150132</v>
      </c>
      <c r="G35" s="4">
        <v>0.64371004264364806</v>
      </c>
      <c r="H35" s="4">
        <v>1</v>
      </c>
      <c r="I35" s="4">
        <v>0.81006754678556525</v>
      </c>
      <c r="J35" s="5">
        <v>9.6556506396547217</v>
      </c>
      <c r="K35">
        <v>18837</v>
      </c>
      <c r="L35">
        <v>55050</v>
      </c>
      <c r="M35">
        <v>14946</v>
      </c>
      <c r="N35">
        <v>88833</v>
      </c>
      <c r="O35" s="6">
        <v>141277.5</v>
      </c>
      <c r="P35" s="6">
        <v>137625</v>
      </c>
      <c r="Q35" s="6">
        <v>17935.2</v>
      </c>
      <c r="R35" s="6">
        <v>296837.7</v>
      </c>
      <c r="S35" s="2">
        <v>62.83</v>
      </c>
      <c r="T35" s="2">
        <v>24.48244444444444</v>
      </c>
      <c r="U35" s="2">
        <v>1.9940666666666671</v>
      </c>
      <c r="V35" s="2">
        <v>89.306511111111107</v>
      </c>
      <c r="W35">
        <v>225</v>
      </c>
      <c r="X35">
        <v>4</v>
      </c>
      <c r="Y35">
        <v>4</v>
      </c>
      <c r="Z35">
        <v>233</v>
      </c>
      <c r="AA35" s="2">
        <v>26885534.347101219</v>
      </c>
      <c r="AB35" s="6">
        <v>5557.5</v>
      </c>
      <c r="AC35" s="6">
        <v>988</v>
      </c>
      <c r="AD35" s="6">
        <v>5940</v>
      </c>
      <c r="AE35" s="6">
        <v>12485.5</v>
      </c>
      <c r="AF35" s="3">
        <v>25.748473070185241</v>
      </c>
      <c r="AG35">
        <v>225</v>
      </c>
      <c r="AH35">
        <v>4</v>
      </c>
      <c r="AI35">
        <v>2</v>
      </c>
      <c r="AJ35">
        <v>231</v>
      </c>
      <c r="AK35" s="2">
        <v>16613544.520984169</v>
      </c>
      <c r="AL35" s="6">
        <v>1737</v>
      </c>
      <c r="AM35" s="6">
        <v>396</v>
      </c>
      <c r="AN35" s="6">
        <v>2364</v>
      </c>
      <c r="AO35" s="6">
        <v>4497</v>
      </c>
      <c r="AP35" s="3">
        <v>0.64690975902523096</v>
      </c>
      <c r="AQ35">
        <v>0</v>
      </c>
      <c r="AR35">
        <v>0</v>
      </c>
      <c r="AS35">
        <v>0</v>
      </c>
      <c r="AT35">
        <v>0</v>
      </c>
      <c r="AU35" s="2">
        <v>0</v>
      </c>
      <c r="AV35" s="6">
        <v>0</v>
      </c>
      <c r="AW35" s="6">
        <v>0</v>
      </c>
      <c r="AX35" s="6">
        <v>0</v>
      </c>
      <c r="AY35" s="6">
        <v>0</v>
      </c>
      <c r="AZ35" s="3">
        <v>0</v>
      </c>
      <c r="BA35">
        <v>4</v>
      </c>
      <c r="BB35">
        <v>0</v>
      </c>
      <c r="BC35">
        <v>0</v>
      </c>
      <c r="BD35">
        <v>4</v>
      </c>
      <c r="BE35" s="2">
        <v>82960.154946636932</v>
      </c>
      <c r="BF35" s="6">
        <v>23.64</v>
      </c>
      <c r="BG35" s="6">
        <v>0</v>
      </c>
      <c r="BH35" s="6">
        <v>0</v>
      </c>
      <c r="BI35" s="6">
        <v>23.64</v>
      </c>
      <c r="BJ35" s="3">
        <v>87.607087350195116</v>
      </c>
      <c r="BK35" s="6">
        <v>7318.14</v>
      </c>
      <c r="BL35" s="6">
        <v>1384</v>
      </c>
      <c r="BM35" s="6">
        <v>8304</v>
      </c>
      <c r="BN35" s="6">
        <v>17006.14</v>
      </c>
      <c r="BO35" s="3">
        <v>114.00247017940561</v>
      </c>
      <c r="BP35" s="7">
        <v>313843.84000000003</v>
      </c>
      <c r="BQ35" s="2">
        <v>60.992694387155012</v>
      </c>
      <c r="BR35" s="2">
        <v>264.30167567767171</v>
      </c>
    </row>
    <row r="36" spans="1:70" x14ac:dyDescent="0.3">
      <c r="A36">
        <v>2009</v>
      </c>
      <c r="B36" s="1">
        <v>178582</v>
      </c>
      <c r="C36" s="2">
        <v>45749929.879418187</v>
      </c>
      <c r="D36" s="3">
        <v>256.18444120582251</v>
      </c>
      <c r="E36" s="1">
        <v>107149</v>
      </c>
      <c r="F36" s="4">
        <v>0.83189927152037624</v>
      </c>
      <c r="G36" s="4">
        <v>0.64808102210872387</v>
      </c>
      <c r="H36" s="4">
        <v>1</v>
      </c>
      <c r="I36" s="4">
        <v>0.81389181824231438</v>
      </c>
      <c r="J36" s="5">
        <v>9.7212153316308587</v>
      </c>
      <c r="K36">
        <v>19350</v>
      </c>
      <c r="L36">
        <v>55380</v>
      </c>
      <c r="M36">
        <v>14519</v>
      </c>
      <c r="N36">
        <v>89249</v>
      </c>
      <c r="O36" s="6">
        <v>145125</v>
      </c>
      <c r="P36" s="6">
        <v>138450</v>
      </c>
      <c r="Q36" s="6">
        <v>17422.8</v>
      </c>
      <c r="R36" s="6">
        <v>300997.8</v>
      </c>
      <c r="S36" s="2">
        <v>64.53</v>
      </c>
      <c r="T36" s="2">
        <v>24.62466666666667</v>
      </c>
      <c r="U36" s="2">
        <v>1.936733333333333</v>
      </c>
      <c r="V36" s="2">
        <v>91.091400000000007</v>
      </c>
      <c r="W36">
        <v>238</v>
      </c>
      <c r="X36">
        <v>4</v>
      </c>
      <c r="Y36">
        <v>4</v>
      </c>
      <c r="Z36">
        <v>246</v>
      </c>
      <c r="AA36" s="2">
        <v>28442344.332803261</v>
      </c>
      <c r="AB36" s="6">
        <v>5878.6</v>
      </c>
      <c r="AC36" s="6">
        <v>980</v>
      </c>
      <c r="AD36" s="6">
        <v>5880</v>
      </c>
      <c r="AE36" s="6">
        <v>12738.6</v>
      </c>
      <c r="AF36" s="3">
        <v>26.93822731801874</v>
      </c>
      <c r="AG36">
        <v>238</v>
      </c>
      <c r="AH36">
        <v>4</v>
      </c>
      <c r="AI36">
        <v>2</v>
      </c>
      <c r="AJ36">
        <v>244</v>
      </c>
      <c r="AK36" s="2">
        <v>17226069.868789691</v>
      </c>
      <c r="AL36" s="6">
        <v>1875.44</v>
      </c>
      <c r="AM36" s="6">
        <v>384</v>
      </c>
      <c r="AN36" s="6">
        <v>2376</v>
      </c>
      <c r="AO36" s="6">
        <v>4635.4399999999996</v>
      </c>
      <c r="AP36" s="3">
        <v>0.6781443668478927</v>
      </c>
      <c r="AQ36">
        <v>0</v>
      </c>
      <c r="AR36">
        <v>0</v>
      </c>
      <c r="AS36">
        <v>0</v>
      </c>
      <c r="AT36">
        <v>0</v>
      </c>
      <c r="AU36" s="2">
        <v>0</v>
      </c>
      <c r="AV36" s="6">
        <v>0</v>
      </c>
      <c r="AW36" s="6">
        <v>0</v>
      </c>
      <c r="AX36" s="6">
        <v>0</v>
      </c>
      <c r="AY36" s="6">
        <v>0</v>
      </c>
      <c r="AZ36" s="3">
        <v>0</v>
      </c>
      <c r="BA36">
        <v>4</v>
      </c>
      <c r="BB36">
        <v>0</v>
      </c>
      <c r="BC36">
        <v>0</v>
      </c>
      <c r="BD36">
        <v>4</v>
      </c>
      <c r="BE36" s="2">
        <v>81515.677825251274</v>
      </c>
      <c r="BF36" s="6">
        <v>23.46</v>
      </c>
      <c r="BG36" s="6">
        <v>0</v>
      </c>
      <c r="BH36" s="6">
        <v>0</v>
      </c>
      <c r="BI36" s="6">
        <v>23.46</v>
      </c>
      <c r="BJ36" s="3">
        <v>91.506853763530273</v>
      </c>
      <c r="BK36" s="6">
        <v>7777.5</v>
      </c>
      <c r="BL36" s="6">
        <v>1364</v>
      </c>
      <c r="BM36" s="6">
        <v>8256</v>
      </c>
      <c r="BN36" s="6">
        <v>17397.5</v>
      </c>
      <c r="BO36" s="3">
        <v>119.12322544839689</v>
      </c>
      <c r="BP36" s="7">
        <v>318395.3</v>
      </c>
      <c r="BQ36" s="2">
        <v>63.064387634519079</v>
      </c>
      <c r="BR36" s="2">
        <v>273.27901308291598</v>
      </c>
    </row>
    <row r="37" spans="1:70" x14ac:dyDescent="0.3">
      <c r="A37">
        <v>2010</v>
      </c>
      <c r="B37" s="1">
        <v>179385</v>
      </c>
      <c r="C37" s="2">
        <v>47990369.673986591</v>
      </c>
      <c r="D37" s="3">
        <v>267.5272161774206</v>
      </c>
      <c r="E37" s="1">
        <v>107631</v>
      </c>
      <c r="F37" s="4">
        <v>0.83786094614240325</v>
      </c>
      <c r="G37" s="4">
        <v>0.65223882638979225</v>
      </c>
      <c r="H37" s="4">
        <v>1</v>
      </c>
      <c r="I37" s="4">
        <v>0.81757235603665956</v>
      </c>
      <c r="J37" s="5">
        <v>9.7835823958468833</v>
      </c>
      <c r="K37">
        <v>19855</v>
      </c>
      <c r="L37">
        <v>55704</v>
      </c>
      <c r="M37">
        <v>14103</v>
      </c>
      <c r="N37">
        <v>89662</v>
      </c>
      <c r="O37" s="6">
        <v>148912.5</v>
      </c>
      <c r="P37" s="6">
        <v>139260</v>
      </c>
      <c r="Q37" s="6">
        <v>16923.599999999999</v>
      </c>
      <c r="R37" s="6">
        <v>305096.09999999998</v>
      </c>
      <c r="S37" s="2">
        <v>66.204999999999998</v>
      </c>
      <c r="T37" s="2">
        <v>24.765333333333331</v>
      </c>
      <c r="U37" s="2">
        <v>1.8810666666666671</v>
      </c>
      <c r="V37" s="2">
        <v>92.851399999999998</v>
      </c>
      <c r="W37">
        <v>251</v>
      </c>
      <c r="X37">
        <v>5</v>
      </c>
      <c r="Y37">
        <v>5</v>
      </c>
      <c r="Z37">
        <v>261</v>
      </c>
      <c r="AA37" s="2">
        <v>30064189.244374759</v>
      </c>
      <c r="AB37" s="6">
        <v>6099.3</v>
      </c>
      <c r="AC37" s="6">
        <v>1220</v>
      </c>
      <c r="AD37" s="6">
        <v>5790</v>
      </c>
      <c r="AE37" s="6">
        <v>13109.3</v>
      </c>
      <c r="AF37" s="3">
        <v>28.163899854021931</v>
      </c>
      <c r="AG37">
        <v>251</v>
      </c>
      <c r="AH37">
        <v>5</v>
      </c>
      <c r="AI37">
        <v>2</v>
      </c>
      <c r="AJ37">
        <v>258</v>
      </c>
      <c r="AK37" s="2">
        <v>17846252.249012221</v>
      </c>
      <c r="AL37" s="6">
        <v>1987.92</v>
      </c>
      <c r="AM37" s="6">
        <v>487.5</v>
      </c>
      <c r="AN37" s="6">
        <v>2280</v>
      </c>
      <c r="AO37" s="6">
        <v>4755.42</v>
      </c>
      <c r="AP37" s="3">
        <v>0.71042903908475818</v>
      </c>
      <c r="AQ37">
        <v>0</v>
      </c>
      <c r="AR37">
        <v>0</v>
      </c>
      <c r="AS37">
        <v>0</v>
      </c>
      <c r="AT37">
        <v>0</v>
      </c>
      <c r="AU37" s="2">
        <v>0</v>
      </c>
      <c r="AV37" s="6">
        <v>0</v>
      </c>
      <c r="AW37" s="6">
        <v>0</v>
      </c>
      <c r="AX37" s="6">
        <v>0</v>
      </c>
      <c r="AY37" s="6">
        <v>0</v>
      </c>
      <c r="AZ37" s="3">
        <v>0</v>
      </c>
      <c r="BA37">
        <v>4</v>
      </c>
      <c r="BB37">
        <v>0</v>
      </c>
      <c r="BC37">
        <v>0</v>
      </c>
      <c r="BD37">
        <v>4</v>
      </c>
      <c r="BE37" s="2">
        <v>79928.180599619227</v>
      </c>
      <c r="BF37" s="6">
        <v>22.2</v>
      </c>
      <c r="BG37" s="6">
        <v>0</v>
      </c>
      <c r="BH37" s="6">
        <v>0</v>
      </c>
      <c r="BI37" s="6">
        <v>22.2</v>
      </c>
      <c r="BJ37" s="3">
        <v>95.51341919775281</v>
      </c>
      <c r="BK37" s="6">
        <v>8109.42</v>
      </c>
      <c r="BL37" s="6">
        <v>1707.5</v>
      </c>
      <c r="BM37" s="6">
        <v>8070</v>
      </c>
      <c r="BN37" s="6">
        <v>17886.919999999998</v>
      </c>
      <c r="BO37" s="3">
        <v>124.3877480908595</v>
      </c>
      <c r="BP37" s="7">
        <v>322983.02</v>
      </c>
      <c r="BQ37" s="2">
        <v>65.171744427257849</v>
      </c>
      <c r="BR37" s="2">
        <v>282.41089251811741</v>
      </c>
    </row>
    <row r="38" spans="1:70" x14ac:dyDescent="0.3">
      <c r="A38">
        <v>2011</v>
      </c>
      <c r="B38" s="1">
        <v>180192</v>
      </c>
      <c r="C38" s="2">
        <v>50306989.891346209</v>
      </c>
      <c r="D38" s="3">
        <v>279.18547932952742</v>
      </c>
      <c r="E38" s="1">
        <v>108115</v>
      </c>
      <c r="F38" s="4">
        <v>0.84352599275146389</v>
      </c>
      <c r="G38" s="4">
        <v>0.65619385216325954</v>
      </c>
      <c r="H38" s="4">
        <v>1</v>
      </c>
      <c r="I38" s="4">
        <v>0.82106374467579257</v>
      </c>
      <c r="J38" s="5">
        <v>9.8429077824488935</v>
      </c>
      <c r="K38">
        <v>20346</v>
      </c>
      <c r="L38">
        <v>56017</v>
      </c>
      <c r="M38">
        <v>13711</v>
      </c>
      <c r="N38">
        <v>90074</v>
      </c>
      <c r="O38" s="6">
        <v>152595</v>
      </c>
      <c r="P38" s="6">
        <v>140042.5</v>
      </c>
      <c r="Q38" s="6">
        <v>16453.2</v>
      </c>
      <c r="R38" s="6">
        <v>309090.7</v>
      </c>
      <c r="S38" s="2">
        <v>67.834999999999994</v>
      </c>
      <c r="T38" s="2">
        <v>24.902222222222221</v>
      </c>
      <c r="U38" s="2">
        <v>1.8286</v>
      </c>
      <c r="V38" s="2">
        <v>94.565822222222209</v>
      </c>
      <c r="W38">
        <v>264</v>
      </c>
      <c r="X38">
        <v>5</v>
      </c>
      <c r="Y38">
        <v>5</v>
      </c>
      <c r="Z38">
        <v>274</v>
      </c>
      <c r="AA38" s="2">
        <v>31754053.864231169</v>
      </c>
      <c r="AB38" s="6">
        <v>6441.6</v>
      </c>
      <c r="AC38" s="6">
        <v>1210</v>
      </c>
      <c r="AD38" s="6">
        <v>8640</v>
      </c>
      <c r="AE38" s="6">
        <v>16291.6</v>
      </c>
      <c r="AF38" s="3">
        <v>29.426129835671709</v>
      </c>
      <c r="AG38">
        <v>264</v>
      </c>
      <c r="AH38">
        <v>5</v>
      </c>
      <c r="AI38">
        <v>3</v>
      </c>
      <c r="AJ38">
        <v>272</v>
      </c>
      <c r="AK38" s="2">
        <v>18474736.065937549</v>
      </c>
      <c r="AL38" s="6">
        <v>2027.52</v>
      </c>
      <c r="AM38" s="6">
        <v>482.5</v>
      </c>
      <c r="AN38" s="6">
        <v>3510</v>
      </c>
      <c r="AO38" s="6">
        <v>6020.02</v>
      </c>
      <c r="AP38" s="3">
        <v>0.74378401926205062</v>
      </c>
      <c r="AQ38">
        <v>0</v>
      </c>
      <c r="AR38">
        <v>0</v>
      </c>
      <c r="AS38">
        <v>0</v>
      </c>
      <c r="AT38">
        <v>0</v>
      </c>
      <c r="AU38" s="2">
        <v>0</v>
      </c>
      <c r="AV38" s="6">
        <v>0</v>
      </c>
      <c r="AW38" s="6">
        <v>0</v>
      </c>
      <c r="AX38" s="6">
        <v>0</v>
      </c>
      <c r="AY38" s="6">
        <v>0</v>
      </c>
      <c r="AZ38" s="3">
        <v>0</v>
      </c>
      <c r="BA38">
        <v>4</v>
      </c>
      <c r="BB38">
        <v>0</v>
      </c>
      <c r="BC38">
        <v>0</v>
      </c>
      <c r="BD38">
        <v>4</v>
      </c>
      <c r="BE38" s="2">
        <v>78199.961177492485</v>
      </c>
      <c r="BF38" s="6">
        <v>22.92</v>
      </c>
      <c r="BG38" s="6">
        <v>0</v>
      </c>
      <c r="BH38" s="6">
        <v>0</v>
      </c>
      <c r="BI38" s="6">
        <v>22.92</v>
      </c>
      <c r="BJ38" s="3">
        <v>99.629040115436297</v>
      </c>
      <c r="BK38" s="6">
        <v>8492.0400000000009</v>
      </c>
      <c r="BL38" s="6">
        <v>1692.5</v>
      </c>
      <c r="BM38" s="6">
        <v>12150</v>
      </c>
      <c r="BN38" s="6">
        <v>22334.54</v>
      </c>
      <c r="BO38" s="3">
        <v>129.79895397037009</v>
      </c>
      <c r="BP38" s="7">
        <v>331425.24</v>
      </c>
      <c r="BQ38" s="2">
        <v>67.309432857777679</v>
      </c>
      <c r="BR38" s="2">
        <v>291.67420905036988</v>
      </c>
    </row>
    <row r="39" spans="1:70" x14ac:dyDescent="0.3">
      <c r="A39">
        <v>2012</v>
      </c>
      <c r="B39" s="1">
        <v>181002</v>
      </c>
      <c r="C39" s="2">
        <v>52703284.922438912</v>
      </c>
      <c r="D39" s="3">
        <v>291.17515233223338</v>
      </c>
      <c r="E39" s="1">
        <v>108601</v>
      </c>
      <c r="F39" s="4">
        <v>0.8490776716795414</v>
      </c>
      <c r="G39" s="4">
        <v>0.6599559890536405</v>
      </c>
      <c r="H39" s="4">
        <v>1</v>
      </c>
      <c r="I39" s="4">
        <v>0.82443065442256902</v>
      </c>
      <c r="J39" s="5">
        <v>9.8993398358046072</v>
      </c>
      <c r="K39">
        <v>20830</v>
      </c>
      <c r="L39">
        <v>56326</v>
      </c>
      <c r="M39">
        <v>13328</v>
      </c>
      <c r="N39">
        <v>90484</v>
      </c>
      <c r="O39" s="6">
        <v>156225</v>
      </c>
      <c r="P39" s="6">
        <v>140815</v>
      </c>
      <c r="Q39" s="6">
        <v>15993.6</v>
      </c>
      <c r="R39" s="6">
        <v>313033.59999999998</v>
      </c>
      <c r="S39" s="2">
        <v>69.444999999999993</v>
      </c>
      <c r="T39" s="2">
        <v>25.03822222222222</v>
      </c>
      <c r="U39" s="2">
        <v>1.777466666666667</v>
      </c>
      <c r="V39" s="2">
        <v>96.260688888888893</v>
      </c>
      <c r="W39">
        <v>278</v>
      </c>
      <c r="X39">
        <v>5</v>
      </c>
      <c r="Y39">
        <v>5</v>
      </c>
      <c r="Z39">
        <v>288</v>
      </c>
      <c r="AA39" s="2">
        <v>33514906.83947292</v>
      </c>
      <c r="AB39" s="6">
        <v>6699.8</v>
      </c>
      <c r="AC39" s="6">
        <v>1200</v>
      </c>
      <c r="AD39" s="6">
        <v>8685</v>
      </c>
      <c r="AE39" s="6">
        <v>16584.8</v>
      </c>
      <c r="AF39" s="3">
        <v>30.725571234474991</v>
      </c>
      <c r="AG39">
        <v>278</v>
      </c>
      <c r="AH39">
        <v>5</v>
      </c>
      <c r="AI39">
        <v>3</v>
      </c>
      <c r="AJ39">
        <v>286</v>
      </c>
      <c r="AK39" s="2">
        <v>19112045.788511358</v>
      </c>
      <c r="AL39" s="6">
        <v>2201.7600000000002</v>
      </c>
      <c r="AM39" s="6">
        <v>477.5</v>
      </c>
      <c r="AN39" s="6">
        <v>3474</v>
      </c>
      <c r="AO39" s="6">
        <v>6153.26</v>
      </c>
      <c r="AP39" s="3">
        <v>0.77822992810907032</v>
      </c>
      <c r="AQ39">
        <v>0</v>
      </c>
      <c r="AR39">
        <v>0</v>
      </c>
      <c r="AS39">
        <v>0</v>
      </c>
      <c r="AT39">
        <v>0</v>
      </c>
      <c r="AU39" s="2">
        <v>0</v>
      </c>
      <c r="AV39" s="6">
        <v>0</v>
      </c>
      <c r="AW39" s="6">
        <v>0</v>
      </c>
      <c r="AX39" s="6">
        <v>0</v>
      </c>
      <c r="AY39" s="6">
        <v>0</v>
      </c>
      <c r="AZ39" s="3">
        <v>0</v>
      </c>
      <c r="BA39">
        <v>4</v>
      </c>
      <c r="BB39">
        <v>0</v>
      </c>
      <c r="BC39">
        <v>0</v>
      </c>
      <c r="BD39">
        <v>4</v>
      </c>
      <c r="BE39" s="2">
        <v>76332.294454623057</v>
      </c>
      <c r="BF39" s="6">
        <v>23.28</v>
      </c>
      <c r="BG39" s="6">
        <v>0</v>
      </c>
      <c r="BH39" s="6">
        <v>0</v>
      </c>
      <c r="BI39" s="6">
        <v>23.28</v>
      </c>
      <c r="BJ39" s="3">
        <v>103.855993460113</v>
      </c>
      <c r="BK39" s="6">
        <v>8924.84</v>
      </c>
      <c r="BL39" s="6">
        <v>1677.5</v>
      </c>
      <c r="BM39" s="6">
        <v>12159</v>
      </c>
      <c r="BN39" s="6">
        <v>22761.34</v>
      </c>
      <c r="BO39" s="3">
        <v>135.359794622697</v>
      </c>
      <c r="BP39" s="7">
        <v>335794.94</v>
      </c>
      <c r="BQ39" s="2">
        <v>69.486145053475767</v>
      </c>
      <c r="BR39" s="2">
        <v>301.10662856506173</v>
      </c>
    </row>
    <row r="40" spans="1:70" x14ac:dyDescent="0.3">
      <c r="A40">
        <v>2013</v>
      </c>
      <c r="B40" s="1">
        <v>181816</v>
      </c>
      <c r="C40" s="2">
        <v>55182668.2459599</v>
      </c>
      <c r="D40" s="3">
        <v>303.50831745258893</v>
      </c>
      <c r="E40" s="1">
        <v>109089</v>
      </c>
      <c r="F40" s="4">
        <v>0.85452089558368605</v>
      </c>
      <c r="G40" s="4">
        <v>0.66353464436277032</v>
      </c>
      <c r="H40" s="4">
        <v>1</v>
      </c>
      <c r="I40" s="4">
        <v>0.82767930558370961</v>
      </c>
      <c r="J40" s="5">
        <v>9.9530196654415555</v>
      </c>
      <c r="K40">
        <v>21307</v>
      </c>
      <c r="L40">
        <v>56634</v>
      </c>
      <c r="M40">
        <v>12955</v>
      </c>
      <c r="N40">
        <v>90896</v>
      </c>
      <c r="O40" s="6">
        <v>159802.5</v>
      </c>
      <c r="P40" s="6">
        <v>141585</v>
      </c>
      <c r="Q40" s="6">
        <v>15546</v>
      </c>
      <c r="R40" s="6">
        <v>316933.5</v>
      </c>
      <c r="S40" s="2">
        <v>71.031666666666666</v>
      </c>
      <c r="T40" s="2">
        <v>25.173777777777779</v>
      </c>
      <c r="U40" s="2">
        <v>1.7276</v>
      </c>
      <c r="V40" s="2">
        <v>97.933044444444448</v>
      </c>
      <c r="W40">
        <v>293</v>
      </c>
      <c r="X40">
        <v>6</v>
      </c>
      <c r="Y40">
        <v>6</v>
      </c>
      <c r="Z40">
        <v>305</v>
      </c>
      <c r="AA40" s="2">
        <v>35349730.088026509</v>
      </c>
      <c r="AB40" s="6">
        <v>7266.4</v>
      </c>
      <c r="AC40" s="6">
        <v>1476</v>
      </c>
      <c r="AD40" s="6">
        <v>8910</v>
      </c>
      <c r="AE40" s="6">
        <v>17652.400000000001</v>
      </c>
      <c r="AF40" s="3">
        <v>32.06290907011104</v>
      </c>
      <c r="AG40">
        <v>293</v>
      </c>
      <c r="AH40">
        <v>6</v>
      </c>
      <c r="AI40">
        <v>3</v>
      </c>
      <c r="AJ40">
        <v>302</v>
      </c>
      <c r="AK40" s="2">
        <v>19758612.533006001</v>
      </c>
      <c r="AL40" s="6">
        <v>2250.2399999999998</v>
      </c>
      <c r="AM40" s="6">
        <v>594</v>
      </c>
      <c r="AN40" s="6">
        <v>3492</v>
      </c>
      <c r="AO40" s="6">
        <v>6336.24</v>
      </c>
      <c r="AP40" s="3">
        <v>0.81378806933440107</v>
      </c>
      <c r="AQ40">
        <v>0</v>
      </c>
      <c r="AR40">
        <v>0</v>
      </c>
      <c r="AS40">
        <v>0</v>
      </c>
      <c r="AT40">
        <v>0</v>
      </c>
      <c r="AU40" s="2">
        <v>0</v>
      </c>
      <c r="AV40" s="6">
        <v>0</v>
      </c>
      <c r="AW40" s="6">
        <v>0</v>
      </c>
      <c r="AX40" s="6">
        <v>0</v>
      </c>
      <c r="AY40" s="6">
        <v>0</v>
      </c>
      <c r="AZ40" s="3">
        <v>0</v>
      </c>
      <c r="BA40">
        <v>4</v>
      </c>
      <c r="BB40">
        <v>0</v>
      </c>
      <c r="BC40">
        <v>0</v>
      </c>
      <c r="BD40">
        <v>4</v>
      </c>
      <c r="BE40" s="2">
        <v>74325.624927390571</v>
      </c>
      <c r="BF40" s="6">
        <v>23.46</v>
      </c>
      <c r="BG40" s="6">
        <v>0</v>
      </c>
      <c r="BH40" s="6">
        <v>0</v>
      </c>
      <c r="BI40" s="6">
        <v>23.46</v>
      </c>
      <c r="BJ40" s="3">
        <v>108.1966538812524</v>
      </c>
      <c r="BK40" s="6">
        <v>9540.1</v>
      </c>
      <c r="BL40" s="6">
        <v>2070</v>
      </c>
      <c r="BM40" s="6">
        <v>12402</v>
      </c>
      <c r="BN40" s="6">
        <v>24012.1</v>
      </c>
      <c r="BO40" s="3">
        <v>141.0733510206978</v>
      </c>
      <c r="BP40" s="7">
        <v>340945.6</v>
      </c>
      <c r="BQ40" s="2">
        <v>71.701918639542683</v>
      </c>
      <c r="BR40" s="2">
        <v>310.70831410468497</v>
      </c>
    </row>
    <row r="41" spans="1:70" x14ac:dyDescent="0.3">
      <c r="A41">
        <v>2014</v>
      </c>
      <c r="B41" s="1">
        <v>182634</v>
      </c>
      <c r="C41" s="2">
        <v>57748821.080410168</v>
      </c>
      <c r="D41" s="3">
        <v>316.19972776377978</v>
      </c>
      <c r="E41" s="1">
        <v>109580</v>
      </c>
      <c r="F41" s="4">
        <v>0.85986124114044526</v>
      </c>
      <c r="G41" s="4">
        <v>0.66693876659296036</v>
      </c>
      <c r="H41" s="4">
        <v>1</v>
      </c>
      <c r="I41" s="4">
        <v>0.83081585989842799</v>
      </c>
      <c r="J41" s="5">
        <v>10.00408149889441</v>
      </c>
      <c r="K41">
        <v>21778</v>
      </c>
      <c r="L41">
        <v>56940</v>
      </c>
      <c r="M41">
        <v>12591</v>
      </c>
      <c r="N41">
        <v>91309</v>
      </c>
      <c r="O41" s="6">
        <v>163335</v>
      </c>
      <c r="P41" s="6">
        <v>142350</v>
      </c>
      <c r="Q41" s="6">
        <v>15109.2</v>
      </c>
      <c r="R41" s="6">
        <v>320794.2</v>
      </c>
      <c r="S41" s="2">
        <v>72.598333333333329</v>
      </c>
      <c r="T41" s="2">
        <v>25.308888888888891</v>
      </c>
      <c r="U41" s="2">
        <v>1.6789333333333329</v>
      </c>
      <c r="V41" s="2">
        <v>99.58615555555555</v>
      </c>
      <c r="W41">
        <v>309</v>
      </c>
      <c r="X41">
        <v>6</v>
      </c>
      <c r="Y41">
        <v>6</v>
      </c>
      <c r="Z41">
        <v>321</v>
      </c>
      <c r="AA41" s="2">
        <v>37261718.04915534</v>
      </c>
      <c r="AB41" s="6">
        <v>7663.2</v>
      </c>
      <c r="AC41" s="6">
        <v>1440</v>
      </c>
      <c r="AD41" s="6">
        <v>8550</v>
      </c>
      <c r="AE41" s="6">
        <v>17653.2</v>
      </c>
      <c r="AF41" s="3">
        <v>33.438845069253233</v>
      </c>
      <c r="AG41">
        <v>309</v>
      </c>
      <c r="AH41">
        <v>6</v>
      </c>
      <c r="AI41">
        <v>3</v>
      </c>
      <c r="AJ41">
        <v>318</v>
      </c>
      <c r="AK41" s="2">
        <v>20414922.739741828</v>
      </c>
      <c r="AL41" s="6">
        <v>2397.84</v>
      </c>
      <c r="AM41" s="6">
        <v>585</v>
      </c>
      <c r="AN41" s="6">
        <v>3474</v>
      </c>
      <c r="AO41" s="6">
        <v>6456.84</v>
      </c>
      <c r="AP41" s="3">
        <v>0.8504801780571255</v>
      </c>
      <c r="AQ41">
        <v>0</v>
      </c>
      <c r="AR41">
        <v>0</v>
      </c>
      <c r="AS41">
        <v>0</v>
      </c>
      <c r="AT41">
        <v>0</v>
      </c>
      <c r="AU41" s="2">
        <v>0</v>
      </c>
      <c r="AV41" s="6">
        <v>0</v>
      </c>
      <c r="AW41" s="6">
        <v>0</v>
      </c>
      <c r="AX41" s="6">
        <v>0</v>
      </c>
      <c r="AY41" s="6">
        <v>0</v>
      </c>
      <c r="AZ41" s="3">
        <v>0</v>
      </c>
      <c r="BA41">
        <v>4</v>
      </c>
      <c r="BB41">
        <v>0</v>
      </c>
      <c r="BC41">
        <v>0</v>
      </c>
      <c r="BD41">
        <v>4</v>
      </c>
      <c r="BE41" s="2">
        <v>72180.29151299251</v>
      </c>
      <c r="BF41" s="6">
        <v>22.92</v>
      </c>
      <c r="BG41" s="6">
        <v>0</v>
      </c>
      <c r="BH41" s="6">
        <v>0</v>
      </c>
      <c r="BI41" s="6">
        <v>22.92</v>
      </c>
      <c r="BJ41" s="3">
        <v>112.6534261938163</v>
      </c>
      <c r="BK41" s="6">
        <v>10083.959999999999</v>
      </c>
      <c r="BL41" s="6">
        <v>2025</v>
      </c>
      <c r="BM41" s="6">
        <v>12024</v>
      </c>
      <c r="BN41" s="6">
        <v>24132.959999999999</v>
      </c>
      <c r="BO41" s="3">
        <v>146.9427514411266</v>
      </c>
      <c r="BP41" s="7">
        <v>344927.16</v>
      </c>
      <c r="BQ41" s="2">
        <v>73.958672099004644</v>
      </c>
      <c r="BR41" s="2">
        <v>320.48757909568678</v>
      </c>
    </row>
    <row r="42" spans="1:70" x14ac:dyDescent="0.3">
      <c r="A42">
        <v>2015</v>
      </c>
      <c r="B42" s="1">
        <v>183455</v>
      </c>
      <c r="C42" s="2">
        <v>60404786.531569168</v>
      </c>
      <c r="D42" s="3">
        <v>329.26214347697891</v>
      </c>
      <c r="E42" s="1">
        <v>110073</v>
      </c>
      <c r="F42" s="4">
        <v>0.86510269016178964</v>
      </c>
      <c r="G42" s="4">
        <v>0.67017686782291408</v>
      </c>
      <c r="H42" s="4">
        <v>1</v>
      </c>
      <c r="I42" s="4">
        <v>0.83384570984950213</v>
      </c>
      <c r="J42" s="5">
        <v>10.05265301734371</v>
      </c>
      <c r="K42">
        <v>22242</v>
      </c>
      <c r="L42">
        <v>57245</v>
      </c>
      <c r="M42">
        <v>12234</v>
      </c>
      <c r="N42">
        <v>91721</v>
      </c>
      <c r="O42" s="6">
        <v>166815</v>
      </c>
      <c r="P42" s="6">
        <v>143112.5</v>
      </c>
      <c r="Q42" s="6">
        <v>14680.8</v>
      </c>
      <c r="R42" s="6">
        <v>324608.3</v>
      </c>
      <c r="S42" s="2">
        <v>74.144999999999996</v>
      </c>
      <c r="T42" s="2">
        <v>25.443555555555559</v>
      </c>
      <c r="U42" s="2">
        <v>1.6314</v>
      </c>
      <c r="V42" s="2">
        <v>101.2199555555556</v>
      </c>
      <c r="W42">
        <v>325</v>
      </c>
      <c r="X42">
        <v>6</v>
      </c>
      <c r="Y42">
        <v>6</v>
      </c>
      <c r="Z42">
        <v>337</v>
      </c>
      <c r="AA42" s="2">
        <v>39253743.184646137</v>
      </c>
      <c r="AB42" s="6">
        <v>7800</v>
      </c>
      <c r="AC42" s="6">
        <v>1458</v>
      </c>
      <c r="AD42" s="6">
        <v>8865</v>
      </c>
      <c r="AE42" s="6">
        <v>18123</v>
      </c>
      <c r="AF42" s="3">
        <v>34.854081140207271</v>
      </c>
      <c r="AG42">
        <v>325</v>
      </c>
      <c r="AH42">
        <v>6</v>
      </c>
      <c r="AI42">
        <v>3</v>
      </c>
      <c r="AJ42">
        <v>334</v>
      </c>
      <c r="AK42" s="2">
        <v>21081148.547912881</v>
      </c>
      <c r="AL42" s="6">
        <v>2574</v>
      </c>
      <c r="AM42" s="6">
        <v>588</v>
      </c>
      <c r="AN42" s="6">
        <v>3564</v>
      </c>
      <c r="AO42" s="6">
        <v>6726</v>
      </c>
      <c r="AP42" s="3">
        <v>0.88832812040261988</v>
      </c>
      <c r="AQ42">
        <v>0</v>
      </c>
      <c r="AR42">
        <v>0</v>
      </c>
      <c r="AS42">
        <v>0</v>
      </c>
      <c r="AT42">
        <v>0</v>
      </c>
      <c r="AU42" s="2">
        <v>0</v>
      </c>
      <c r="AV42" s="6">
        <v>0</v>
      </c>
      <c r="AW42" s="6">
        <v>0</v>
      </c>
      <c r="AX42" s="6">
        <v>0</v>
      </c>
      <c r="AY42" s="6">
        <v>0</v>
      </c>
      <c r="AZ42" s="3">
        <v>0</v>
      </c>
      <c r="BA42">
        <v>4</v>
      </c>
      <c r="BB42">
        <v>0</v>
      </c>
      <c r="BC42">
        <v>0</v>
      </c>
      <c r="BD42">
        <v>4</v>
      </c>
      <c r="BE42" s="2">
        <v>69894.799010141622</v>
      </c>
      <c r="BF42" s="6">
        <v>22.92</v>
      </c>
      <c r="BG42" s="6">
        <v>0</v>
      </c>
      <c r="BH42" s="6">
        <v>0</v>
      </c>
      <c r="BI42" s="6">
        <v>22.92</v>
      </c>
      <c r="BJ42" s="3">
        <v>117.2286704962367</v>
      </c>
      <c r="BK42" s="6">
        <v>10396.92</v>
      </c>
      <c r="BL42" s="6">
        <v>2046</v>
      </c>
      <c r="BM42" s="6">
        <v>12429</v>
      </c>
      <c r="BN42" s="6">
        <v>24871.919999999998</v>
      </c>
      <c r="BO42" s="3">
        <v>152.97107975684659</v>
      </c>
      <c r="BP42" s="7">
        <v>349480.22</v>
      </c>
      <c r="BQ42" s="2">
        <v>76.257310593720632</v>
      </c>
      <c r="BR42" s="2">
        <v>330.44834590612282</v>
      </c>
    </row>
    <row r="43" spans="1:70" x14ac:dyDescent="0.3">
      <c r="A43">
        <v>2016</v>
      </c>
      <c r="B43" s="1">
        <v>184280</v>
      </c>
      <c r="C43" s="2">
        <v>63153922.936300643</v>
      </c>
      <c r="D43" s="3">
        <v>342.70633240883791</v>
      </c>
      <c r="E43" s="1">
        <v>110568</v>
      </c>
      <c r="F43" s="4">
        <v>0.87027327726875159</v>
      </c>
      <c r="G43" s="4">
        <v>0.67325704499235806</v>
      </c>
      <c r="H43" s="4">
        <v>1</v>
      </c>
      <c r="I43" s="4">
        <v>0.83678172141131857</v>
      </c>
      <c r="J43" s="5">
        <v>10.098855674885369</v>
      </c>
      <c r="K43">
        <v>22701</v>
      </c>
      <c r="L43">
        <v>57549</v>
      </c>
      <c r="M43">
        <v>11885</v>
      </c>
      <c r="N43">
        <v>92135</v>
      </c>
      <c r="O43" s="6">
        <v>170257.5</v>
      </c>
      <c r="P43" s="6">
        <v>143872.5</v>
      </c>
      <c r="Q43" s="6">
        <v>14262</v>
      </c>
      <c r="R43" s="6">
        <v>328392</v>
      </c>
      <c r="S43" s="2">
        <v>75.674999999999997</v>
      </c>
      <c r="T43" s="2">
        <v>25.57844444444444</v>
      </c>
      <c r="U43" s="2">
        <v>1.5846666666666669</v>
      </c>
      <c r="V43" s="2">
        <v>102.8381111111111</v>
      </c>
      <c r="W43">
        <v>342</v>
      </c>
      <c r="X43">
        <v>7</v>
      </c>
      <c r="Y43">
        <v>7</v>
      </c>
      <c r="Z43">
        <v>356</v>
      </c>
      <c r="AA43" s="2">
        <v>41328912.975824483</v>
      </c>
      <c r="AB43" s="6">
        <v>8379</v>
      </c>
      <c r="AC43" s="6">
        <v>1680</v>
      </c>
      <c r="AD43" s="6">
        <v>11400</v>
      </c>
      <c r="AE43" s="6">
        <v>21459</v>
      </c>
      <c r="AF43" s="3">
        <v>36.309353094556307</v>
      </c>
      <c r="AG43">
        <v>342</v>
      </c>
      <c r="AH43">
        <v>7</v>
      </c>
      <c r="AI43">
        <v>4</v>
      </c>
      <c r="AJ43">
        <v>353</v>
      </c>
      <c r="AK43" s="2">
        <v>21757542.208042331</v>
      </c>
      <c r="AL43" s="6">
        <v>2694.96</v>
      </c>
      <c r="AM43" s="6">
        <v>675.5</v>
      </c>
      <c r="AN43" s="6">
        <v>4608</v>
      </c>
      <c r="AO43" s="6">
        <v>7978.46</v>
      </c>
      <c r="AP43" s="3">
        <v>0.92735451424908721</v>
      </c>
      <c r="AQ43">
        <v>0</v>
      </c>
      <c r="AR43">
        <v>0</v>
      </c>
      <c r="AS43">
        <v>0</v>
      </c>
      <c r="AT43">
        <v>0</v>
      </c>
      <c r="AU43" s="2">
        <v>0</v>
      </c>
      <c r="AV43" s="6">
        <v>0</v>
      </c>
      <c r="AW43" s="6">
        <v>0</v>
      </c>
      <c r="AX43" s="6">
        <v>0</v>
      </c>
      <c r="AY43" s="6">
        <v>0</v>
      </c>
      <c r="AZ43" s="3">
        <v>0</v>
      </c>
      <c r="BA43">
        <v>4</v>
      </c>
      <c r="BB43">
        <v>0</v>
      </c>
      <c r="BC43">
        <v>0</v>
      </c>
      <c r="BD43">
        <v>4</v>
      </c>
      <c r="BE43" s="2">
        <v>67467.752433826376</v>
      </c>
      <c r="BF43" s="6">
        <v>22.2</v>
      </c>
      <c r="BG43" s="6">
        <v>0</v>
      </c>
      <c r="BH43" s="6">
        <v>0</v>
      </c>
      <c r="BI43" s="6">
        <v>22.2</v>
      </c>
      <c r="BJ43" s="3">
        <v>121.9248628112495</v>
      </c>
      <c r="BK43" s="6">
        <v>11096.16</v>
      </c>
      <c r="BL43" s="6">
        <v>2355.5</v>
      </c>
      <c r="BM43" s="6">
        <v>16008</v>
      </c>
      <c r="BN43" s="6">
        <v>29459.66</v>
      </c>
      <c r="BO43" s="3">
        <v>159.16157042005489</v>
      </c>
      <c r="BP43" s="7">
        <v>357851.66</v>
      </c>
      <c r="BQ43" s="2">
        <v>78.599904459349801</v>
      </c>
      <c r="BR43" s="2">
        <v>340.59958599051578</v>
      </c>
    </row>
    <row r="44" spans="1:70" x14ac:dyDescent="0.3">
      <c r="A44">
        <v>2017</v>
      </c>
      <c r="B44" s="1">
        <v>185109</v>
      </c>
      <c r="C44" s="2">
        <v>65999623.653386533</v>
      </c>
      <c r="D44" s="3">
        <v>356.54465019737842</v>
      </c>
      <c r="E44" s="1">
        <v>111065</v>
      </c>
      <c r="F44" s="4">
        <v>0.87535275984244576</v>
      </c>
      <c r="G44" s="4">
        <v>0.67618700014860844</v>
      </c>
      <c r="H44" s="4">
        <v>1</v>
      </c>
      <c r="I44" s="4">
        <v>0.83962102932955307</v>
      </c>
      <c r="J44" s="5">
        <v>10.14280500222913</v>
      </c>
      <c r="K44">
        <v>23155</v>
      </c>
      <c r="L44">
        <v>57853</v>
      </c>
      <c r="M44">
        <v>11542</v>
      </c>
      <c r="N44">
        <v>92550</v>
      </c>
      <c r="O44" s="6">
        <v>173662.5</v>
      </c>
      <c r="P44" s="6">
        <v>144632.5</v>
      </c>
      <c r="Q44" s="6">
        <v>13850.4</v>
      </c>
      <c r="R44" s="6">
        <v>332145.40000000002</v>
      </c>
      <c r="S44" s="2">
        <v>77.185000000000002</v>
      </c>
      <c r="T44" s="2">
        <v>25.713333333333331</v>
      </c>
      <c r="U44" s="2">
        <v>1.539066666666667</v>
      </c>
      <c r="V44" s="2">
        <v>104.4374</v>
      </c>
      <c r="W44">
        <v>360</v>
      </c>
      <c r="X44">
        <v>7</v>
      </c>
      <c r="Y44">
        <v>7</v>
      </c>
      <c r="Z44">
        <v>374</v>
      </c>
      <c r="AA44" s="2">
        <v>43490405.093945853</v>
      </c>
      <c r="AB44" s="6">
        <v>8676</v>
      </c>
      <c r="AC44" s="6">
        <v>1729</v>
      </c>
      <c r="AD44" s="6">
        <v>11640</v>
      </c>
      <c r="AE44" s="6">
        <v>22045</v>
      </c>
      <c r="AF44" s="3">
        <v>37.805414664677677</v>
      </c>
      <c r="AG44">
        <v>360</v>
      </c>
      <c r="AH44">
        <v>7</v>
      </c>
      <c r="AI44">
        <v>4</v>
      </c>
      <c r="AJ44">
        <v>371</v>
      </c>
      <c r="AK44" s="2">
        <v>22444321.307207059</v>
      </c>
      <c r="AL44" s="6">
        <v>2793.6</v>
      </c>
      <c r="AM44" s="6">
        <v>686</v>
      </c>
      <c r="AN44" s="6">
        <v>4632</v>
      </c>
      <c r="AO44" s="6">
        <v>8111.6</v>
      </c>
      <c r="AP44" s="3">
        <v>0.96758244837336915</v>
      </c>
      <c r="AQ44">
        <v>0</v>
      </c>
      <c r="AR44">
        <v>0</v>
      </c>
      <c r="AS44">
        <v>0</v>
      </c>
      <c r="AT44">
        <v>0</v>
      </c>
      <c r="AU44" s="2">
        <v>0</v>
      </c>
      <c r="AV44" s="6">
        <v>0</v>
      </c>
      <c r="AW44" s="6">
        <v>0</v>
      </c>
      <c r="AX44" s="6">
        <v>0</v>
      </c>
      <c r="AY44" s="6">
        <v>0</v>
      </c>
      <c r="AZ44" s="3">
        <v>0</v>
      </c>
      <c r="BA44">
        <v>3</v>
      </c>
      <c r="BB44">
        <v>0</v>
      </c>
      <c r="BC44">
        <v>0</v>
      </c>
      <c r="BD44">
        <v>3</v>
      </c>
      <c r="BE44" s="2">
        <v>64897.252233621773</v>
      </c>
      <c r="BF44" s="6">
        <v>17.46</v>
      </c>
      <c r="BG44" s="6">
        <v>0</v>
      </c>
      <c r="BH44" s="6">
        <v>0</v>
      </c>
      <c r="BI44" s="6">
        <v>17.46</v>
      </c>
      <c r="BJ44" s="3">
        <v>126.74451891806321</v>
      </c>
      <c r="BK44" s="6">
        <v>11487.06</v>
      </c>
      <c r="BL44" s="6">
        <v>2415</v>
      </c>
      <c r="BM44" s="6">
        <v>16272</v>
      </c>
      <c r="BN44" s="6">
        <v>30174.06</v>
      </c>
      <c r="BO44" s="3">
        <v>165.51751603111421</v>
      </c>
      <c r="BP44" s="7">
        <v>362319.46</v>
      </c>
      <c r="BQ44" s="2">
        <v>80.986474809334268</v>
      </c>
      <c r="BR44" s="2">
        <v>350.94139084044849</v>
      </c>
    </row>
    <row r="45" spans="1:70" x14ac:dyDescent="0.3">
      <c r="A45">
        <v>2018</v>
      </c>
      <c r="B45" s="1">
        <v>185941</v>
      </c>
      <c r="C45" s="2">
        <v>68945324.627779499</v>
      </c>
      <c r="D45" s="3">
        <v>370.79140494984699</v>
      </c>
      <c r="E45" s="1">
        <v>111564</v>
      </c>
      <c r="F45" s="4">
        <v>0.88034493919039769</v>
      </c>
      <c r="G45" s="4">
        <v>0.67897405970570146</v>
      </c>
      <c r="H45" s="4">
        <v>1</v>
      </c>
      <c r="I45" s="4">
        <v>0.84236830577376642</v>
      </c>
      <c r="J45" s="5">
        <v>10.18461089558552</v>
      </c>
      <c r="K45">
        <v>23603</v>
      </c>
      <c r="L45">
        <v>58158</v>
      </c>
      <c r="M45">
        <v>11207</v>
      </c>
      <c r="N45">
        <v>92968</v>
      </c>
      <c r="O45" s="6">
        <v>177022.5</v>
      </c>
      <c r="P45" s="6">
        <v>145395</v>
      </c>
      <c r="Q45" s="6">
        <v>13448.4</v>
      </c>
      <c r="R45" s="6">
        <v>335865.9</v>
      </c>
      <c r="S45" s="2">
        <v>78.676666666666662</v>
      </c>
      <c r="T45" s="2">
        <v>25.848222222222219</v>
      </c>
      <c r="U45" s="2">
        <v>1.4944</v>
      </c>
      <c r="V45" s="2">
        <v>106.01928888888889</v>
      </c>
      <c r="W45">
        <v>378</v>
      </c>
      <c r="X45">
        <v>8</v>
      </c>
      <c r="Y45">
        <v>8</v>
      </c>
      <c r="Z45">
        <v>394</v>
      </c>
      <c r="AA45" s="2">
        <v>45741468.999410518</v>
      </c>
      <c r="AB45" s="6">
        <v>9185.4</v>
      </c>
      <c r="AC45" s="6">
        <v>1984</v>
      </c>
      <c r="AD45" s="6">
        <v>11400</v>
      </c>
      <c r="AE45" s="6">
        <v>22569.4</v>
      </c>
      <c r="AF45" s="3">
        <v>39.343019214080392</v>
      </c>
      <c r="AG45">
        <v>378</v>
      </c>
      <c r="AH45">
        <v>8</v>
      </c>
      <c r="AI45">
        <v>4</v>
      </c>
      <c r="AJ45">
        <v>390</v>
      </c>
      <c r="AK45" s="2">
        <v>23141674.7308731</v>
      </c>
      <c r="AL45" s="6">
        <v>2963.52</v>
      </c>
      <c r="AM45" s="6">
        <v>772</v>
      </c>
      <c r="AN45" s="6">
        <v>4704</v>
      </c>
      <c r="AO45" s="6">
        <v>8439.52</v>
      </c>
      <c r="AP45" s="3">
        <v>1.009035149538527</v>
      </c>
      <c r="AQ45">
        <v>0</v>
      </c>
      <c r="AR45">
        <v>0</v>
      </c>
      <c r="AS45">
        <v>0</v>
      </c>
      <c r="AT45">
        <v>0</v>
      </c>
      <c r="AU45" s="2">
        <v>0</v>
      </c>
      <c r="AV45" s="6">
        <v>0</v>
      </c>
      <c r="AW45" s="6">
        <v>0</v>
      </c>
      <c r="AX45" s="6">
        <v>0</v>
      </c>
      <c r="AY45" s="6">
        <v>0</v>
      </c>
      <c r="AZ45" s="3">
        <v>0</v>
      </c>
      <c r="BA45">
        <v>3</v>
      </c>
      <c r="BB45">
        <v>0</v>
      </c>
      <c r="BC45">
        <v>0</v>
      </c>
      <c r="BD45">
        <v>3</v>
      </c>
      <c r="BE45" s="2">
        <v>62180.897495881487</v>
      </c>
      <c r="BF45" s="6">
        <v>17.594999999999999</v>
      </c>
      <c r="BG45" s="6">
        <v>0</v>
      </c>
      <c r="BH45" s="6">
        <v>0</v>
      </c>
      <c r="BI45" s="6">
        <v>17.594999999999999</v>
      </c>
      <c r="BJ45" s="3">
        <v>131.69011068034649</v>
      </c>
      <c r="BK45" s="6">
        <v>12166.514999999999</v>
      </c>
      <c r="BL45" s="6">
        <v>2756</v>
      </c>
      <c r="BM45" s="6">
        <v>16104</v>
      </c>
      <c r="BN45" s="6">
        <v>31026.514999999999</v>
      </c>
      <c r="BO45" s="3">
        <v>172.04216504396541</v>
      </c>
      <c r="BP45" s="7">
        <v>366892.41499999998</v>
      </c>
      <c r="BQ45" s="2">
        <v>83.418436179856286</v>
      </c>
      <c r="BR45" s="2">
        <v>361.47989011271062</v>
      </c>
    </row>
    <row r="46" spans="1:70" x14ac:dyDescent="0.3">
      <c r="A46">
        <v>2019</v>
      </c>
      <c r="B46" s="1">
        <v>186777</v>
      </c>
      <c r="C46" s="2">
        <v>71994930.034987211</v>
      </c>
      <c r="D46" s="3">
        <v>385.45929121351782</v>
      </c>
      <c r="E46" s="1">
        <v>112066</v>
      </c>
      <c r="F46" s="4">
        <v>0.88525264957286953</v>
      </c>
      <c r="G46" s="4">
        <v>0.68162519276424416</v>
      </c>
      <c r="H46" s="4">
        <v>1</v>
      </c>
      <c r="I46" s="4">
        <v>0.84502772123388792</v>
      </c>
      <c r="J46" s="5">
        <v>10.224377891463661</v>
      </c>
      <c r="K46">
        <v>24045</v>
      </c>
      <c r="L46">
        <v>58462</v>
      </c>
      <c r="M46">
        <v>10879</v>
      </c>
      <c r="N46">
        <v>93386</v>
      </c>
      <c r="O46" s="6">
        <v>180337.5</v>
      </c>
      <c r="P46" s="6">
        <v>146155</v>
      </c>
      <c r="Q46" s="6">
        <v>13054.8</v>
      </c>
      <c r="R46" s="6">
        <v>339547.3</v>
      </c>
      <c r="S46" s="2">
        <v>80.151666666666671</v>
      </c>
      <c r="T46" s="2">
        <v>25.983333333333331</v>
      </c>
      <c r="U46" s="2">
        <v>1.450666666666667</v>
      </c>
      <c r="V46" s="2">
        <v>107.5856666666667</v>
      </c>
      <c r="W46">
        <v>397</v>
      </c>
      <c r="X46">
        <v>8</v>
      </c>
      <c r="Y46">
        <v>8</v>
      </c>
      <c r="Z46">
        <v>413</v>
      </c>
      <c r="AA46" s="2">
        <v>48085690.926187418</v>
      </c>
      <c r="AB46" s="6">
        <v>9567.7000000000007</v>
      </c>
      <c r="AC46" s="6">
        <v>1960</v>
      </c>
      <c r="AD46" s="6">
        <v>11520</v>
      </c>
      <c r="AE46" s="6">
        <v>23047.7</v>
      </c>
      <c r="AF46" s="3">
        <v>40.922956882334198</v>
      </c>
      <c r="AG46">
        <v>397</v>
      </c>
      <c r="AH46">
        <v>8</v>
      </c>
      <c r="AI46">
        <v>4</v>
      </c>
      <c r="AJ46">
        <v>409</v>
      </c>
      <c r="AK46" s="2">
        <v>23849922.85531703</v>
      </c>
      <c r="AL46" s="6">
        <v>3033.08</v>
      </c>
      <c r="AM46" s="6">
        <v>760</v>
      </c>
      <c r="AN46" s="6">
        <v>4704</v>
      </c>
      <c r="AO46" s="6">
        <v>8497.08</v>
      </c>
      <c r="AP46" s="3">
        <v>1.051736665813457</v>
      </c>
      <c r="AQ46">
        <v>0</v>
      </c>
      <c r="AR46">
        <v>0</v>
      </c>
      <c r="AS46">
        <v>0</v>
      </c>
      <c r="AT46">
        <v>0</v>
      </c>
      <c r="AU46" s="2">
        <v>0</v>
      </c>
      <c r="AV46" s="6">
        <v>0</v>
      </c>
      <c r="AW46" s="6">
        <v>0</v>
      </c>
      <c r="AX46" s="6">
        <v>0</v>
      </c>
      <c r="AY46" s="6">
        <v>0</v>
      </c>
      <c r="AZ46" s="3">
        <v>0</v>
      </c>
      <c r="BA46">
        <v>3</v>
      </c>
      <c r="BB46">
        <v>0</v>
      </c>
      <c r="BC46">
        <v>0</v>
      </c>
      <c r="BD46">
        <v>3</v>
      </c>
      <c r="BE46" s="2">
        <v>59316.253482766013</v>
      </c>
      <c r="BF46" s="6">
        <v>16.649999999999999</v>
      </c>
      <c r="BG46" s="6">
        <v>0</v>
      </c>
      <c r="BH46" s="6">
        <v>0</v>
      </c>
      <c r="BI46" s="6">
        <v>16.649999999999999</v>
      </c>
      <c r="BJ46" s="3">
        <v>136.76424230258331</v>
      </c>
      <c r="BK46" s="6">
        <v>12617.43</v>
      </c>
      <c r="BL46" s="6">
        <v>2720</v>
      </c>
      <c r="BM46" s="6">
        <v>16224</v>
      </c>
      <c r="BN46" s="6">
        <v>31561.43</v>
      </c>
      <c r="BO46" s="3">
        <v>178.738935850731</v>
      </c>
      <c r="BP46" s="7">
        <v>371108.73</v>
      </c>
      <c r="BQ46" s="2">
        <v>85.897380755219288</v>
      </c>
      <c r="BR46" s="2">
        <v>372.22198327261691</v>
      </c>
    </row>
    <row r="47" spans="1:70" x14ac:dyDescent="0.3">
      <c r="A47">
        <v>2020</v>
      </c>
      <c r="B47" s="1">
        <v>187617</v>
      </c>
      <c r="C47" s="2">
        <v>75151687.737409085</v>
      </c>
      <c r="D47" s="3">
        <v>400.55905241747331</v>
      </c>
      <c r="E47" s="1">
        <v>112570</v>
      </c>
      <c r="F47" s="4">
        <v>0.89007790116066177</v>
      </c>
      <c r="G47" s="4">
        <v>0.68414702853779663</v>
      </c>
      <c r="H47" s="4">
        <v>1</v>
      </c>
      <c r="I47" s="4">
        <v>0.84760300520370202</v>
      </c>
      <c r="J47" s="5">
        <v>10.262205428066951</v>
      </c>
      <c r="K47">
        <v>24482</v>
      </c>
      <c r="L47">
        <v>58766</v>
      </c>
      <c r="M47">
        <v>10558</v>
      </c>
      <c r="N47">
        <v>93806</v>
      </c>
      <c r="O47" s="6">
        <v>183615</v>
      </c>
      <c r="P47" s="6">
        <v>146915</v>
      </c>
      <c r="Q47" s="6">
        <v>12669.6</v>
      </c>
      <c r="R47" s="6">
        <v>343199.6</v>
      </c>
      <c r="S47" s="2">
        <v>81.608333333333334</v>
      </c>
      <c r="T47" s="2">
        <v>26.118444444444449</v>
      </c>
      <c r="U47" s="2">
        <v>1.4077999999999999</v>
      </c>
      <c r="V47" s="2">
        <v>109.13457777777781</v>
      </c>
      <c r="W47">
        <v>417</v>
      </c>
      <c r="X47">
        <v>8</v>
      </c>
      <c r="Y47">
        <v>8</v>
      </c>
      <c r="Z47">
        <v>433</v>
      </c>
      <c r="AA47" s="2">
        <v>50526307.440683588</v>
      </c>
      <c r="AB47" s="6">
        <v>10049.700000000001</v>
      </c>
      <c r="AC47" s="6">
        <v>1968</v>
      </c>
      <c r="AD47" s="6">
        <v>14850</v>
      </c>
      <c r="AE47" s="6">
        <v>26867.7</v>
      </c>
      <c r="AF47" s="3">
        <v>42.546036811053909</v>
      </c>
      <c r="AG47">
        <v>417</v>
      </c>
      <c r="AH47">
        <v>8</v>
      </c>
      <c r="AI47">
        <v>5</v>
      </c>
      <c r="AJ47">
        <v>430</v>
      </c>
      <c r="AK47" s="2">
        <v>24569080.97650471</v>
      </c>
      <c r="AL47" s="6">
        <v>3219.24</v>
      </c>
      <c r="AM47" s="6">
        <v>764</v>
      </c>
      <c r="AN47" s="6">
        <v>5700</v>
      </c>
      <c r="AO47" s="6">
        <v>9683.24</v>
      </c>
      <c r="AP47" s="3">
        <v>1.095711553647567</v>
      </c>
      <c r="AQ47">
        <v>0</v>
      </c>
      <c r="AR47">
        <v>0</v>
      </c>
      <c r="AS47">
        <v>0</v>
      </c>
      <c r="AT47">
        <v>0</v>
      </c>
      <c r="AU47" s="2">
        <v>0</v>
      </c>
      <c r="AV47" s="6">
        <v>0</v>
      </c>
      <c r="AW47" s="6">
        <v>0</v>
      </c>
      <c r="AX47" s="6">
        <v>0</v>
      </c>
      <c r="AY47" s="6">
        <v>0</v>
      </c>
      <c r="AZ47" s="3">
        <v>0</v>
      </c>
      <c r="BA47">
        <v>3</v>
      </c>
      <c r="BB47">
        <v>0</v>
      </c>
      <c r="BC47">
        <v>0</v>
      </c>
      <c r="BD47">
        <v>3</v>
      </c>
      <c r="BE47" s="2">
        <v>56299.320220803493</v>
      </c>
      <c r="BF47" s="6">
        <v>17.594999999999999</v>
      </c>
      <c r="BG47" s="6">
        <v>0</v>
      </c>
      <c r="BH47" s="6">
        <v>0</v>
      </c>
      <c r="BI47" s="6">
        <v>17.594999999999999</v>
      </c>
      <c r="BJ47" s="3">
        <v>141.96956502445349</v>
      </c>
      <c r="BK47" s="6">
        <v>13286.535</v>
      </c>
      <c r="BL47" s="6">
        <v>2732</v>
      </c>
      <c r="BM47" s="6">
        <v>20550</v>
      </c>
      <c r="BN47" s="6">
        <v>36568.535000000003</v>
      </c>
      <c r="BO47" s="3">
        <v>185.61131338915499</v>
      </c>
      <c r="BP47" s="7">
        <v>379768.13500000001</v>
      </c>
      <c r="BQ47" s="2">
        <v>88.423767350079828</v>
      </c>
      <c r="BR47" s="2">
        <v>383.16965851701258</v>
      </c>
    </row>
    <row r="48" spans="1:70" x14ac:dyDescent="0.3">
      <c r="A48">
        <v>2021</v>
      </c>
      <c r="B48" s="1">
        <v>188461</v>
      </c>
      <c r="C48" s="2">
        <v>78419286.612270758</v>
      </c>
      <c r="D48" s="3">
        <v>416.10352599355178</v>
      </c>
      <c r="E48" s="1">
        <v>113076</v>
      </c>
      <c r="F48" s="4">
        <v>0.89482353986143426</v>
      </c>
      <c r="G48" s="4">
        <v>0.6865458729293582</v>
      </c>
      <c r="H48" s="4">
        <v>1</v>
      </c>
      <c r="I48" s="4">
        <v>0.8500979856092078</v>
      </c>
      <c r="J48" s="5">
        <v>10.29818809394037</v>
      </c>
      <c r="K48">
        <v>24914</v>
      </c>
      <c r="L48">
        <v>59071</v>
      </c>
      <c r="M48">
        <v>10243</v>
      </c>
      <c r="N48">
        <v>94228</v>
      </c>
      <c r="O48" s="6">
        <v>186855</v>
      </c>
      <c r="P48" s="6">
        <v>147677.5</v>
      </c>
      <c r="Q48" s="6">
        <v>12291.6</v>
      </c>
      <c r="R48" s="6">
        <v>346824.1</v>
      </c>
      <c r="S48" s="2">
        <v>83.048333333333332</v>
      </c>
      <c r="T48" s="2">
        <v>26.254000000000001</v>
      </c>
      <c r="U48" s="2">
        <v>1.3657999999999999</v>
      </c>
      <c r="V48" s="2">
        <v>110.6681333333333</v>
      </c>
      <c r="W48">
        <v>438</v>
      </c>
      <c r="X48">
        <v>9</v>
      </c>
      <c r="Y48">
        <v>9</v>
      </c>
      <c r="Z48">
        <v>456</v>
      </c>
      <c r="AA48" s="2">
        <v>53066868.161715597</v>
      </c>
      <c r="AB48" s="6">
        <v>10862.4</v>
      </c>
      <c r="AC48" s="6">
        <v>2169</v>
      </c>
      <c r="AD48" s="6">
        <v>14400</v>
      </c>
      <c r="AE48" s="6">
        <v>27431.4</v>
      </c>
      <c r="AF48" s="3">
        <v>44.213066931895938</v>
      </c>
      <c r="AG48">
        <v>438</v>
      </c>
      <c r="AH48">
        <v>9</v>
      </c>
      <c r="AI48">
        <v>5</v>
      </c>
      <c r="AJ48">
        <v>452</v>
      </c>
      <c r="AK48" s="2">
        <v>25299292.465690371</v>
      </c>
      <c r="AL48" s="6">
        <v>3398.88</v>
      </c>
      <c r="AM48" s="6">
        <v>868.5</v>
      </c>
      <c r="AN48" s="6">
        <v>5760</v>
      </c>
      <c r="AO48" s="6">
        <v>10027.379999999999</v>
      </c>
      <c r="AP48" s="3">
        <v>1.140984509436386</v>
      </c>
      <c r="AQ48">
        <v>0</v>
      </c>
      <c r="AR48">
        <v>0</v>
      </c>
      <c r="AS48">
        <v>0</v>
      </c>
      <c r="AT48">
        <v>0</v>
      </c>
      <c r="AU48" s="2">
        <v>0</v>
      </c>
      <c r="AV48" s="6">
        <v>0</v>
      </c>
      <c r="AW48" s="6">
        <v>0</v>
      </c>
      <c r="AX48" s="6">
        <v>0</v>
      </c>
      <c r="AY48" s="6">
        <v>0</v>
      </c>
      <c r="AZ48" s="3">
        <v>0</v>
      </c>
      <c r="BA48">
        <v>3</v>
      </c>
      <c r="BB48">
        <v>0</v>
      </c>
      <c r="BC48">
        <v>0</v>
      </c>
      <c r="BD48">
        <v>3</v>
      </c>
      <c r="BE48" s="2">
        <v>53125.984864789018</v>
      </c>
      <c r="BF48" s="6">
        <v>16.785</v>
      </c>
      <c r="BG48" s="6">
        <v>0</v>
      </c>
      <c r="BH48" s="6">
        <v>0</v>
      </c>
      <c r="BI48" s="6">
        <v>16.785</v>
      </c>
      <c r="BJ48" s="3">
        <v>147.3086841215696</v>
      </c>
      <c r="BK48" s="6">
        <v>14278.065000000001</v>
      </c>
      <c r="BL48" s="6">
        <v>3037.5</v>
      </c>
      <c r="BM48" s="6">
        <v>20160</v>
      </c>
      <c r="BN48" s="6">
        <v>37475.565000000002</v>
      </c>
      <c r="BO48" s="3">
        <v>192.6627355629019</v>
      </c>
      <c r="BP48" s="7">
        <v>384299.66499999998</v>
      </c>
      <c r="BQ48" s="2">
        <v>90.999260668870576</v>
      </c>
      <c r="BR48" s="2">
        <v>394.33012956510578</v>
      </c>
    </row>
    <row r="49" spans="1:70" x14ac:dyDescent="0.3">
      <c r="A49">
        <v>2022</v>
      </c>
      <c r="B49" s="1">
        <v>189309</v>
      </c>
      <c r="C49" s="2">
        <v>81801966.640806586</v>
      </c>
      <c r="D49" s="3">
        <v>432.1081757381138</v>
      </c>
      <c r="E49" s="1">
        <v>113585</v>
      </c>
      <c r="F49" s="4">
        <v>0.89949328257662564</v>
      </c>
      <c r="G49" s="4">
        <v>0.68882772429941019</v>
      </c>
      <c r="H49" s="4">
        <v>1</v>
      </c>
      <c r="I49" s="4">
        <v>0.85251660668188112</v>
      </c>
      <c r="J49" s="5">
        <v>10.33241586449115</v>
      </c>
      <c r="K49">
        <v>25341</v>
      </c>
      <c r="L49">
        <v>59377</v>
      </c>
      <c r="M49">
        <v>9935</v>
      </c>
      <c r="N49">
        <v>94653</v>
      </c>
      <c r="O49" s="6">
        <v>190057.5</v>
      </c>
      <c r="P49" s="6">
        <v>148442.5</v>
      </c>
      <c r="Q49" s="6">
        <v>11922</v>
      </c>
      <c r="R49" s="6">
        <v>350422</v>
      </c>
      <c r="S49" s="2">
        <v>84.471666666666664</v>
      </c>
      <c r="T49" s="2">
        <v>26.38977777777778</v>
      </c>
      <c r="U49" s="2">
        <v>1.3246666666666671</v>
      </c>
      <c r="V49" s="2">
        <v>112.1861111111111</v>
      </c>
      <c r="W49">
        <v>460</v>
      </c>
      <c r="X49">
        <v>9</v>
      </c>
      <c r="Y49">
        <v>9</v>
      </c>
      <c r="Z49">
        <v>478</v>
      </c>
      <c r="AA49" s="2">
        <v>55711319.110844523</v>
      </c>
      <c r="AB49" s="6">
        <v>11316</v>
      </c>
      <c r="AC49" s="6">
        <v>2232</v>
      </c>
      <c r="AD49" s="6">
        <v>14850</v>
      </c>
      <c r="AE49" s="6">
        <v>28398</v>
      </c>
      <c r="AF49" s="3">
        <v>45.924894705782769</v>
      </c>
      <c r="AG49">
        <v>460</v>
      </c>
      <c r="AH49">
        <v>9</v>
      </c>
      <c r="AI49">
        <v>5</v>
      </c>
      <c r="AJ49">
        <v>474</v>
      </c>
      <c r="AK49" s="2">
        <v>26040855.745856561</v>
      </c>
      <c r="AL49" s="6">
        <v>3606.4</v>
      </c>
      <c r="AM49" s="6">
        <v>859.5</v>
      </c>
      <c r="AN49" s="6">
        <v>5730</v>
      </c>
      <c r="AO49" s="6">
        <v>10195.9</v>
      </c>
      <c r="AP49" s="3">
        <v>1.1875811184088609</v>
      </c>
      <c r="AQ49">
        <v>0</v>
      </c>
      <c r="AR49">
        <v>0</v>
      </c>
      <c r="AS49">
        <v>0</v>
      </c>
      <c r="AT49">
        <v>0</v>
      </c>
      <c r="AU49" s="2">
        <v>0</v>
      </c>
      <c r="AV49" s="6">
        <v>0</v>
      </c>
      <c r="AW49" s="6">
        <v>0</v>
      </c>
      <c r="AX49" s="6">
        <v>0</v>
      </c>
      <c r="AY49" s="6">
        <v>0</v>
      </c>
      <c r="AZ49" s="3">
        <v>0</v>
      </c>
      <c r="BA49">
        <v>3</v>
      </c>
      <c r="BB49">
        <v>0</v>
      </c>
      <c r="BC49">
        <v>0</v>
      </c>
      <c r="BD49">
        <v>3</v>
      </c>
      <c r="BE49" s="2">
        <v>49791.784105501261</v>
      </c>
      <c r="BF49" s="6">
        <v>17.46</v>
      </c>
      <c r="BG49" s="6">
        <v>0</v>
      </c>
      <c r="BH49" s="6">
        <v>0</v>
      </c>
      <c r="BI49" s="6">
        <v>17.46</v>
      </c>
      <c r="BJ49" s="3">
        <v>152.78435177330431</v>
      </c>
      <c r="BK49" s="6">
        <v>14939.86</v>
      </c>
      <c r="BL49" s="6">
        <v>3091.5</v>
      </c>
      <c r="BM49" s="6">
        <v>20580</v>
      </c>
      <c r="BN49" s="6">
        <v>38611.360000000001</v>
      </c>
      <c r="BO49" s="3">
        <v>199.8968275974959</v>
      </c>
      <c r="BP49" s="7">
        <v>389033.36</v>
      </c>
      <c r="BQ49" s="2">
        <v>93.624881612582101</v>
      </c>
      <c r="BR49" s="2">
        <v>405.7078203211891</v>
      </c>
    </row>
    <row r="50" spans="1:70" x14ac:dyDescent="0.3">
      <c r="A50">
        <v>2023</v>
      </c>
      <c r="B50" s="1">
        <v>190160</v>
      </c>
      <c r="C50" s="2">
        <v>85303254.883306384</v>
      </c>
      <c r="D50" s="3">
        <v>448.58674212929321</v>
      </c>
      <c r="E50" s="1">
        <v>114096</v>
      </c>
      <c r="F50" s="4">
        <v>0.90409018632732918</v>
      </c>
      <c r="G50" s="4">
        <v>0.69099828846494082</v>
      </c>
      <c r="H50" s="4">
        <v>1</v>
      </c>
      <c r="I50" s="4">
        <v>0.85486245242166303</v>
      </c>
      <c r="J50" s="5">
        <v>10.36497432697411</v>
      </c>
      <c r="K50">
        <v>25764</v>
      </c>
      <c r="L50">
        <v>59683</v>
      </c>
      <c r="M50">
        <v>9632</v>
      </c>
      <c r="N50">
        <v>95079</v>
      </c>
      <c r="O50" s="6">
        <v>193230</v>
      </c>
      <c r="P50" s="6">
        <v>149207.5</v>
      </c>
      <c r="Q50" s="6">
        <v>11558.4</v>
      </c>
      <c r="R50" s="6">
        <v>353995.9</v>
      </c>
      <c r="S50" s="2">
        <v>85.88</v>
      </c>
      <c r="T50" s="2">
        <v>26.52577777777778</v>
      </c>
      <c r="U50" s="2">
        <v>1.2842666666666669</v>
      </c>
      <c r="V50" s="2">
        <v>113.6900444444444</v>
      </c>
      <c r="W50">
        <v>482</v>
      </c>
      <c r="X50">
        <v>10</v>
      </c>
      <c r="Y50">
        <v>10</v>
      </c>
      <c r="Z50">
        <v>502</v>
      </c>
      <c r="AA50" s="2">
        <v>58463214.001069129</v>
      </c>
      <c r="AB50" s="6">
        <v>11664.4</v>
      </c>
      <c r="AC50" s="6">
        <v>2450</v>
      </c>
      <c r="AD50" s="6">
        <v>14325</v>
      </c>
      <c r="AE50" s="6">
        <v>28439.4</v>
      </c>
      <c r="AF50" s="3">
        <v>47.68238737318589</v>
      </c>
      <c r="AG50">
        <v>482</v>
      </c>
      <c r="AH50">
        <v>10</v>
      </c>
      <c r="AI50">
        <v>5</v>
      </c>
      <c r="AJ50">
        <v>497</v>
      </c>
      <c r="AK50" s="2">
        <v>26793750.39218818</v>
      </c>
      <c r="AL50" s="6">
        <v>3663.2</v>
      </c>
      <c r="AM50" s="6">
        <v>960</v>
      </c>
      <c r="AN50" s="6">
        <v>5910</v>
      </c>
      <c r="AO50" s="6">
        <v>10533.2</v>
      </c>
      <c r="AP50" s="3">
        <v>1.2355275061482629</v>
      </c>
      <c r="AQ50">
        <v>0</v>
      </c>
      <c r="AR50">
        <v>0</v>
      </c>
      <c r="AS50">
        <v>0</v>
      </c>
      <c r="AT50">
        <v>0</v>
      </c>
      <c r="AU50" s="2">
        <v>0</v>
      </c>
      <c r="AV50" s="6">
        <v>0</v>
      </c>
      <c r="AW50" s="6">
        <v>0</v>
      </c>
      <c r="AX50" s="6">
        <v>0</v>
      </c>
      <c r="AY50" s="6">
        <v>0</v>
      </c>
      <c r="AZ50" s="3">
        <v>0</v>
      </c>
      <c r="BA50">
        <v>3</v>
      </c>
      <c r="BB50">
        <v>0</v>
      </c>
      <c r="BC50">
        <v>0</v>
      </c>
      <c r="BD50">
        <v>3</v>
      </c>
      <c r="BE50" s="2">
        <v>46290.490049085798</v>
      </c>
      <c r="BF50" s="6">
        <v>17.190000000000001</v>
      </c>
      <c r="BG50" s="6">
        <v>0</v>
      </c>
      <c r="BH50" s="6">
        <v>0</v>
      </c>
      <c r="BI50" s="6">
        <v>17.190000000000001</v>
      </c>
      <c r="BJ50" s="3">
        <v>158.39937191889089</v>
      </c>
      <c r="BK50" s="6">
        <v>15344.79</v>
      </c>
      <c r="BL50" s="6">
        <v>3410</v>
      </c>
      <c r="BM50" s="6">
        <v>20235</v>
      </c>
      <c r="BN50" s="6">
        <v>38989.79</v>
      </c>
      <c r="BO50" s="3">
        <v>207.3172867982251</v>
      </c>
      <c r="BP50" s="7">
        <v>392985.69</v>
      </c>
      <c r="BQ50" s="2">
        <v>96.302199372800857</v>
      </c>
      <c r="BR50" s="2">
        <v>417.30953061547041</v>
      </c>
    </row>
    <row r="51" spans="1:70" x14ac:dyDescent="0.3">
      <c r="A51">
        <v>2024</v>
      </c>
      <c r="B51" s="1">
        <v>191015</v>
      </c>
      <c r="C51" s="2">
        <v>88927202.931703463</v>
      </c>
      <c r="D51" s="3">
        <v>465.55088831611903</v>
      </c>
      <c r="E51" s="1">
        <v>114609</v>
      </c>
      <c r="F51" s="4">
        <v>0.90861667418596004</v>
      </c>
      <c r="G51" s="4">
        <v>0.69306299296696039</v>
      </c>
      <c r="H51" s="4">
        <v>1</v>
      </c>
      <c r="I51" s="4">
        <v>0.85713876577829551</v>
      </c>
      <c r="J51" s="5">
        <v>10.39594489450441</v>
      </c>
      <c r="K51">
        <v>26182</v>
      </c>
      <c r="L51">
        <v>59990</v>
      </c>
      <c r="M51">
        <v>9334</v>
      </c>
      <c r="N51">
        <v>95506</v>
      </c>
      <c r="O51" s="6">
        <v>196365</v>
      </c>
      <c r="P51" s="6">
        <v>149975</v>
      </c>
      <c r="Q51" s="6">
        <v>11200.8</v>
      </c>
      <c r="R51" s="6">
        <v>357540.8</v>
      </c>
      <c r="S51" s="2">
        <v>87.273333333333326</v>
      </c>
      <c r="T51" s="2">
        <v>26.662222222222219</v>
      </c>
      <c r="U51" s="2">
        <v>1.2445999999999999</v>
      </c>
      <c r="V51" s="2">
        <v>115.1801555555556</v>
      </c>
      <c r="W51">
        <v>506</v>
      </c>
      <c r="X51">
        <v>10</v>
      </c>
      <c r="Y51">
        <v>10</v>
      </c>
      <c r="Z51">
        <v>526</v>
      </c>
      <c r="AA51" s="2">
        <v>61326483.0551131</v>
      </c>
      <c r="AB51" s="6">
        <v>12498.2</v>
      </c>
      <c r="AC51" s="6">
        <v>2450</v>
      </c>
      <c r="AD51" s="6">
        <v>17190</v>
      </c>
      <c r="AE51" s="6">
        <v>32138.2</v>
      </c>
      <c r="AF51" s="3">
        <v>49.486432090721443</v>
      </c>
      <c r="AG51">
        <v>506</v>
      </c>
      <c r="AH51">
        <v>10</v>
      </c>
      <c r="AI51">
        <v>6</v>
      </c>
      <c r="AJ51">
        <v>522</v>
      </c>
      <c r="AK51" s="2">
        <v>27558104.71340913</v>
      </c>
      <c r="AL51" s="6">
        <v>3946.8</v>
      </c>
      <c r="AM51" s="6">
        <v>990</v>
      </c>
      <c r="AN51" s="6">
        <v>6912</v>
      </c>
      <c r="AO51" s="6">
        <v>11848.8</v>
      </c>
      <c r="AP51" s="3">
        <v>1.2848503468883841</v>
      </c>
      <c r="AQ51">
        <v>0</v>
      </c>
      <c r="AR51">
        <v>0</v>
      </c>
      <c r="AS51">
        <v>0</v>
      </c>
      <c r="AT51">
        <v>0</v>
      </c>
      <c r="AU51" s="2">
        <v>0</v>
      </c>
      <c r="AV51" s="6">
        <v>0</v>
      </c>
      <c r="AW51" s="6">
        <v>0</v>
      </c>
      <c r="AX51" s="6">
        <v>0</v>
      </c>
      <c r="AY51" s="6">
        <v>0</v>
      </c>
      <c r="AZ51" s="3">
        <v>0</v>
      </c>
      <c r="BA51">
        <v>2</v>
      </c>
      <c r="BB51">
        <v>0</v>
      </c>
      <c r="BC51">
        <v>0</v>
      </c>
      <c r="BD51">
        <v>2</v>
      </c>
      <c r="BE51" s="2">
        <v>42615.163181226337</v>
      </c>
      <c r="BF51" s="6">
        <v>11.55</v>
      </c>
      <c r="BG51" s="6">
        <v>0</v>
      </c>
      <c r="BH51" s="6">
        <v>0</v>
      </c>
      <c r="BI51" s="6">
        <v>11.55</v>
      </c>
      <c r="BJ51" s="3">
        <v>164.15660120814411</v>
      </c>
      <c r="BK51" s="6">
        <v>16456.55</v>
      </c>
      <c r="BL51" s="6">
        <v>3440</v>
      </c>
      <c r="BM51" s="6">
        <v>24102</v>
      </c>
      <c r="BN51" s="6">
        <v>43998.55</v>
      </c>
      <c r="BO51" s="3">
        <v>214.92788364575389</v>
      </c>
      <c r="BP51" s="7">
        <v>401539.35</v>
      </c>
      <c r="BQ51" s="2">
        <v>99.032411760392833</v>
      </c>
      <c r="BR51" s="2">
        <v>429.1404509617023</v>
      </c>
    </row>
    <row r="52" spans="1:70" x14ac:dyDescent="0.3">
      <c r="A52">
        <v>2025</v>
      </c>
      <c r="B52" s="1">
        <v>191874</v>
      </c>
      <c r="C52" s="2">
        <v>92677977.97188966</v>
      </c>
      <c r="D52" s="3">
        <v>483.01478038655398</v>
      </c>
      <c r="E52" s="1">
        <v>115124</v>
      </c>
      <c r="F52" s="4">
        <v>0.91307604259091624</v>
      </c>
      <c r="G52" s="4">
        <v>0.69502700064218059</v>
      </c>
      <c r="H52" s="4">
        <v>1</v>
      </c>
      <c r="I52" s="4">
        <v>0.85934893180119654</v>
      </c>
      <c r="J52" s="5">
        <v>10.42540500963271</v>
      </c>
      <c r="K52">
        <v>26596</v>
      </c>
      <c r="L52">
        <v>60298</v>
      </c>
      <c r="M52">
        <v>9042</v>
      </c>
      <c r="N52">
        <v>95936</v>
      </c>
      <c r="O52" s="6">
        <v>199470</v>
      </c>
      <c r="P52" s="6">
        <v>150745</v>
      </c>
      <c r="Q52" s="6">
        <v>10850.4</v>
      </c>
      <c r="R52" s="6">
        <v>361065.4</v>
      </c>
      <c r="S52" s="2">
        <v>88.653333333333336</v>
      </c>
      <c r="T52" s="2">
        <v>26.79933333333333</v>
      </c>
      <c r="U52" s="2">
        <v>1.2056</v>
      </c>
      <c r="V52" s="2">
        <v>116.65826666666671</v>
      </c>
      <c r="W52">
        <v>531</v>
      </c>
      <c r="X52">
        <v>11</v>
      </c>
      <c r="Y52">
        <v>11</v>
      </c>
      <c r="Z52">
        <v>553</v>
      </c>
      <c r="AA52" s="2">
        <v>64305179.22662241</v>
      </c>
      <c r="AB52" s="6">
        <v>13168.8</v>
      </c>
      <c r="AC52" s="6">
        <v>2640</v>
      </c>
      <c r="AD52" s="6">
        <v>17730</v>
      </c>
      <c r="AE52" s="6">
        <v>33538.800000000003</v>
      </c>
      <c r="AF52" s="3">
        <v>51.337912780259231</v>
      </c>
      <c r="AG52">
        <v>531</v>
      </c>
      <c r="AH52">
        <v>11</v>
      </c>
      <c r="AI52">
        <v>6</v>
      </c>
      <c r="AJ52">
        <v>548</v>
      </c>
      <c r="AK52" s="2">
        <v>28334041.410817221</v>
      </c>
      <c r="AL52" s="6">
        <v>4120.5600000000004</v>
      </c>
      <c r="AM52" s="6">
        <v>1089</v>
      </c>
      <c r="AN52" s="6">
        <v>6912</v>
      </c>
      <c r="AO52" s="6">
        <v>12121.56</v>
      </c>
      <c r="AP52" s="3">
        <v>1.3355764404628629</v>
      </c>
      <c r="AQ52">
        <v>0</v>
      </c>
      <c r="AR52">
        <v>0</v>
      </c>
      <c r="AS52">
        <v>0</v>
      </c>
      <c r="AT52">
        <v>0</v>
      </c>
      <c r="AU52" s="2">
        <v>0</v>
      </c>
      <c r="AV52" s="6">
        <v>0</v>
      </c>
      <c r="AW52" s="6">
        <v>0</v>
      </c>
      <c r="AX52" s="6">
        <v>0</v>
      </c>
      <c r="AY52" s="6">
        <v>0</v>
      </c>
      <c r="AZ52" s="3">
        <v>0</v>
      </c>
      <c r="BA52">
        <v>2</v>
      </c>
      <c r="BB52">
        <v>0</v>
      </c>
      <c r="BC52">
        <v>0</v>
      </c>
      <c r="BD52">
        <v>2</v>
      </c>
      <c r="BE52" s="2">
        <v>38757.334450027462</v>
      </c>
      <c r="BF52" s="6">
        <v>11.73</v>
      </c>
      <c r="BG52" s="6">
        <v>0</v>
      </c>
      <c r="BH52" s="6">
        <v>0</v>
      </c>
      <c r="BI52" s="6">
        <v>11.73</v>
      </c>
      <c r="BJ52" s="3">
        <v>170.05884208261239</v>
      </c>
      <c r="BK52" s="6">
        <v>17301.09</v>
      </c>
      <c r="BL52" s="6">
        <v>3729</v>
      </c>
      <c r="BM52" s="6">
        <v>24642</v>
      </c>
      <c r="BN52" s="6">
        <v>45672.09</v>
      </c>
      <c r="BO52" s="3">
        <v>222.73233130333449</v>
      </c>
      <c r="BP52" s="7">
        <v>406737.49</v>
      </c>
      <c r="BQ52" s="2">
        <v>101.81717939100039</v>
      </c>
      <c r="BR52" s="2">
        <v>441.20777736100149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52"/>
  <sheetViews>
    <sheetView tabSelected="1" topLeftCell="B1" workbookViewId="0">
      <selection activeCell="R3" sqref="R3"/>
    </sheetView>
  </sheetViews>
  <sheetFormatPr defaultRowHeight="14.4" x14ac:dyDescent="0.3"/>
  <cols>
    <col min="1" max="1" width="5" bestFit="1" customWidth="1"/>
    <col min="2" max="2" width="11.44140625" bestFit="1" customWidth="1"/>
    <col min="3" max="3" width="12.6640625" bestFit="1" customWidth="1"/>
    <col min="4" max="4" width="6.33203125" bestFit="1" customWidth="1"/>
    <col min="5" max="5" width="7.5546875" bestFit="1" customWidth="1"/>
    <col min="6" max="9" width="6.5546875" bestFit="1" customWidth="1"/>
    <col min="10" max="10" width="12.77734375" bestFit="1" customWidth="1"/>
    <col min="11" max="11" width="10.21875" bestFit="1" customWidth="1"/>
    <col min="12" max="12" width="12" bestFit="1" customWidth="1"/>
    <col min="13" max="13" width="11.44140625" bestFit="1" customWidth="1"/>
    <col min="14" max="14" width="6.77734375" bestFit="1" customWidth="1"/>
    <col min="15" max="17" width="13.77734375" bestFit="1" customWidth="1"/>
    <col min="18" max="18" width="14.77734375" bestFit="1" customWidth="1"/>
    <col min="19" max="19" width="8.109375" bestFit="1" customWidth="1"/>
    <col min="20" max="20" width="8.44140625" bestFit="1" customWidth="1"/>
    <col min="21" max="21" width="8.109375" bestFit="1" customWidth="1"/>
    <col min="22" max="22" width="6.6640625" bestFit="1" customWidth="1"/>
    <col min="23" max="23" width="8.109375" bestFit="1" customWidth="1"/>
    <col min="24" max="24" width="8.44140625" bestFit="1" customWidth="1"/>
    <col min="25" max="25" width="8.33203125" bestFit="1" customWidth="1"/>
    <col min="26" max="26" width="6.6640625" bestFit="1" customWidth="1"/>
    <col min="27" max="27" width="11.6640625" bestFit="1" customWidth="1"/>
    <col min="28" max="28" width="12.6640625" bestFit="1" customWidth="1"/>
    <col min="29" max="29" width="8.109375" bestFit="1" customWidth="1"/>
    <col min="30" max="30" width="8" bestFit="1" customWidth="1"/>
    <col min="31" max="31" width="12.6640625" bestFit="1" customWidth="1"/>
    <col min="32" max="32" width="6.5546875" bestFit="1" customWidth="1"/>
    <col min="33" max="33" width="8.21875" bestFit="1" customWidth="1"/>
    <col min="34" max="34" width="8.5546875" bestFit="1" customWidth="1"/>
    <col min="35" max="35" width="8.44140625" bestFit="1" customWidth="1"/>
    <col min="36" max="36" width="6.77734375" bestFit="1" customWidth="1"/>
    <col min="37" max="38" width="12.6640625" bestFit="1" customWidth="1"/>
    <col min="39" max="39" width="8.21875" bestFit="1" customWidth="1"/>
    <col min="40" max="40" width="8.109375" bestFit="1" customWidth="1"/>
    <col min="41" max="41" width="12.6640625" bestFit="1" customWidth="1"/>
    <col min="42" max="42" width="6.6640625" bestFit="1" customWidth="1"/>
    <col min="43" max="43" width="8.33203125" bestFit="1" customWidth="1"/>
    <col min="44" max="44" width="8.6640625" bestFit="1" customWidth="1"/>
    <col min="45" max="45" width="8.5546875" bestFit="1" customWidth="1"/>
    <col min="46" max="46" width="6.88671875" bestFit="1" customWidth="1"/>
    <col min="47" max="47" width="7.21875" bestFit="1" customWidth="1"/>
    <col min="48" max="48" width="8" bestFit="1" customWidth="1"/>
    <col min="49" max="49" width="8.33203125" bestFit="1" customWidth="1"/>
    <col min="50" max="50" width="8.21875" bestFit="1" customWidth="1"/>
    <col min="51" max="51" width="6.5546875" bestFit="1" customWidth="1"/>
    <col min="52" max="52" width="6.77734375" bestFit="1" customWidth="1"/>
    <col min="53" max="53" width="8.6640625" bestFit="1" customWidth="1"/>
    <col min="54" max="54" width="9" bestFit="1" customWidth="1"/>
    <col min="56" max="56" width="7.21875" bestFit="1" customWidth="1"/>
    <col min="57" max="57" width="11.6640625" bestFit="1" customWidth="1"/>
    <col min="58" max="58" width="12.6640625" bestFit="1" customWidth="1"/>
    <col min="59" max="59" width="11.109375" bestFit="1" customWidth="1"/>
    <col min="60" max="61" width="12.6640625" bestFit="1" customWidth="1"/>
    <col min="62" max="62" width="7.109375" bestFit="1" customWidth="1"/>
    <col min="63" max="63" width="12.6640625" bestFit="1" customWidth="1"/>
    <col min="64" max="64" width="11.109375" bestFit="1" customWidth="1"/>
    <col min="65" max="66" width="12.6640625" bestFit="1" customWidth="1"/>
    <col min="67" max="67" width="7" bestFit="1" customWidth="1"/>
    <col min="68" max="68" width="13.6640625" bestFit="1" customWidth="1"/>
    <col min="69" max="69" width="7" bestFit="1" customWidth="1"/>
    <col min="70" max="70" width="8.664062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2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spans="1:70" x14ac:dyDescent="0.3">
      <c r="A2">
        <v>1975</v>
      </c>
      <c r="B2" s="1">
        <v>80000</v>
      </c>
      <c r="C2" s="2">
        <v>705694.34812590992</v>
      </c>
      <c r="D2" s="3">
        <v>8.8211793515738748</v>
      </c>
      <c r="E2" s="1">
        <v>48000</v>
      </c>
      <c r="F2" s="4">
        <v>0.32887182762006167</v>
      </c>
      <c r="G2" s="4">
        <v>0.1333333333333333</v>
      </c>
      <c r="H2" s="4">
        <v>4.1429160332368542E-2</v>
      </c>
      <c r="I2" s="4">
        <v>0.12201798437513919</v>
      </c>
      <c r="J2" s="5">
        <v>2</v>
      </c>
      <c r="K2">
        <v>32</v>
      </c>
      <c r="L2">
        <v>5524</v>
      </c>
      <c r="M2">
        <v>12113</v>
      </c>
      <c r="N2">
        <v>17669</v>
      </c>
      <c r="O2" s="6">
        <v>240</v>
      </c>
      <c r="P2" s="6">
        <v>13810</v>
      </c>
      <c r="Q2" s="6">
        <v>14535.6</v>
      </c>
      <c r="R2" s="6">
        <f>O2+P2+Q2</f>
        <v>28585.599999999999</v>
      </c>
      <c r="S2" s="2">
        <v>0.24333333333333329</v>
      </c>
      <c r="T2" s="2">
        <v>5.5579999999999998</v>
      </c>
      <c r="U2" s="2">
        <v>3.656133333333333</v>
      </c>
      <c r="V2" s="2">
        <v>9.4574666666666669</v>
      </c>
      <c r="W2">
        <v>2</v>
      </c>
      <c r="X2">
        <v>0</v>
      </c>
      <c r="Y2">
        <v>0</v>
      </c>
      <c r="Z2">
        <v>2</v>
      </c>
      <c r="AA2" s="2">
        <v>74852.321593881279</v>
      </c>
      <c r="AB2" s="6">
        <v>48.2</v>
      </c>
      <c r="AC2" s="6">
        <v>0</v>
      </c>
      <c r="AD2" s="6">
        <v>0</v>
      </c>
      <c r="AE2" s="6">
        <v>48.2</v>
      </c>
      <c r="AF2" s="3">
        <v>4.9599999999999998E-2</v>
      </c>
      <c r="AG2">
        <v>2</v>
      </c>
      <c r="AH2">
        <v>0</v>
      </c>
      <c r="AI2">
        <v>0</v>
      </c>
      <c r="AJ2">
        <v>2</v>
      </c>
      <c r="AK2" s="2">
        <v>167867.36109239081</v>
      </c>
      <c r="AL2" s="6">
        <v>15.28</v>
      </c>
      <c r="AM2" s="6">
        <v>0</v>
      </c>
      <c r="AN2" s="6">
        <v>0</v>
      </c>
      <c r="AO2" s="6">
        <v>15.28</v>
      </c>
      <c r="AP2" s="3">
        <v>2.0666666666666672E-3</v>
      </c>
      <c r="AQ2">
        <v>0</v>
      </c>
      <c r="AR2">
        <v>0</v>
      </c>
      <c r="AS2">
        <v>0</v>
      </c>
      <c r="AT2">
        <v>0</v>
      </c>
      <c r="AU2" s="2">
        <v>0</v>
      </c>
      <c r="AV2" s="6">
        <v>0</v>
      </c>
      <c r="AW2" s="6">
        <v>0</v>
      </c>
      <c r="AX2" s="6">
        <v>0</v>
      </c>
      <c r="AY2" s="6">
        <v>0</v>
      </c>
      <c r="AZ2" s="3">
        <v>0</v>
      </c>
      <c r="BA2">
        <v>22</v>
      </c>
      <c r="BB2">
        <v>1</v>
      </c>
      <c r="BC2">
        <v>0</v>
      </c>
      <c r="BD2">
        <v>23</v>
      </c>
      <c r="BE2" s="2">
        <v>462974.66543963779</v>
      </c>
      <c r="BF2" s="6">
        <v>129.03</v>
      </c>
      <c r="BG2" s="6">
        <v>88.05</v>
      </c>
      <c r="BH2" s="6">
        <v>0</v>
      </c>
      <c r="BI2" s="6">
        <v>217.08</v>
      </c>
      <c r="BJ2" s="3">
        <v>9.92</v>
      </c>
      <c r="BK2" s="6">
        <v>192.51</v>
      </c>
      <c r="BL2" s="6">
        <v>88.05</v>
      </c>
      <c r="BM2" s="6">
        <v>0</v>
      </c>
      <c r="BN2" s="6">
        <v>280.56</v>
      </c>
      <c r="BO2" s="3">
        <v>9.9716666666666658</v>
      </c>
      <c r="BP2" s="7">
        <v>28918.87</v>
      </c>
      <c r="BQ2" s="2">
        <v>5.8287399999999998</v>
      </c>
      <c r="BR2" s="2">
        <v>25.257873333333329</v>
      </c>
    </row>
    <row r="3" spans="1:70" x14ac:dyDescent="0.3">
      <c r="A3">
        <v>1976</v>
      </c>
      <c r="B3" s="1">
        <v>81770</v>
      </c>
      <c r="C3" s="2">
        <v>937814.18494430021</v>
      </c>
      <c r="D3" s="3">
        <v>15.549829427563051</v>
      </c>
      <c r="E3" s="1">
        <v>49062</v>
      </c>
      <c r="F3" s="4">
        <v>0.41412137803730747</v>
      </c>
      <c r="G3" s="4">
        <v>0.15303631096766129</v>
      </c>
      <c r="H3" s="4">
        <v>8.8344319942997393E-2</v>
      </c>
      <c r="I3" s="4">
        <v>0.17756890786062751</v>
      </c>
      <c r="J3" s="5">
        <v>2.2955446645149191</v>
      </c>
      <c r="K3">
        <v>71</v>
      </c>
      <c r="L3">
        <v>7398</v>
      </c>
      <c r="M3">
        <v>11360</v>
      </c>
      <c r="N3">
        <v>18829</v>
      </c>
      <c r="O3" s="6">
        <v>532.5</v>
      </c>
      <c r="P3" s="6">
        <v>18495</v>
      </c>
      <c r="Q3" s="6">
        <v>13632</v>
      </c>
      <c r="R3" s="6">
        <v>32659.5</v>
      </c>
      <c r="S3" s="2">
        <v>0.51833333333333331</v>
      </c>
      <c r="T3" s="2">
        <v>7.1393333333333331</v>
      </c>
      <c r="U3" s="2">
        <v>3.288733333333334</v>
      </c>
      <c r="V3" s="2">
        <v>10.946400000000001</v>
      </c>
      <c r="W3">
        <v>4</v>
      </c>
      <c r="X3">
        <v>0</v>
      </c>
      <c r="Y3">
        <v>0</v>
      </c>
      <c r="Z3">
        <v>4</v>
      </c>
      <c r="AA3" s="2">
        <v>170650.05604699501</v>
      </c>
      <c r="AB3" s="6">
        <v>98.4</v>
      </c>
      <c r="AC3" s="6">
        <v>0</v>
      </c>
      <c r="AD3" s="6">
        <v>0</v>
      </c>
      <c r="AE3" s="6">
        <v>98.4</v>
      </c>
      <c r="AF3" s="3">
        <v>0.27594399503437861</v>
      </c>
      <c r="AG3">
        <v>4</v>
      </c>
      <c r="AH3">
        <v>0</v>
      </c>
      <c r="AI3">
        <v>0</v>
      </c>
      <c r="AJ3">
        <v>4</v>
      </c>
      <c r="AK3" s="2">
        <v>263409.53576294612</v>
      </c>
      <c r="AL3" s="6">
        <v>31.36</v>
      </c>
      <c r="AM3" s="6">
        <v>0</v>
      </c>
      <c r="AN3" s="6">
        <v>0</v>
      </c>
      <c r="AO3" s="6">
        <v>31.36</v>
      </c>
      <c r="AP3" s="3">
        <v>6.7821665632162194E-3</v>
      </c>
      <c r="AQ3">
        <v>0</v>
      </c>
      <c r="AR3">
        <v>0</v>
      </c>
      <c r="AS3">
        <v>0</v>
      </c>
      <c r="AT3">
        <v>0</v>
      </c>
      <c r="AU3" s="2">
        <v>0</v>
      </c>
      <c r="AV3" s="6">
        <v>0</v>
      </c>
      <c r="AW3" s="6">
        <v>0</v>
      </c>
      <c r="AX3" s="6">
        <v>0</v>
      </c>
      <c r="AY3" s="6">
        <v>0</v>
      </c>
      <c r="AZ3" s="3">
        <v>0</v>
      </c>
      <c r="BA3">
        <v>24</v>
      </c>
      <c r="BB3">
        <v>1</v>
      </c>
      <c r="BC3">
        <v>0</v>
      </c>
      <c r="BD3">
        <v>25</v>
      </c>
      <c r="BE3" s="2">
        <v>503754.59313435899</v>
      </c>
      <c r="BF3" s="6">
        <v>139.68</v>
      </c>
      <c r="BG3" s="6">
        <v>86.1</v>
      </c>
      <c r="BH3" s="6">
        <v>0</v>
      </c>
      <c r="BI3" s="6">
        <v>225.78</v>
      </c>
      <c r="BJ3" s="3">
        <v>16.571999834479289</v>
      </c>
      <c r="BK3" s="6">
        <v>269.44</v>
      </c>
      <c r="BL3" s="6">
        <v>86.1</v>
      </c>
      <c r="BM3" s="6">
        <v>0</v>
      </c>
      <c r="BN3" s="6">
        <v>355.54</v>
      </c>
      <c r="BO3" s="3">
        <v>16.85472599607688</v>
      </c>
      <c r="BP3" s="7">
        <v>33015.040000000001</v>
      </c>
      <c r="BQ3" s="2">
        <v>8.3403377988230645</v>
      </c>
      <c r="BR3" s="2">
        <v>36.141463794899948</v>
      </c>
    </row>
    <row r="4" spans="1:70" x14ac:dyDescent="0.3">
      <c r="A4">
        <v>1977</v>
      </c>
      <c r="B4" s="1">
        <v>83604</v>
      </c>
      <c r="C4" s="2">
        <v>1120378.7802488969</v>
      </c>
      <c r="D4" s="3">
        <v>15.604624798828629</v>
      </c>
      <c r="E4" s="1">
        <v>50162</v>
      </c>
      <c r="F4" s="4">
        <v>0.41437682532738668</v>
      </c>
      <c r="G4" s="4">
        <v>0.17215697761050089</v>
      </c>
      <c r="H4" s="4">
        <v>8.8875339083577864E-2</v>
      </c>
      <c r="I4" s="4">
        <v>0.18508325116530899</v>
      </c>
      <c r="J4" s="5">
        <v>2.582354664157513</v>
      </c>
      <c r="K4">
        <v>92</v>
      </c>
      <c r="L4">
        <v>7564</v>
      </c>
      <c r="M4">
        <v>11602</v>
      </c>
      <c r="N4">
        <v>19258</v>
      </c>
      <c r="O4" s="6">
        <v>690</v>
      </c>
      <c r="P4" s="6">
        <v>18910</v>
      </c>
      <c r="Q4" s="6">
        <v>13922.4</v>
      </c>
      <c r="R4" s="6">
        <v>33522.400000000001</v>
      </c>
      <c r="S4" s="2">
        <v>0.67166666666666663</v>
      </c>
      <c r="T4" s="2">
        <v>7.2964444444444441</v>
      </c>
      <c r="U4" s="2">
        <v>3.357733333333333</v>
      </c>
      <c r="V4" s="2">
        <v>11.32584444444444</v>
      </c>
      <c r="W4">
        <v>5</v>
      </c>
      <c r="X4">
        <v>0</v>
      </c>
      <c r="Y4">
        <v>0</v>
      </c>
      <c r="Z4">
        <v>5</v>
      </c>
      <c r="AA4" s="2">
        <v>238694.3903576289</v>
      </c>
      <c r="AB4" s="6">
        <v>122</v>
      </c>
      <c r="AC4" s="6">
        <v>0</v>
      </c>
      <c r="AD4" s="6">
        <v>0</v>
      </c>
      <c r="AE4" s="6">
        <v>122</v>
      </c>
      <c r="AF4" s="3">
        <v>0.51943177229835191</v>
      </c>
      <c r="AG4">
        <v>5</v>
      </c>
      <c r="AH4">
        <v>0</v>
      </c>
      <c r="AI4">
        <v>0</v>
      </c>
      <c r="AJ4">
        <v>5</v>
      </c>
      <c r="AK4" s="2">
        <v>342310.10096622288</v>
      </c>
      <c r="AL4" s="6">
        <v>38.4</v>
      </c>
      <c r="AM4" s="6">
        <v>0</v>
      </c>
      <c r="AN4" s="6">
        <v>0</v>
      </c>
      <c r="AO4" s="6">
        <v>38.4</v>
      </c>
      <c r="AP4" s="3">
        <v>1.1996293586445489E-2</v>
      </c>
      <c r="AQ4">
        <v>0</v>
      </c>
      <c r="AR4">
        <v>0</v>
      </c>
      <c r="AS4">
        <v>0</v>
      </c>
      <c r="AT4">
        <v>0</v>
      </c>
      <c r="AU4" s="2">
        <v>0</v>
      </c>
      <c r="AV4" s="6">
        <v>0</v>
      </c>
      <c r="AW4" s="6">
        <v>0</v>
      </c>
      <c r="AX4" s="6">
        <v>0</v>
      </c>
      <c r="AY4" s="6">
        <v>0</v>
      </c>
      <c r="AZ4" s="3">
        <v>0</v>
      </c>
      <c r="BA4">
        <v>26</v>
      </c>
      <c r="BB4">
        <v>1</v>
      </c>
      <c r="BC4">
        <v>0</v>
      </c>
      <c r="BD4">
        <v>27</v>
      </c>
      <c r="BE4" s="2">
        <v>539374.28892504494</v>
      </c>
      <c r="BF4" s="6">
        <v>147.81</v>
      </c>
      <c r="BG4" s="6">
        <v>86.75</v>
      </c>
      <c r="BH4" s="6">
        <v>0</v>
      </c>
      <c r="BI4" s="6">
        <v>234.56</v>
      </c>
      <c r="BJ4" s="3">
        <v>23.582947083232561</v>
      </c>
      <c r="BK4" s="6">
        <v>308.20999999999998</v>
      </c>
      <c r="BL4" s="6">
        <v>86.75</v>
      </c>
      <c r="BM4" s="6">
        <v>0</v>
      </c>
      <c r="BN4" s="6">
        <v>394.96</v>
      </c>
      <c r="BO4" s="3">
        <v>24.114375149117361</v>
      </c>
      <c r="BP4" s="7">
        <v>33917.360000000001</v>
      </c>
      <c r="BQ4" s="2">
        <v>10.63206587806854</v>
      </c>
      <c r="BR4" s="2">
        <v>46.072285471630352</v>
      </c>
    </row>
    <row r="5" spans="1:70" x14ac:dyDescent="0.3">
      <c r="A5">
        <v>1978</v>
      </c>
      <c r="B5" s="1">
        <v>85479</v>
      </c>
      <c r="C5" s="2">
        <v>1292741.475238733</v>
      </c>
      <c r="D5" s="3">
        <v>15.66488101406074</v>
      </c>
      <c r="E5" s="1">
        <v>51287</v>
      </c>
      <c r="F5" s="4">
        <v>0.41474653664931438</v>
      </c>
      <c r="G5" s="4">
        <v>0.19071254315251451</v>
      </c>
      <c r="H5" s="4">
        <v>8.9462602891156942E-2</v>
      </c>
      <c r="I5" s="4">
        <v>0.19198524475104611</v>
      </c>
      <c r="J5" s="5">
        <v>2.8606881472877181</v>
      </c>
      <c r="K5">
        <v>116</v>
      </c>
      <c r="L5">
        <v>7734</v>
      </c>
      <c r="M5">
        <v>11847</v>
      </c>
      <c r="N5">
        <v>19697</v>
      </c>
      <c r="O5" s="6">
        <v>870</v>
      </c>
      <c r="P5" s="6">
        <v>19335</v>
      </c>
      <c r="Q5" s="6">
        <v>14216.4</v>
      </c>
      <c r="R5" s="6">
        <v>34421.4</v>
      </c>
      <c r="S5" s="2">
        <v>0.84333333333333338</v>
      </c>
      <c r="T5" s="2">
        <v>7.4584444444444449</v>
      </c>
      <c r="U5" s="2">
        <v>3.4272</v>
      </c>
      <c r="V5" s="2">
        <v>11.72897777777778</v>
      </c>
      <c r="W5">
        <v>6</v>
      </c>
      <c r="X5">
        <v>0</v>
      </c>
      <c r="Y5">
        <v>0</v>
      </c>
      <c r="Z5">
        <v>6</v>
      </c>
      <c r="AA5" s="2">
        <v>300668.06003831822</v>
      </c>
      <c r="AB5" s="6">
        <v>148.19999999999999</v>
      </c>
      <c r="AC5" s="6">
        <v>0</v>
      </c>
      <c r="AD5" s="6">
        <v>0</v>
      </c>
      <c r="AE5" s="6">
        <v>148.19999999999999</v>
      </c>
      <c r="AF5" s="3">
        <v>0.77638362522545612</v>
      </c>
      <c r="AG5">
        <v>6</v>
      </c>
      <c r="AH5">
        <v>0</v>
      </c>
      <c r="AI5">
        <v>0</v>
      </c>
      <c r="AJ5">
        <v>6</v>
      </c>
      <c r="AK5" s="2">
        <v>419619.29488573672</v>
      </c>
      <c r="AL5" s="6">
        <v>46.56</v>
      </c>
      <c r="AM5" s="6">
        <v>0</v>
      </c>
      <c r="AN5" s="6">
        <v>0</v>
      </c>
      <c r="AO5" s="6">
        <v>46.56</v>
      </c>
      <c r="AP5" s="3">
        <v>1.7638858096873059E-2</v>
      </c>
      <c r="AQ5">
        <v>0</v>
      </c>
      <c r="AR5">
        <v>0</v>
      </c>
      <c r="AS5">
        <v>0</v>
      </c>
      <c r="AT5">
        <v>0</v>
      </c>
      <c r="AU5" s="2">
        <v>0</v>
      </c>
      <c r="AV5" s="6">
        <v>0</v>
      </c>
      <c r="AW5" s="6">
        <v>0</v>
      </c>
      <c r="AX5" s="6">
        <v>0</v>
      </c>
      <c r="AY5" s="6">
        <v>0</v>
      </c>
      <c r="AZ5" s="3">
        <v>0</v>
      </c>
      <c r="BA5">
        <v>28</v>
      </c>
      <c r="BB5">
        <v>1</v>
      </c>
      <c r="BC5">
        <v>0</v>
      </c>
      <c r="BD5">
        <v>29</v>
      </c>
      <c r="BE5" s="2">
        <v>572454.12031467783</v>
      </c>
      <c r="BF5" s="6">
        <v>165.48</v>
      </c>
      <c r="BG5" s="6">
        <v>86.1</v>
      </c>
      <c r="BH5" s="6">
        <v>0</v>
      </c>
      <c r="BI5" s="6">
        <v>251.58</v>
      </c>
      <c r="BJ5" s="3">
        <v>30.828577683742811</v>
      </c>
      <c r="BK5" s="6">
        <v>360.24</v>
      </c>
      <c r="BL5" s="6">
        <v>86.1</v>
      </c>
      <c r="BM5" s="6">
        <v>0</v>
      </c>
      <c r="BN5" s="6">
        <v>446.34</v>
      </c>
      <c r="BO5" s="3">
        <v>31.622600167065141</v>
      </c>
      <c r="BP5" s="7">
        <v>34867.74</v>
      </c>
      <c r="BQ5" s="2">
        <v>13.00547338345288</v>
      </c>
      <c r="BR5" s="2">
        <v>56.357051328295803</v>
      </c>
    </row>
    <row r="6" spans="1:70" x14ac:dyDescent="0.3">
      <c r="A6">
        <v>1979</v>
      </c>
      <c r="B6" s="1">
        <v>87397</v>
      </c>
      <c r="C6" s="2">
        <v>1464554.149457291</v>
      </c>
      <c r="D6" s="3">
        <v>15.73114229471711</v>
      </c>
      <c r="E6" s="1">
        <v>52438</v>
      </c>
      <c r="F6" s="4">
        <v>0.41521789023811723</v>
      </c>
      <c r="G6" s="4">
        <v>0.20871970885522831</v>
      </c>
      <c r="H6" s="4">
        <v>9.0112430399294868E-2</v>
      </c>
      <c r="I6" s="4">
        <v>0.19839988082045651</v>
      </c>
      <c r="J6" s="5">
        <v>3.1307956328284252</v>
      </c>
      <c r="K6">
        <v>143</v>
      </c>
      <c r="L6">
        <v>7911</v>
      </c>
      <c r="M6">
        <v>12094</v>
      </c>
      <c r="N6">
        <v>20148</v>
      </c>
      <c r="O6" s="6">
        <v>1072.5</v>
      </c>
      <c r="P6" s="6">
        <v>19777.5</v>
      </c>
      <c r="Q6" s="6">
        <v>14512.8</v>
      </c>
      <c r="R6" s="6">
        <v>35362.800000000003</v>
      </c>
      <c r="S6" s="2">
        <v>1.033333333333333</v>
      </c>
      <c r="T6" s="2">
        <v>7.6255555555555556</v>
      </c>
      <c r="U6" s="2">
        <v>3.4973333333333332</v>
      </c>
      <c r="V6" s="2">
        <v>12.156222222222221</v>
      </c>
      <c r="W6">
        <v>8</v>
      </c>
      <c r="X6">
        <v>0</v>
      </c>
      <c r="Y6">
        <v>0</v>
      </c>
      <c r="Z6">
        <v>8</v>
      </c>
      <c r="AA6" s="2">
        <v>361037.57700685598</v>
      </c>
      <c r="AB6" s="6">
        <v>195.2</v>
      </c>
      <c r="AC6" s="6">
        <v>0</v>
      </c>
      <c r="AD6" s="6">
        <v>0</v>
      </c>
      <c r="AE6" s="6">
        <v>195.2</v>
      </c>
      <c r="AF6" s="3">
        <v>1.0454727237970829</v>
      </c>
      <c r="AG6">
        <v>8</v>
      </c>
      <c r="AH6">
        <v>0</v>
      </c>
      <c r="AI6">
        <v>0</v>
      </c>
      <c r="AJ6">
        <v>8</v>
      </c>
      <c r="AK6" s="2">
        <v>499267.31489566038</v>
      </c>
      <c r="AL6" s="6">
        <v>63.04</v>
      </c>
      <c r="AM6" s="6">
        <v>0</v>
      </c>
      <c r="AN6" s="6">
        <v>0</v>
      </c>
      <c r="AO6" s="6">
        <v>63.04</v>
      </c>
      <c r="AP6" s="3">
        <v>2.368619477240759E-2</v>
      </c>
      <c r="AQ6">
        <v>0</v>
      </c>
      <c r="AR6">
        <v>0</v>
      </c>
      <c r="AS6">
        <v>0</v>
      </c>
      <c r="AT6">
        <v>0</v>
      </c>
      <c r="AU6" s="2">
        <v>0</v>
      </c>
      <c r="AV6" s="6">
        <v>0</v>
      </c>
      <c r="AW6" s="6">
        <v>0</v>
      </c>
      <c r="AX6" s="6">
        <v>0</v>
      </c>
      <c r="AY6" s="6">
        <v>0</v>
      </c>
      <c r="AZ6" s="3">
        <v>0</v>
      </c>
      <c r="BA6">
        <v>29</v>
      </c>
      <c r="BB6">
        <v>1</v>
      </c>
      <c r="BC6">
        <v>0</v>
      </c>
      <c r="BD6">
        <v>30</v>
      </c>
      <c r="BE6" s="2">
        <v>604249.25755477499</v>
      </c>
      <c r="BF6" s="6">
        <v>171.39</v>
      </c>
      <c r="BG6" s="6">
        <v>84.8</v>
      </c>
      <c r="BH6" s="6">
        <v>0</v>
      </c>
      <c r="BI6" s="6">
        <v>256.19</v>
      </c>
      <c r="BJ6" s="3">
        <v>38.268123784873687</v>
      </c>
      <c r="BK6" s="6">
        <v>429.63</v>
      </c>
      <c r="BL6" s="6">
        <v>84.8</v>
      </c>
      <c r="BM6" s="6">
        <v>0</v>
      </c>
      <c r="BN6" s="6">
        <v>514.42999999999995</v>
      </c>
      <c r="BO6" s="3">
        <v>39.337282703443179</v>
      </c>
      <c r="BP6" s="7">
        <v>35877.230000000003</v>
      </c>
      <c r="BQ6" s="2">
        <v>15.44805147769962</v>
      </c>
      <c r="BR6" s="2">
        <v>66.941556403365027</v>
      </c>
    </row>
    <row r="7" spans="1:70" x14ac:dyDescent="0.3">
      <c r="A7">
        <v>1980</v>
      </c>
      <c r="B7" s="1">
        <v>89358</v>
      </c>
      <c r="C7" s="2">
        <v>1640087.7718276109</v>
      </c>
      <c r="D7" s="3">
        <v>15.80400709874289</v>
      </c>
      <c r="E7" s="1">
        <v>53614</v>
      </c>
      <c r="F7" s="4">
        <v>0.41578505248885289</v>
      </c>
      <c r="G7" s="4">
        <v>0.22619468238329479</v>
      </c>
      <c r="H7" s="4">
        <v>9.0831925759485913E-2</v>
      </c>
      <c r="I7" s="4">
        <v>0.20442308044837021</v>
      </c>
      <c r="J7" s="5">
        <v>3.3929202357494219</v>
      </c>
      <c r="K7">
        <v>172</v>
      </c>
      <c r="L7">
        <v>8093</v>
      </c>
      <c r="M7">
        <v>12344</v>
      </c>
      <c r="N7">
        <v>20609</v>
      </c>
      <c r="O7" s="6">
        <v>1290</v>
      </c>
      <c r="P7" s="6">
        <v>20232.5</v>
      </c>
      <c r="Q7" s="6">
        <v>14812.8</v>
      </c>
      <c r="R7" s="6">
        <v>36335.300000000003</v>
      </c>
      <c r="S7" s="2">
        <v>1.243333333333333</v>
      </c>
      <c r="T7" s="2">
        <v>7.7973333333333326</v>
      </c>
      <c r="U7" s="2">
        <v>3.5681333333333329</v>
      </c>
      <c r="V7" s="2">
        <v>12.6088</v>
      </c>
      <c r="W7">
        <v>9</v>
      </c>
      <c r="X7">
        <v>0</v>
      </c>
      <c r="Y7">
        <v>0</v>
      </c>
      <c r="Z7">
        <v>9</v>
      </c>
      <c r="AA7" s="2">
        <v>421637.94210963207</v>
      </c>
      <c r="AB7" s="6">
        <v>222.3</v>
      </c>
      <c r="AC7" s="6">
        <v>0</v>
      </c>
      <c r="AD7" s="6">
        <v>0</v>
      </c>
      <c r="AE7" s="6">
        <v>222.3</v>
      </c>
      <c r="AF7" s="3">
        <v>1.325978619622145</v>
      </c>
      <c r="AG7">
        <v>9</v>
      </c>
      <c r="AH7">
        <v>0</v>
      </c>
      <c r="AI7">
        <v>0</v>
      </c>
      <c r="AJ7">
        <v>9</v>
      </c>
      <c r="AK7" s="2">
        <v>583049.36203549581</v>
      </c>
      <c r="AL7" s="6">
        <v>71.28</v>
      </c>
      <c r="AM7" s="6">
        <v>0</v>
      </c>
      <c r="AN7" s="6">
        <v>0</v>
      </c>
      <c r="AO7" s="6">
        <v>71.28</v>
      </c>
      <c r="AP7" s="3">
        <v>3.0126322663670501E-2</v>
      </c>
      <c r="AQ7">
        <v>0</v>
      </c>
      <c r="AR7">
        <v>0</v>
      </c>
      <c r="AS7">
        <v>0</v>
      </c>
      <c r="AT7">
        <v>0</v>
      </c>
      <c r="AU7" s="2">
        <v>0</v>
      </c>
      <c r="AV7" s="6">
        <v>0</v>
      </c>
      <c r="AW7" s="6">
        <v>0</v>
      </c>
      <c r="AX7" s="6">
        <v>0</v>
      </c>
      <c r="AY7" s="6">
        <v>0</v>
      </c>
      <c r="AZ7" s="3">
        <v>0</v>
      </c>
      <c r="BA7">
        <v>30</v>
      </c>
      <c r="BB7">
        <v>1</v>
      </c>
      <c r="BC7">
        <v>0</v>
      </c>
      <c r="BD7">
        <v>31</v>
      </c>
      <c r="BE7" s="2">
        <v>635400.46768248302</v>
      </c>
      <c r="BF7" s="6">
        <v>169.2</v>
      </c>
      <c r="BG7" s="6">
        <v>84.8</v>
      </c>
      <c r="BH7" s="6">
        <v>0</v>
      </c>
      <c r="BI7" s="6">
        <v>254</v>
      </c>
      <c r="BJ7" s="3">
        <v>45.882453381482527</v>
      </c>
      <c r="BK7" s="6">
        <v>462.78</v>
      </c>
      <c r="BL7" s="6">
        <v>84.8</v>
      </c>
      <c r="BM7" s="6">
        <v>0</v>
      </c>
      <c r="BN7" s="6">
        <v>547.58000000000004</v>
      </c>
      <c r="BO7" s="3">
        <v>47.238558323768352</v>
      </c>
      <c r="BP7" s="7">
        <v>36882.879999999997</v>
      </c>
      <c r="BQ7" s="2">
        <v>17.954207497130501</v>
      </c>
      <c r="BR7" s="2">
        <v>77.801565820898858</v>
      </c>
    </row>
    <row r="8" spans="1:70" x14ac:dyDescent="0.3">
      <c r="A8">
        <v>1981</v>
      </c>
      <c r="B8" s="1">
        <v>91364</v>
      </c>
      <c r="C8" s="2">
        <v>1821876.290590337</v>
      </c>
      <c r="D8" s="3">
        <v>15.884133525716869</v>
      </c>
      <c r="E8" s="1">
        <v>54818</v>
      </c>
      <c r="F8" s="4">
        <v>0.41644547318337227</v>
      </c>
      <c r="G8" s="4">
        <v>0.24315319239248531</v>
      </c>
      <c r="H8" s="4">
        <v>9.1629090980849287E-2</v>
      </c>
      <c r="I8" s="4">
        <v>0.21013118025849309</v>
      </c>
      <c r="J8" s="5">
        <v>3.64729788588728</v>
      </c>
      <c r="K8">
        <v>203</v>
      </c>
      <c r="L8">
        <v>8280</v>
      </c>
      <c r="M8">
        <v>12598</v>
      </c>
      <c r="N8">
        <v>21081</v>
      </c>
      <c r="O8" s="6">
        <v>1522.5</v>
      </c>
      <c r="P8" s="6">
        <v>20700</v>
      </c>
      <c r="Q8" s="6">
        <v>15117.6</v>
      </c>
      <c r="R8" s="6">
        <v>37340.1</v>
      </c>
      <c r="S8" s="2">
        <v>1.4716666666666669</v>
      </c>
      <c r="T8" s="2">
        <v>7.974444444444444</v>
      </c>
      <c r="U8" s="2">
        <v>3.6396000000000002</v>
      </c>
      <c r="V8" s="2">
        <v>13.08571111111111</v>
      </c>
      <c r="W8">
        <v>10</v>
      </c>
      <c r="X8">
        <v>0</v>
      </c>
      <c r="Y8">
        <v>0</v>
      </c>
      <c r="Z8">
        <v>10</v>
      </c>
      <c r="AA8" s="2">
        <v>483466.43007727602</v>
      </c>
      <c r="AB8" s="6">
        <v>246</v>
      </c>
      <c r="AC8" s="6">
        <v>0</v>
      </c>
      <c r="AD8" s="6">
        <v>0</v>
      </c>
      <c r="AE8" s="6">
        <v>246</v>
      </c>
      <c r="AF8" s="3">
        <v>1.6174185795470679</v>
      </c>
      <c r="AG8">
        <v>10</v>
      </c>
      <c r="AH8">
        <v>0</v>
      </c>
      <c r="AI8">
        <v>0</v>
      </c>
      <c r="AJ8">
        <v>10</v>
      </c>
      <c r="AK8" s="2">
        <v>672089.4136788348</v>
      </c>
      <c r="AL8" s="6">
        <v>76</v>
      </c>
      <c r="AM8" s="6">
        <v>0</v>
      </c>
      <c r="AN8" s="6">
        <v>0</v>
      </c>
      <c r="AO8" s="6">
        <v>76</v>
      </c>
      <c r="AP8" s="3">
        <v>3.6951672090057307E-2</v>
      </c>
      <c r="AQ8">
        <v>0</v>
      </c>
      <c r="AR8">
        <v>0</v>
      </c>
      <c r="AS8">
        <v>0</v>
      </c>
      <c r="AT8">
        <v>0</v>
      </c>
      <c r="AU8" s="2">
        <v>0</v>
      </c>
      <c r="AV8" s="6">
        <v>0</v>
      </c>
      <c r="AW8" s="6">
        <v>0</v>
      </c>
      <c r="AX8" s="6">
        <v>0</v>
      </c>
      <c r="AY8" s="6">
        <v>0</v>
      </c>
      <c r="AZ8" s="3">
        <v>0</v>
      </c>
      <c r="BA8">
        <v>32</v>
      </c>
      <c r="BB8">
        <v>2</v>
      </c>
      <c r="BC8">
        <v>0</v>
      </c>
      <c r="BD8">
        <v>34</v>
      </c>
      <c r="BE8" s="2">
        <v>666320.44683422567</v>
      </c>
      <c r="BF8" s="6">
        <v>181.92</v>
      </c>
      <c r="BG8" s="6">
        <v>177.4</v>
      </c>
      <c r="BH8" s="6">
        <v>0</v>
      </c>
      <c r="BI8" s="6">
        <v>359.32</v>
      </c>
      <c r="BJ8" s="3">
        <v>53.66083061340936</v>
      </c>
      <c r="BK8" s="6">
        <v>503.92</v>
      </c>
      <c r="BL8" s="6">
        <v>177.4</v>
      </c>
      <c r="BM8" s="6">
        <v>0</v>
      </c>
      <c r="BN8" s="6">
        <v>681.32</v>
      </c>
      <c r="BO8" s="3">
        <v>55.315200865046492</v>
      </c>
      <c r="BP8" s="7">
        <v>38021.42</v>
      </c>
      <c r="BQ8" s="2">
        <v>20.520273592847278</v>
      </c>
      <c r="BR8" s="2">
        <v>88.921185569004876</v>
      </c>
    </row>
    <row r="9" spans="1:70" x14ac:dyDescent="0.3">
      <c r="A9">
        <v>1982</v>
      </c>
      <c r="B9" s="1">
        <v>93415</v>
      </c>
      <c r="C9" s="2">
        <v>2011578.272023676</v>
      </c>
      <c r="D9" s="3">
        <v>15.972245260668419</v>
      </c>
      <c r="E9" s="1">
        <v>56049</v>
      </c>
      <c r="F9" s="4">
        <v>0.41719872471212061</v>
      </c>
      <c r="G9" s="4">
        <v>0.25961050268654201</v>
      </c>
      <c r="H9" s="4">
        <v>9.2512957776322458E-2</v>
      </c>
      <c r="I9" s="4">
        <v>0.21558701474676281</v>
      </c>
      <c r="J9" s="5">
        <v>3.8941575402981301</v>
      </c>
      <c r="K9">
        <v>238</v>
      </c>
      <c r="L9">
        <v>8474</v>
      </c>
      <c r="M9">
        <v>12854</v>
      </c>
      <c r="N9">
        <v>21566</v>
      </c>
      <c r="O9" s="6">
        <v>1785</v>
      </c>
      <c r="P9" s="6">
        <v>21185</v>
      </c>
      <c r="Q9" s="6">
        <v>15424.8</v>
      </c>
      <c r="R9" s="6">
        <v>38394.800000000003</v>
      </c>
      <c r="S9" s="2">
        <v>1.72</v>
      </c>
      <c r="T9" s="2">
        <v>8.1568888888888882</v>
      </c>
      <c r="U9" s="2">
        <v>3.711733333333334</v>
      </c>
      <c r="V9" s="2">
        <v>13.58862222222222</v>
      </c>
      <c r="W9">
        <v>11</v>
      </c>
      <c r="X9">
        <v>0</v>
      </c>
      <c r="Y9">
        <v>0</v>
      </c>
      <c r="Z9">
        <v>11</v>
      </c>
      <c r="AA9" s="2">
        <v>547140.41961996665</v>
      </c>
      <c r="AB9" s="6">
        <v>268.39999999999998</v>
      </c>
      <c r="AC9" s="6">
        <v>0</v>
      </c>
      <c r="AD9" s="6">
        <v>0</v>
      </c>
      <c r="AE9" s="6">
        <v>268.39999999999998</v>
      </c>
      <c r="AF9" s="3">
        <v>1.919447372731669</v>
      </c>
      <c r="AG9">
        <v>11</v>
      </c>
      <c r="AH9">
        <v>0</v>
      </c>
      <c r="AI9">
        <v>0</v>
      </c>
      <c r="AJ9">
        <v>11</v>
      </c>
      <c r="AK9" s="2">
        <v>767196.19944226462</v>
      </c>
      <c r="AL9" s="6">
        <v>86.24</v>
      </c>
      <c r="AM9" s="6">
        <v>0</v>
      </c>
      <c r="AN9" s="6">
        <v>0</v>
      </c>
      <c r="AO9" s="6">
        <v>86.24</v>
      </c>
      <c r="AP9" s="3">
        <v>4.415716167646859E-2</v>
      </c>
      <c r="AQ9">
        <v>0</v>
      </c>
      <c r="AR9">
        <v>0</v>
      </c>
      <c r="AS9">
        <v>0</v>
      </c>
      <c r="AT9">
        <v>0</v>
      </c>
      <c r="AU9" s="2">
        <v>0</v>
      </c>
      <c r="AV9" s="6">
        <v>0</v>
      </c>
      <c r="AW9" s="6">
        <v>0</v>
      </c>
      <c r="AX9" s="6">
        <v>0</v>
      </c>
      <c r="AY9" s="6">
        <v>0</v>
      </c>
      <c r="AZ9" s="3">
        <v>0</v>
      </c>
      <c r="BA9">
        <v>33</v>
      </c>
      <c r="BB9">
        <v>2</v>
      </c>
      <c r="BC9">
        <v>0</v>
      </c>
      <c r="BD9">
        <v>35</v>
      </c>
      <c r="BE9" s="2">
        <v>697241.65296144516</v>
      </c>
      <c r="BF9" s="6">
        <v>190.57499999999999</v>
      </c>
      <c r="BG9" s="6">
        <v>173.5</v>
      </c>
      <c r="BH9" s="6">
        <v>0</v>
      </c>
      <c r="BI9" s="6">
        <v>364.07499999999999</v>
      </c>
      <c r="BJ9" s="3">
        <v>61.597211150649237</v>
      </c>
      <c r="BK9" s="6">
        <v>545.21500000000003</v>
      </c>
      <c r="BL9" s="6">
        <v>173.5</v>
      </c>
      <c r="BM9" s="6">
        <v>0</v>
      </c>
      <c r="BN9" s="6">
        <v>718.71500000000003</v>
      </c>
      <c r="BO9" s="3">
        <v>63.560815685057371</v>
      </c>
      <c r="BP9" s="7">
        <v>39113.514999999999</v>
      </c>
      <c r="BQ9" s="2">
        <v>23.14483137218388</v>
      </c>
      <c r="BR9" s="2">
        <v>100.29426927946351</v>
      </c>
    </row>
    <row r="10" spans="1:70" x14ac:dyDescent="0.3">
      <c r="A10">
        <v>1983</v>
      </c>
      <c r="B10" s="1">
        <v>95513</v>
      </c>
      <c r="C10" s="2">
        <v>2210489.0434641312</v>
      </c>
      <c r="D10" s="3">
        <v>16.06913811024841</v>
      </c>
      <c r="E10" s="1">
        <v>57307</v>
      </c>
      <c r="F10" s="4">
        <v>0.41804611578908302</v>
      </c>
      <c r="G10" s="4">
        <v>0.27558142595563101</v>
      </c>
      <c r="H10" s="4">
        <v>9.3493742279885342E-2</v>
      </c>
      <c r="I10" s="4">
        <v>0.22084397718353091</v>
      </c>
      <c r="J10" s="5">
        <v>4.1337213893344664</v>
      </c>
      <c r="K10">
        <v>275</v>
      </c>
      <c r="L10">
        <v>8675</v>
      </c>
      <c r="M10">
        <v>13114</v>
      </c>
      <c r="N10">
        <v>22064</v>
      </c>
      <c r="O10" s="6">
        <v>2062.5</v>
      </c>
      <c r="P10" s="6">
        <v>21687.5</v>
      </c>
      <c r="Q10" s="6">
        <v>15736.8</v>
      </c>
      <c r="R10" s="6">
        <v>39486.800000000003</v>
      </c>
      <c r="S10" s="2">
        <v>1.986666666666667</v>
      </c>
      <c r="T10" s="2">
        <v>8.3448888888888888</v>
      </c>
      <c r="U10" s="2">
        <v>3.7844666666666669</v>
      </c>
      <c r="V10" s="2">
        <v>14.11602222222222</v>
      </c>
      <c r="W10">
        <v>13</v>
      </c>
      <c r="X10">
        <v>0</v>
      </c>
      <c r="Y10">
        <v>0</v>
      </c>
      <c r="Z10">
        <v>13</v>
      </c>
      <c r="AA10" s="2">
        <v>613103.13088693249</v>
      </c>
      <c r="AB10" s="6">
        <v>317.2</v>
      </c>
      <c r="AC10" s="6">
        <v>0</v>
      </c>
      <c r="AD10" s="6">
        <v>0</v>
      </c>
      <c r="AE10" s="6">
        <v>317.2</v>
      </c>
      <c r="AF10" s="3">
        <v>2.2318393834557719</v>
      </c>
      <c r="AG10">
        <v>13</v>
      </c>
      <c r="AH10">
        <v>0</v>
      </c>
      <c r="AI10">
        <v>0</v>
      </c>
      <c r="AJ10">
        <v>13</v>
      </c>
      <c r="AK10" s="2">
        <v>869056.20297242561</v>
      </c>
      <c r="AL10" s="6">
        <v>99.84</v>
      </c>
      <c r="AM10" s="6">
        <v>0</v>
      </c>
      <c r="AN10" s="6">
        <v>0</v>
      </c>
      <c r="AO10" s="6">
        <v>99.84</v>
      </c>
      <c r="AP10" s="3">
        <v>5.1739922932174623E-2</v>
      </c>
      <c r="AQ10">
        <v>0</v>
      </c>
      <c r="AR10">
        <v>0</v>
      </c>
      <c r="AS10">
        <v>0</v>
      </c>
      <c r="AT10">
        <v>0</v>
      </c>
      <c r="AU10" s="2">
        <v>0</v>
      </c>
      <c r="AV10" s="6">
        <v>0</v>
      </c>
      <c r="AW10" s="6">
        <v>0</v>
      </c>
      <c r="AX10" s="6">
        <v>0</v>
      </c>
      <c r="AY10" s="6">
        <v>0</v>
      </c>
      <c r="AZ10" s="3">
        <v>0</v>
      </c>
      <c r="BA10">
        <v>35</v>
      </c>
      <c r="BB10">
        <v>2</v>
      </c>
      <c r="BC10">
        <v>0</v>
      </c>
      <c r="BD10">
        <v>37</v>
      </c>
      <c r="BE10" s="2">
        <v>728329.70960477286</v>
      </c>
      <c r="BF10" s="6">
        <v>195.82499999999999</v>
      </c>
      <c r="BG10" s="6">
        <v>172.2</v>
      </c>
      <c r="BH10" s="6">
        <v>0</v>
      </c>
      <c r="BI10" s="6">
        <v>368.02499999999998</v>
      </c>
      <c r="BJ10" s="3">
        <v>69.689451805184447</v>
      </c>
      <c r="BK10" s="6">
        <v>612.86500000000001</v>
      </c>
      <c r="BL10" s="6">
        <v>172.2</v>
      </c>
      <c r="BM10" s="6">
        <v>0</v>
      </c>
      <c r="BN10" s="6">
        <v>785.06500000000005</v>
      </c>
      <c r="BO10" s="3">
        <v>71.973031111572396</v>
      </c>
      <c r="BP10" s="7">
        <v>40271.864999999998</v>
      </c>
      <c r="BQ10" s="2">
        <v>25.82671600013839</v>
      </c>
      <c r="BR10" s="2">
        <v>111.915769333933</v>
      </c>
    </row>
    <row r="11" spans="1:70" x14ac:dyDescent="0.3">
      <c r="A11">
        <v>1984</v>
      </c>
      <c r="B11" s="1">
        <v>97658</v>
      </c>
      <c r="C11" s="2">
        <v>2419770.2841645479</v>
      </c>
      <c r="D11" s="3">
        <v>16.175687190287452</v>
      </c>
      <c r="E11" s="1">
        <v>58594</v>
      </c>
      <c r="F11" s="4">
        <v>0.41899047502915221</v>
      </c>
      <c r="G11" s="4">
        <v>0.29108033710876458</v>
      </c>
      <c r="H11" s="4">
        <v>9.4583027232532882E-2</v>
      </c>
      <c r="I11" s="4">
        <v>0.22594881940589839</v>
      </c>
      <c r="J11" s="5">
        <v>4.3662050566314683</v>
      </c>
      <c r="K11">
        <v>315</v>
      </c>
      <c r="L11">
        <v>8882</v>
      </c>
      <c r="M11">
        <v>13377</v>
      </c>
      <c r="N11">
        <v>22574</v>
      </c>
      <c r="O11" s="6">
        <v>2362.5</v>
      </c>
      <c r="P11" s="6">
        <v>22205</v>
      </c>
      <c r="Q11" s="6">
        <v>16052.4</v>
      </c>
      <c r="R11" s="6">
        <v>40619.9</v>
      </c>
      <c r="S11" s="2">
        <v>2.273333333333333</v>
      </c>
      <c r="T11" s="2">
        <v>8.538666666666666</v>
      </c>
      <c r="U11" s="2">
        <v>3.8578666666666672</v>
      </c>
      <c r="V11" s="2">
        <v>14.669866666666669</v>
      </c>
      <c r="W11">
        <v>14</v>
      </c>
      <c r="X11">
        <v>0</v>
      </c>
      <c r="Y11">
        <v>0</v>
      </c>
      <c r="Z11">
        <v>14</v>
      </c>
      <c r="AA11" s="2">
        <v>681718.13609302277</v>
      </c>
      <c r="AB11" s="6">
        <v>347.2</v>
      </c>
      <c r="AC11" s="6">
        <v>0</v>
      </c>
      <c r="AD11" s="6">
        <v>0</v>
      </c>
      <c r="AE11" s="6">
        <v>347.2</v>
      </c>
      <c r="AF11" s="3">
        <v>2.554495163748471</v>
      </c>
      <c r="AG11">
        <v>14</v>
      </c>
      <c r="AH11">
        <v>0</v>
      </c>
      <c r="AI11">
        <v>0</v>
      </c>
      <c r="AJ11">
        <v>14</v>
      </c>
      <c r="AK11" s="2">
        <v>978324.22083405533</v>
      </c>
      <c r="AL11" s="6">
        <v>109.76</v>
      </c>
      <c r="AM11" s="6">
        <v>0</v>
      </c>
      <c r="AN11" s="6">
        <v>0</v>
      </c>
      <c r="AO11" s="6">
        <v>109.76</v>
      </c>
      <c r="AP11" s="3">
        <v>5.9699519896293643E-2</v>
      </c>
      <c r="AQ11">
        <v>0</v>
      </c>
      <c r="AR11">
        <v>0</v>
      </c>
      <c r="AS11">
        <v>0</v>
      </c>
      <c r="AT11">
        <v>0</v>
      </c>
      <c r="AU11" s="2">
        <v>0</v>
      </c>
      <c r="AV11" s="6">
        <v>0</v>
      </c>
      <c r="AW11" s="6">
        <v>0</v>
      </c>
      <c r="AX11" s="6">
        <v>0</v>
      </c>
      <c r="AY11" s="6">
        <v>0</v>
      </c>
      <c r="AZ11" s="3">
        <v>0</v>
      </c>
      <c r="BA11">
        <v>36</v>
      </c>
      <c r="BB11">
        <v>2</v>
      </c>
      <c r="BC11">
        <v>0</v>
      </c>
      <c r="BD11">
        <v>38</v>
      </c>
      <c r="BE11" s="2">
        <v>759727.92723746994</v>
      </c>
      <c r="BF11" s="6">
        <v>212.76</v>
      </c>
      <c r="BG11" s="6">
        <v>173.5</v>
      </c>
      <c r="BH11" s="6">
        <v>0</v>
      </c>
      <c r="BI11" s="6">
        <v>386.26</v>
      </c>
      <c r="BJ11" s="3">
        <v>77.939378068000835</v>
      </c>
      <c r="BK11" s="6">
        <v>669.72</v>
      </c>
      <c r="BL11" s="6">
        <v>173.5</v>
      </c>
      <c r="BM11" s="6">
        <v>0</v>
      </c>
      <c r="BN11" s="6">
        <v>843.22</v>
      </c>
      <c r="BO11" s="3">
        <v>80.553572751645603</v>
      </c>
      <c r="BP11" s="7">
        <v>41463.120000000003</v>
      </c>
      <c r="BQ11" s="2">
        <v>28.567031825493679</v>
      </c>
      <c r="BR11" s="2">
        <v>123.7904712438059</v>
      </c>
    </row>
    <row r="12" spans="1:70" x14ac:dyDescent="0.3">
      <c r="A12">
        <v>1985</v>
      </c>
      <c r="B12" s="1">
        <v>99852</v>
      </c>
      <c r="C12" s="2">
        <v>2640466.9077749401</v>
      </c>
      <c r="D12" s="3">
        <v>16.292854829657919</v>
      </c>
      <c r="E12" s="1">
        <v>59911</v>
      </c>
      <c r="F12" s="4">
        <v>0.42003594267494399</v>
      </c>
      <c r="G12" s="4">
        <v>0.30612118621218809</v>
      </c>
      <c r="H12" s="4">
        <v>9.5793977268296263E-2</v>
      </c>
      <c r="I12" s="4">
        <v>0.23094364487816421</v>
      </c>
      <c r="J12" s="5">
        <v>4.5918177931828206</v>
      </c>
      <c r="K12">
        <v>358</v>
      </c>
      <c r="L12">
        <v>9096</v>
      </c>
      <c r="M12">
        <v>13643</v>
      </c>
      <c r="N12">
        <v>23097</v>
      </c>
      <c r="O12" s="6">
        <v>2685</v>
      </c>
      <c r="P12" s="6">
        <v>22740</v>
      </c>
      <c r="Q12" s="6">
        <v>16371.6</v>
      </c>
      <c r="R12" s="6">
        <v>41796.6</v>
      </c>
      <c r="S12" s="2">
        <v>2.5783333333333331</v>
      </c>
      <c r="T12" s="2">
        <v>8.7388888888888889</v>
      </c>
      <c r="U12" s="2">
        <v>3.9319333333333328</v>
      </c>
      <c r="V12" s="2">
        <v>15.249155555555561</v>
      </c>
      <c r="W12">
        <v>15</v>
      </c>
      <c r="X12">
        <v>0</v>
      </c>
      <c r="Y12">
        <v>0</v>
      </c>
      <c r="Z12">
        <v>15</v>
      </c>
      <c r="AA12" s="2">
        <v>753294.49758533249</v>
      </c>
      <c r="AB12" s="6">
        <v>369</v>
      </c>
      <c r="AC12" s="6">
        <v>0</v>
      </c>
      <c r="AD12" s="6">
        <v>0</v>
      </c>
      <c r="AE12" s="6">
        <v>369</v>
      </c>
      <c r="AF12" s="3">
        <v>2.8874225690040518</v>
      </c>
      <c r="AG12">
        <v>15</v>
      </c>
      <c r="AH12">
        <v>0</v>
      </c>
      <c r="AI12">
        <v>0</v>
      </c>
      <c r="AJ12">
        <v>15</v>
      </c>
      <c r="AK12" s="2">
        <v>1095632.085340023</v>
      </c>
      <c r="AL12" s="6">
        <v>117.6</v>
      </c>
      <c r="AM12" s="6">
        <v>0</v>
      </c>
      <c r="AN12" s="6">
        <v>0</v>
      </c>
      <c r="AO12" s="6">
        <v>117.6</v>
      </c>
      <c r="AP12" s="3">
        <v>6.8037640863581703E-2</v>
      </c>
      <c r="AQ12">
        <v>0</v>
      </c>
      <c r="AR12">
        <v>0</v>
      </c>
      <c r="AS12">
        <v>0</v>
      </c>
      <c r="AT12">
        <v>0</v>
      </c>
      <c r="AU12" s="2">
        <v>0</v>
      </c>
      <c r="AV12" s="6">
        <v>0</v>
      </c>
      <c r="AW12" s="6">
        <v>0</v>
      </c>
      <c r="AX12" s="6">
        <v>0</v>
      </c>
      <c r="AY12" s="6">
        <v>0</v>
      </c>
      <c r="AZ12" s="3">
        <v>0</v>
      </c>
      <c r="BA12">
        <v>37</v>
      </c>
      <c r="BB12">
        <v>2</v>
      </c>
      <c r="BC12">
        <v>0</v>
      </c>
      <c r="BD12">
        <v>39</v>
      </c>
      <c r="BE12" s="2">
        <v>791540.32484958426</v>
      </c>
      <c r="BF12" s="6">
        <v>207.01499999999999</v>
      </c>
      <c r="BG12" s="6">
        <v>169.6</v>
      </c>
      <c r="BH12" s="6">
        <v>0</v>
      </c>
      <c r="BI12" s="6">
        <v>376.61500000000001</v>
      </c>
      <c r="BJ12" s="3">
        <v>86.35201076388374</v>
      </c>
      <c r="BK12" s="6">
        <v>693.61500000000001</v>
      </c>
      <c r="BL12" s="6">
        <v>169.6</v>
      </c>
      <c r="BM12" s="6">
        <v>0</v>
      </c>
      <c r="BN12" s="6">
        <v>863.21500000000003</v>
      </c>
      <c r="BO12" s="3">
        <v>89.307470973751379</v>
      </c>
      <c r="BP12" s="7">
        <v>42659.815000000002</v>
      </c>
      <c r="BQ12" s="2">
        <v>31.36698795879208</v>
      </c>
      <c r="BR12" s="2">
        <v>135.92361448809899</v>
      </c>
    </row>
    <row r="13" spans="1:70" x14ac:dyDescent="0.3">
      <c r="A13">
        <v>1986</v>
      </c>
      <c r="B13" s="1">
        <v>102097</v>
      </c>
      <c r="C13" s="2">
        <v>2873554.5714036291</v>
      </c>
      <c r="D13" s="3">
        <v>16.421699261825889</v>
      </c>
      <c r="E13" s="1">
        <v>61258</v>
      </c>
      <c r="F13" s="4">
        <v>0.42118789734868489</v>
      </c>
      <c r="G13" s="4">
        <v>0.32071751104538249</v>
      </c>
      <c r="H13" s="4">
        <v>9.7141594216212948E-2</v>
      </c>
      <c r="I13" s="4">
        <v>0.23586740425051289</v>
      </c>
      <c r="J13" s="5">
        <v>4.8107626656807394</v>
      </c>
      <c r="K13">
        <v>403</v>
      </c>
      <c r="L13">
        <v>9318</v>
      </c>
      <c r="M13">
        <v>13912</v>
      </c>
      <c r="N13">
        <v>23633</v>
      </c>
      <c r="O13" s="6">
        <v>3022.5</v>
      </c>
      <c r="P13" s="6">
        <v>23295</v>
      </c>
      <c r="Q13" s="6">
        <v>16694.400000000001</v>
      </c>
      <c r="R13" s="6">
        <v>43011.9</v>
      </c>
      <c r="S13" s="2">
        <v>2.9049999999999998</v>
      </c>
      <c r="T13" s="2">
        <v>8.945333333333334</v>
      </c>
      <c r="U13" s="2">
        <v>4.0065333333333344</v>
      </c>
      <c r="V13" s="2">
        <v>15.85686666666667</v>
      </c>
      <c r="W13">
        <v>17</v>
      </c>
      <c r="X13">
        <v>0</v>
      </c>
      <c r="Y13">
        <v>0</v>
      </c>
      <c r="Z13">
        <v>17</v>
      </c>
      <c r="AA13" s="2">
        <v>828108.28300624224</v>
      </c>
      <c r="AB13" s="6">
        <v>419.9</v>
      </c>
      <c r="AC13" s="6">
        <v>0</v>
      </c>
      <c r="AD13" s="6">
        <v>0</v>
      </c>
      <c r="AE13" s="6">
        <v>419.9</v>
      </c>
      <c r="AF13" s="3">
        <v>3.230734451613734</v>
      </c>
      <c r="AG13">
        <v>17</v>
      </c>
      <c r="AH13">
        <v>0</v>
      </c>
      <c r="AI13">
        <v>0</v>
      </c>
      <c r="AJ13">
        <v>17</v>
      </c>
      <c r="AK13" s="2">
        <v>1221605.780535704</v>
      </c>
      <c r="AL13" s="6">
        <v>132.6</v>
      </c>
      <c r="AM13" s="6">
        <v>0</v>
      </c>
      <c r="AN13" s="6">
        <v>0</v>
      </c>
      <c r="AO13" s="6">
        <v>132.6</v>
      </c>
      <c r="AP13" s="3">
        <v>7.6758120736631019E-2</v>
      </c>
      <c r="AQ13">
        <v>0</v>
      </c>
      <c r="AR13">
        <v>0</v>
      </c>
      <c r="AS13">
        <v>0</v>
      </c>
      <c r="AT13">
        <v>0</v>
      </c>
      <c r="AU13" s="2">
        <v>0</v>
      </c>
      <c r="AV13" s="6">
        <v>0</v>
      </c>
      <c r="AW13" s="6">
        <v>0</v>
      </c>
      <c r="AX13" s="6">
        <v>0</v>
      </c>
      <c r="AY13" s="6">
        <v>0</v>
      </c>
      <c r="AZ13" s="3">
        <v>0</v>
      </c>
      <c r="BA13">
        <v>39</v>
      </c>
      <c r="BB13">
        <v>2</v>
      </c>
      <c r="BC13">
        <v>0</v>
      </c>
      <c r="BD13">
        <v>41</v>
      </c>
      <c r="BE13" s="2">
        <v>823840.50786168315</v>
      </c>
      <c r="BF13" s="6">
        <v>230.49</v>
      </c>
      <c r="BG13" s="6">
        <v>176.1</v>
      </c>
      <c r="BH13" s="6">
        <v>0</v>
      </c>
      <c r="BI13" s="6">
        <v>406.59</v>
      </c>
      <c r="BJ13" s="3">
        <v>94.935384245826199</v>
      </c>
      <c r="BK13" s="6">
        <v>782.99</v>
      </c>
      <c r="BL13" s="6">
        <v>176.1</v>
      </c>
      <c r="BM13" s="6">
        <v>0</v>
      </c>
      <c r="BN13" s="6">
        <v>959.09</v>
      </c>
      <c r="BO13" s="3">
        <v>98.242876818176569</v>
      </c>
      <c r="BP13" s="7">
        <v>43970.99</v>
      </c>
      <c r="BQ13" s="2">
        <v>34.229923045452971</v>
      </c>
      <c r="BR13" s="2">
        <v>148.32966653029621</v>
      </c>
    </row>
    <row r="14" spans="1:70" x14ac:dyDescent="0.3">
      <c r="A14">
        <v>1987</v>
      </c>
      <c r="B14" s="1">
        <v>104393</v>
      </c>
      <c r="C14" s="2">
        <v>3119995.010114383</v>
      </c>
      <c r="D14" s="3">
        <v>16.563384182593079</v>
      </c>
      <c r="E14" s="1">
        <v>62635</v>
      </c>
      <c r="F14" s="4">
        <v>0.42245282337575951</v>
      </c>
      <c r="G14" s="4">
        <v>0.33488244928597932</v>
      </c>
      <c r="H14" s="4">
        <v>9.8643020933462347E-2</v>
      </c>
      <c r="I14" s="4">
        <v>0.24075703680036931</v>
      </c>
      <c r="J14" s="5">
        <v>5.0232367392896897</v>
      </c>
      <c r="K14">
        <v>452</v>
      </c>
      <c r="L14">
        <v>9549</v>
      </c>
      <c r="M14">
        <v>14185</v>
      </c>
      <c r="N14">
        <v>24186</v>
      </c>
      <c r="O14" s="6">
        <v>3390</v>
      </c>
      <c r="P14" s="6">
        <v>23872.5</v>
      </c>
      <c r="Q14" s="6">
        <v>17022</v>
      </c>
      <c r="R14" s="6">
        <v>44284.5</v>
      </c>
      <c r="S14" s="2">
        <v>3.253333333333333</v>
      </c>
      <c r="T14" s="2">
        <v>9.1588888888888889</v>
      </c>
      <c r="U14" s="2">
        <v>4.0815999999999999</v>
      </c>
      <c r="V14" s="2">
        <v>16.493822222222221</v>
      </c>
      <c r="W14">
        <v>18</v>
      </c>
      <c r="X14">
        <v>0</v>
      </c>
      <c r="Y14">
        <v>0</v>
      </c>
      <c r="Z14">
        <v>18</v>
      </c>
      <c r="AA14" s="2">
        <v>906419.64871095004</v>
      </c>
      <c r="AB14" s="6">
        <v>444.6</v>
      </c>
      <c r="AC14" s="6">
        <v>0</v>
      </c>
      <c r="AD14" s="6">
        <v>0</v>
      </c>
      <c r="AE14" s="6">
        <v>444.6</v>
      </c>
      <c r="AF14" s="3">
        <v>3.5846209790980912</v>
      </c>
      <c r="AG14">
        <v>18</v>
      </c>
      <c r="AH14">
        <v>0</v>
      </c>
      <c r="AI14">
        <v>0</v>
      </c>
      <c r="AJ14">
        <v>18</v>
      </c>
      <c r="AK14" s="2">
        <v>1356886.8984621561</v>
      </c>
      <c r="AL14" s="6">
        <v>137.52000000000001</v>
      </c>
      <c r="AM14" s="6">
        <v>0</v>
      </c>
      <c r="AN14" s="6">
        <v>0</v>
      </c>
      <c r="AO14" s="6">
        <v>137.52000000000001</v>
      </c>
      <c r="AP14" s="3">
        <v>8.5866431168306723E-2</v>
      </c>
      <c r="AQ14">
        <v>0</v>
      </c>
      <c r="AR14">
        <v>0</v>
      </c>
      <c r="AS14">
        <v>0</v>
      </c>
      <c r="AT14">
        <v>0</v>
      </c>
      <c r="AU14" s="2">
        <v>0</v>
      </c>
      <c r="AV14" s="6">
        <v>0</v>
      </c>
      <c r="AW14" s="6">
        <v>0</v>
      </c>
      <c r="AX14" s="6">
        <v>0</v>
      </c>
      <c r="AY14" s="6">
        <v>0</v>
      </c>
      <c r="AZ14" s="3">
        <v>0</v>
      </c>
      <c r="BA14">
        <v>40</v>
      </c>
      <c r="BB14">
        <v>2</v>
      </c>
      <c r="BC14">
        <v>0</v>
      </c>
      <c r="BD14">
        <v>42</v>
      </c>
      <c r="BE14" s="2">
        <v>856688.46294127707</v>
      </c>
      <c r="BF14" s="6">
        <v>232.8</v>
      </c>
      <c r="BG14" s="6">
        <v>177.4</v>
      </c>
      <c r="BH14" s="6">
        <v>0</v>
      </c>
      <c r="BI14" s="6">
        <v>410.2</v>
      </c>
      <c r="BJ14" s="3">
        <v>103.69953230728299</v>
      </c>
      <c r="BK14" s="6">
        <v>814.92</v>
      </c>
      <c r="BL14" s="6">
        <v>177.4</v>
      </c>
      <c r="BM14" s="6">
        <v>0</v>
      </c>
      <c r="BN14" s="6">
        <v>992.32</v>
      </c>
      <c r="BO14" s="3">
        <v>107.3700197175494</v>
      </c>
      <c r="BP14" s="7">
        <v>45276.82</v>
      </c>
      <c r="BQ14" s="2">
        <v>37.15915258193148</v>
      </c>
      <c r="BR14" s="2">
        <v>161.02299452170311</v>
      </c>
    </row>
    <row r="15" spans="1:70" x14ac:dyDescent="0.3">
      <c r="A15">
        <v>1988</v>
      </c>
      <c r="B15" s="1">
        <v>106742</v>
      </c>
      <c r="C15" s="2">
        <v>3380869.144148414</v>
      </c>
      <c r="D15" s="3">
        <v>16.719189260352561</v>
      </c>
      <c r="E15" s="1">
        <v>64045</v>
      </c>
      <c r="F15" s="4">
        <v>0.42383821227403029</v>
      </c>
      <c r="G15" s="4">
        <v>0.34862875033455692</v>
      </c>
      <c r="H15" s="4">
        <v>0.100317904178371</v>
      </c>
      <c r="I15" s="4">
        <v>0.24564838857730159</v>
      </c>
      <c r="J15" s="5">
        <v>5.229431255018353</v>
      </c>
      <c r="K15">
        <v>504</v>
      </c>
      <c r="L15">
        <v>9788</v>
      </c>
      <c r="M15">
        <v>14461</v>
      </c>
      <c r="N15">
        <v>24753</v>
      </c>
      <c r="O15" s="6">
        <v>3780</v>
      </c>
      <c r="P15" s="6">
        <v>24470</v>
      </c>
      <c r="Q15" s="6">
        <v>17353.2</v>
      </c>
      <c r="R15" s="6">
        <v>45603.199999999997</v>
      </c>
      <c r="S15" s="2">
        <v>3.623333333333334</v>
      </c>
      <c r="T15" s="2">
        <v>9.3797777777777771</v>
      </c>
      <c r="U15" s="2">
        <v>4.1571999999999996</v>
      </c>
      <c r="V15" s="2">
        <v>17.16031111111111</v>
      </c>
      <c r="W15">
        <v>20</v>
      </c>
      <c r="X15">
        <v>0</v>
      </c>
      <c r="Y15">
        <v>0</v>
      </c>
      <c r="Z15">
        <v>20</v>
      </c>
      <c r="AA15" s="2">
        <v>988506.30606696638</v>
      </c>
      <c r="AB15" s="6">
        <v>496</v>
      </c>
      <c r="AC15" s="6">
        <v>0</v>
      </c>
      <c r="AD15" s="6">
        <v>0</v>
      </c>
      <c r="AE15" s="6">
        <v>496</v>
      </c>
      <c r="AF15" s="3">
        <v>3.9493325218099899</v>
      </c>
      <c r="AG15">
        <v>20</v>
      </c>
      <c r="AH15">
        <v>0</v>
      </c>
      <c r="AI15">
        <v>0</v>
      </c>
      <c r="AJ15">
        <v>20</v>
      </c>
      <c r="AK15" s="2">
        <v>1502190.8607568881</v>
      </c>
      <c r="AL15" s="6">
        <v>158.4</v>
      </c>
      <c r="AM15" s="6">
        <v>0</v>
      </c>
      <c r="AN15" s="6">
        <v>0</v>
      </c>
      <c r="AO15" s="6">
        <v>158.4</v>
      </c>
      <c r="AP15" s="3">
        <v>9.5369371596961364E-2</v>
      </c>
      <c r="AQ15">
        <v>0</v>
      </c>
      <c r="AR15">
        <v>0</v>
      </c>
      <c r="AS15">
        <v>0</v>
      </c>
      <c r="AT15">
        <v>0</v>
      </c>
      <c r="AU15" s="2">
        <v>0</v>
      </c>
      <c r="AV15" s="6">
        <v>0</v>
      </c>
      <c r="AW15" s="6">
        <v>0</v>
      </c>
      <c r="AX15" s="6">
        <v>0</v>
      </c>
      <c r="AY15" s="6">
        <v>0</v>
      </c>
      <c r="AZ15" s="3">
        <v>0</v>
      </c>
      <c r="BA15">
        <v>42</v>
      </c>
      <c r="BB15">
        <v>2</v>
      </c>
      <c r="BC15">
        <v>0</v>
      </c>
      <c r="BD15">
        <v>44</v>
      </c>
      <c r="BE15" s="2">
        <v>890171.97732455947</v>
      </c>
      <c r="BF15" s="6">
        <v>233.1</v>
      </c>
      <c r="BG15" s="6">
        <v>174.8</v>
      </c>
      <c r="BH15" s="6">
        <v>0</v>
      </c>
      <c r="BI15" s="6">
        <v>407.9</v>
      </c>
      <c r="BJ15" s="3">
        <v>112.6558724584808</v>
      </c>
      <c r="BK15" s="6">
        <v>887.5</v>
      </c>
      <c r="BL15" s="6">
        <v>174.8</v>
      </c>
      <c r="BM15" s="6">
        <v>0</v>
      </c>
      <c r="BN15" s="6">
        <v>1062.3</v>
      </c>
      <c r="BO15" s="3">
        <v>116.70057435188779</v>
      </c>
      <c r="BP15" s="7">
        <v>46665.5</v>
      </c>
      <c r="BQ15" s="2">
        <v>40.158265638899671</v>
      </c>
      <c r="BR15" s="2">
        <v>174.01915110189859</v>
      </c>
    </row>
    <row r="16" spans="1:70" x14ac:dyDescent="0.3">
      <c r="A16">
        <v>1989</v>
      </c>
      <c r="B16" s="1">
        <v>109145</v>
      </c>
      <c r="C16" s="2">
        <v>3657146.8258660608</v>
      </c>
      <c r="D16" s="3">
        <v>16.89052169378439</v>
      </c>
      <c r="E16" s="1">
        <v>65487</v>
      </c>
      <c r="F16" s="4">
        <v>0.42535243831352959</v>
      </c>
      <c r="G16" s="4">
        <v>0.36196878678996208</v>
      </c>
      <c r="H16" s="4">
        <v>0.1021888295184141</v>
      </c>
      <c r="I16" s="4">
        <v>0.25057697257725581</v>
      </c>
      <c r="J16" s="5">
        <v>5.4295318018494321</v>
      </c>
      <c r="K16">
        <v>559</v>
      </c>
      <c r="L16">
        <v>10037</v>
      </c>
      <c r="M16">
        <v>14740</v>
      </c>
      <c r="N16">
        <v>25336</v>
      </c>
      <c r="O16" s="6">
        <v>4192.5</v>
      </c>
      <c r="P16" s="6">
        <v>25092.5</v>
      </c>
      <c r="Q16" s="6">
        <v>17688</v>
      </c>
      <c r="R16" s="6">
        <v>46973</v>
      </c>
      <c r="S16" s="2">
        <v>4.0149999999999997</v>
      </c>
      <c r="T16" s="2">
        <v>9.6084444444444443</v>
      </c>
      <c r="U16" s="2">
        <v>4.233133333333333</v>
      </c>
      <c r="V16" s="2">
        <v>17.85657777777778</v>
      </c>
      <c r="W16">
        <v>22</v>
      </c>
      <c r="X16">
        <v>0</v>
      </c>
      <c r="Y16">
        <v>0</v>
      </c>
      <c r="Z16">
        <v>22</v>
      </c>
      <c r="AA16" s="2">
        <v>1074613.880159812</v>
      </c>
      <c r="AB16" s="6">
        <v>530.20000000000005</v>
      </c>
      <c r="AC16" s="6">
        <v>0</v>
      </c>
      <c r="AD16" s="6">
        <v>0</v>
      </c>
      <c r="AE16" s="6">
        <v>530.20000000000005</v>
      </c>
      <c r="AF16" s="3">
        <v>4.3251661177448604</v>
      </c>
      <c r="AG16">
        <v>22</v>
      </c>
      <c r="AH16">
        <v>0</v>
      </c>
      <c r="AI16">
        <v>0</v>
      </c>
      <c r="AJ16">
        <v>22</v>
      </c>
      <c r="AK16" s="2">
        <v>1658209.6027357739</v>
      </c>
      <c r="AL16" s="6">
        <v>170.72</v>
      </c>
      <c r="AM16" s="6">
        <v>0</v>
      </c>
      <c r="AN16" s="6">
        <v>0</v>
      </c>
      <c r="AO16" s="6">
        <v>170.72</v>
      </c>
      <c r="AP16" s="3">
        <v>0.1052748226832915</v>
      </c>
      <c r="AQ16">
        <v>0</v>
      </c>
      <c r="AR16">
        <v>0</v>
      </c>
      <c r="AS16">
        <v>0</v>
      </c>
      <c r="AT16">
        <v>0</v>
      </c>
      <c r="AU16" s="2">
        <v>0</v>
      </c>
      <c r="AV16" s="6">
        <v>0</v>
      </c>
      <c r="AW16" s="6">
        <v>0</v>
      </c>
      <c r="AX16" s="6">
        <v>0</v>
      </c>
      <c r="AY16" s="6">
        <v>0</v>
      </c>
      <c r="AZ16" s="3">
        <v>0</v>
      </c>
      <c r="BA16">
        <v>43</v>
      </c>
      <c r="BB16">
        <v>2</v>
      </c>
      <c r="BC16">
        <v>0</v>
      </c>
      <c r="BD16">
        <v>45</v>
      </c>
      <c r="BE16" s="2">
        <v>924323.34297047474</v>
      </c>
      <c r="BF16" s="6">
        <v>238.65</v>
      </c>
      <c r="BG16" s="6">
        <v>176.1</v>
      </c>
      <c r="BH16" s="6">
        <v>0</v>
      </c>
      <c r="BI16" s="6">
        <v>414.75</v>
      </c>
      <c r="BJ16" s="3">
        <v>121.8167367874151</v>
      </c>
      <c r="BK16" s="6">
        <v>939.57</v>
      </c>
      <c r="BL16" s="6">
        <v>176.1</v>
      </c>
      <c r="BM16" s="6">
        <v>0</v>
      </c>
      <c r="BN16" s="6">
        <v>1115.67</v>
      </c>
      <c r="BO16" s="3">
        <v>126.24717772784329</v>
      </c>
      <c r="BP16" s="7">
        <v>48088.67</v>
      </c>
      <c r="BQ16" s="2">
        <v>43.231126651686303</v>
      </c>
      <c r="BR16" s="2">
        <v>187.33488215730731</v>
      </c>
    </row>
    <row r="17" spans="1:70" x14ac:dyDescent="0.3">
      <c r="A17">
        <v>1990</v>
      </c>
      <c r="B17" s="1">
        <v>111603</v>
      </c>
      <c r="C17" s="2">
        <v>3949864.7128818249</v>
      </c>
      <c r="D17" s="3">
        <v>17.078928921378001</v>
      </c>
      <c r="E17" s="1">
        <v>66961</v>
      </c>
      <c r="F17" s="4">
        <v>0.42700465232000517</v>
      </c>
      <c r="G17" s="4">
        <v>0.37491456558548453</v>
      </c>
      <c r="H17" s="4">
        <v>0.1042818443690649</v>
      </c>
      <c r="I17" s="4">
        <v>0.25557863201242242</v>
      </c>
      <c r="J17" s="5">
        <v>5.6237184837822669</v>
      </c>
      <c r="K17">
        <v>617</v>
      </c>
      <c r="L17">
        <v>10296</v>
      </c>
      <c r="M17">
        <v>15022</v>
      </c>
      <c r="N17">
        <v>25935</v>
      </c>
      <c r="O17" s="6">
        <v>4627.5</v>
      </c>
      <c r="P17" s="6">
        <v>25740</v>
      </c>
      <c r="Q17" s="6">
        <v>18026.400000000001</v>
      </c>
      <c r="R17" s="6">
        <v>48393.9</v>
      </c>
      <c r="S17" s="2">
        <v>4.4316666666666666</v>
      </c>
      <c r="T17" s="2">
        <v>9.8453333333333326</v>
      </c>
      <c r="U17" s="2">
        <v>4.3092666666666668</v>
      </c>
      <c r="V17" s="2">
        <v>18.58626666666667</v>
      </c>
      <c r="W17">
        <v>23</v>
      </c>
      <c r="X17">
        <v>0</v>
      </c>
      <c r="Y17">
        <v>0</v>
      </c>
      <c r="Z17">
        <v>23</v>
      </c>
      <c r="AA17" s="2">
        <v>1164996.1726125679</v>
      </c>
      <c r="AB17" s="6">
        <v>554.29999999999995</v>
      </c>
      <c r="AC17" s="6">
        <v>0</v>
      </c>
      <c r="AD17" s="6">
        <v>0</v>
      </c>
      <c r="AE17" s="6">
        <v>554.29999999999995</v>
      </c>
      <c r="AF17" s="3">
        <v>4.7124459368010552</v>
      </c>
      <c r="AG17">
        <v>23</v>
      </c>
      <c r="AH17">
        <v>0</v>
      </c>
      <c r="AI17">
        <v>0</v>
      </c>
      <c r="AJ17">
        <v>23</v>
      </c>
      <c r="AK17" s="2">
        <v>1825686.8810850461</v>
      </c>
      <c r="AL17" s="6">
        <v>176.64</v>
      </c>
      <c r="AM17" s="6">
        <v>0</v>
      </c>
      <c r="AN17" s="6">
        <v>0</v>
      </c>
      <c r="AO17" s="6">
        <v>176.64</v>
      </c>
      <c r="AP17" s="3">
        <v>0.11559136521364451</v>
      </c>
      <c r="AQ17">
        <v>0</v>
      </c>
      <c r="AR17">
        <v>0</v>
      </c>
      <c r="AS17">
        <v>0</v>
      </c>
      <c r="AT17">
        <v>0</v>
      </c>
      <c r="AU17" s="2">
        <v>0</v>
      </c>
      <c r="AV17" s="6">
        <v>0</v>
      </c>
      <c r="AW17" s="6">
        <v>0</v>
      </c>
      <c r="AX17" s="6">
        <v>0</v>
      </c>
      <c r="AY17" s="6">
        <v>0</v>
      </c>
      <c r="AZ17" s="3">
        <v>0</v>
      </c>
      <c r="BA17">
        <v>44</v>
      </c>
      <c r="BB17">
        <v>2</v>
      </c>
      <c r="BC17">
        <v>0</v>
      </c>
      <c r="BD17">
        <v>46</v>
      </c>
      <c r="BE17" s="2">
        <v>959181.65918421198</v>
      </c>
      <c r="BF17" s="6">
        <v>254.1</v>
      </c>
      <c r="BG17" s="6">
        <v>177.4</v>
      </c>
      <c r="BH17" s="6">
        <v>0</v>
      </c>
      <c r="BI17" s="6">
        <v>431.5</v>
      </c>
      <c r="BJ17" s="3">
        <v>131.1947226460365</v>
      </c>
      <c r="BK17" s="6">
        <v>985.04</v>
      </c>
      <c r="BL17" s="6">
        <v>177.4</v>
      </c>
      <c r="BM17" s="6">
        <v>0</v>
      </c>
      <c r="BN17" s="6">
        <v>1162.44</v>
      </c>
      <c r="BO17" s="3">
        <v>136.0227599480512</v>
      </c>
      <c r="BP17" s="7">
        <v>49556.34</v>
      </c>
      <c r="BQ17" s="2">
        <v>46.382707984415347</v>
      </c>
      <c r="BR17" s="2">
        <v>200.9917345991332</v>
      </c>
    </row>
    <row r="18" spans="1:70" x14ac:dyDescent="0.3">
      <c r="A18">
        <v>1991</v>
      </c>
      <c r="B18" s="1">
        <v>114118</v>
      </c>
      <c r="C18" s="2">
        <v>4260235.5117436899</v>
      </c>
      <c r="D18" s="3">
        <v>17.28611259757108</v>
      </c>
      <c r="E18" s="1">
        <v>68470</v>
      </c>
      <c r="F18" s="4">
        <v>0.42880572122296318</v>
      </c>
      <c r="G18" s="4">
        <v>0.38747773879590608</v>
      </c>
      <c r="H18" s="4">
        <v>0.1066270891213686</v>
      </c>
      <c r="I18" s="4">
        <v>0.26069035314134881</v>
      </c>
      <c r="J18" s="5">
        <v>5.8121660819385914</v>
      </c>
      <c r="K18">
        <v>680</v>
      </c>
      <c r="L18">
        <v>10566</v>
      </c>
      <c r="M18">
        <v>15307</v>
      </c>
      <c r="N18">
        <v>26553</v>
      </c>
      <c r="O18" s="6">
        <v>5100</v>
      </c>
      <c r="P18" s="6">
        <v>26415</v>
      </c>
      <c r="Q18" s="6">
        <v>18368.400000000001</v>
      </c>
      <c r="R18" s="6">
        <v>49883.4</v>
      </c>
      <c r="S18" s="2">
        <v>4.871666666666667</v>
      </c>
      <c r="T18" s="2">
        <v>10.091111111111109</v>
      </c>
      <c r="U18" s="2">
        <v>4.3856000000000002</v>
      </c>
      <c r="V18" s="2">
        <v>19.348377777777781</v>
      </c>
      <c r="W18">
        <v>25</v>
      </c>
      <c r="X18">
        <v>0</v>
      </c>
      <c r="Y18">
        <v>0</v>
      </c>
      <c r="Z18">
        <v>25</v>
      </c>
      <c r="AA18" s="2">
        <v>1259941.6863756659</v>
      </c>
      <c r="AB18" s="6">
        <v>615</v>
      </c>
      <c r="AC18" s="6">
        <v>0</v>
      </c>
      <c r="AD18" s="6">
        <v>0</v>
      </c>
      <c r="AE18" s="6">
        <v>615</v>
      </c>
      <c r="AF18" s="3">
        <v>5.1115179150157477</v>
      </c>
      <c r="AG18">
        <v>25</v>
      </c>
      <c r="AH18">
        <v>0</v>
      </c>
      <c r="AI18">
        <v>0</v>
      </c>
      <c r="AJ18">
        <v>25</v>
      </c>
      <c r="AK18" s="2">
        <v>2005472.220031624</v>
      </c>
      <c r="AL18" s="6">
        <v>192</v>
      </c>
      <c r="AM18" s="6">
        <v>0</v>
      </c>
      <c r="AN18" s="6">
        <v>0</v>
      </c>
      <c r="AO18" s="6">
        <v>192</v>
      </c>
      <c r="AP18" s="3">
        <v>0.126328181224376</v>
      </c>
      <c r="AQ18">
        <v>0</v>
      </c>
      <c r="AR18">
        <v>0</v>
      </c>
      <c r="AS18">
        <v>0</v>
      </c>
      <c r="AT18">
        <v>0</v>
      </c>
      <c r="AU18" s="2">
        <v>0</v>
      </c>
      <c r="AV18" s="6">
        <v>0</v>
      </c>
      <c r="AW18" s="6">
        <v>0</v>
      </c>
      <c r="AX18" s="6">
        <v>0</v>
      </c>
      <c r="AY18" s="6">
        <v>0</v>
      </c>
      <c r="AZ18" s="3">
        <v>0</v>
      </c>
      <c r="BA18">
        <v>46</v>
      </c>
      <c r="BB18">
        <v>2</v>
      </c>
      <c r="BC18">
        <v>0</v>
      </c>
      <c r="BD18">
        <v>48</v>
      </c>
      <c r="BE18" s="2">
        <v>994821.6053363994</v>
      </c>
      <c r="BF18" s="6">
        <v>267.72000000000003</v>
      </c>
      <c r="BG18" s="6">
        <v>174.8</v>
      </c>
      <c r="BH18" s="6">
        <v>0</v>
      </c>
      <c r="BI18" s="6">
        <v>442.52</v>
      </c>
      <c r="BJ18" s="3">
        <v>140.80254152885809</v>
      </c>
      <c r="BK18" s="6">
        <v>1074.72</v>
      </c>
      <c r="BL18" s="6">
        <v>174.8</v>
      </c>
      <c r="BM18" s="6">
        <v>0</v>
      </c>
      <c r="BN18" s="6">
        <v>1249.52</v>
      </c>
      <c r="BO18" s="3">
        <v>146.04038762509819</v>
      </c>
      <c r="BP18" s="7">
        <v>51132.92</v>
      </c>
      <c r="BQ18" s="2">
        <v>49.616629620862788</v>
      </c>
      <c r="BR18" s="2">
        <v>215.0053950237388</v>
      </c>
    </row>
    <row r="19" spans="1:70" x14ac:dyDescent="0.3">
      <c r="A19">
        <v>1992</v>
      </c>
      <c r="B19" s="1">
        <v>116692</v>
      </c>
      <c r="C19" s="2">
        <v>4589460.2867771806</v>
      </c>
      <c r="D19" s="3">
        <v>17.51394396173437</v>
      </c>
      <c r="E19" s="1">
        <v>70015</v>
      </c>
      <c r="F19" s="4">
        <v>0.43076486298554539</v>
      </c>
      <c r="G19" s="4">
        <v>0.39966961412515611</v>
      </c>
      <c r="H19" s="4">
        <v>0.1092595611133225</v>
      </c>
      <c r="I19" s="4">
        <v>0.26595017759521028</v>
      </c>
      <c r="J19" s="5">
        <v>5.9950442118773406</v>
      </c>
      <c r="K19">
        <v>746</v>
      </c>
      <c r="L19">
        <v>10848</v>
      </c>
      <c r="M19">
        <v>15595</v>
      </c>
      <c r="N19">
        <v>27189</v>
      </c>
      <c r="O19" s="6">
        <v>5595</v>
      </c>
      <c r="P19" s="6">
        <v>27120</v>
      </c>
      <c r="Q19" s="6">
        <v>18714</v>
      </c>
      <c r="R19" s="6">
        <v>51429</v>
      </c>
      <c r="S19" s="2">
        <v>5.3383333333333329</v>
      </c>
      <c r="T19" s="2">
        <v>10.34622222222222</v>
      </c>
      <c r="U19" s="2">
        <v>4.4619333333333344</v>
      </c>
      <c r="V19" s="2">
        <v>20.146488888888889</v>
      </c>
      <c r="W19">
        <v>27</v>
      </c>
      <c r="X19">
        <v>0</v>
      </c>
      <c r="Y19">
        <v>0</v>
      </c>
      <c r="Z19">
        <v>27</v>
      </c>
      <c r="AA19" s="2">
        <v>1359730.62952457</v>
      </c>
      <c r="AB19" s="6">
        <v>650.70000000000005</v>
      </c>
      <c r="AC19" s="6">
        <v>0</v>
      </c>
      <c r="AD19" s="6">
        <v>0</v>
      </c>
      <c r="AE19" s="6">
        <v>650.70000000000005</v>
      </c>
      <c r="AF19" s="3">
        <v>5.522736132334737</v>
      </c>
      <c r="AG19">
        <v>27</v>
      </c>
      <c r="AH19">
        <v>0</v>
      </c>
      <c r="AI19">
        <v>0</v>
      </c>
      <c r="AJ19">
        <v>27</v>
      </c>
      <c r="AK19" s="2">
        <v>2198438.708253568</v>
      </c>
      <c r="AL19" s="6">
        <v>206.28</v>
      </c>
      <c r="AM19" s="6">
        <v>0</v>
      </c>
      <c r="AN19" s="6">
        <v>0</v>
      </c>
      <c r="AO19" s="6">
        <v>206.28</v>
      </c>
      <c r="AP19" s="3">
        <v>0.13749477937556001</v>
      </c>
      <c r="AQ19">
        <v>0</v>
      </c>
      <c r="AR19">
        <v>0</v>
      </c>
      <c r="AS19">
        <v>0</v>
      </c>
      <c r="AT19">
        <v>0</v>
      </c>
      <c r="AU19" s="2">
        <v>0</v>
      </c>
      <c r="AV19" s="6">
        <v>0</v>
      </c>
      <c r="AW19" s="6">
        <v>0</v>
      </c>
      <c r="AX19" s="6">
        <v>0</v>
      </c>
      <c r="AY19" s="6">
        <v>0</v>
      </c>
      <c r="AZ19" s="3">
        <v>0</v>
      </c>
      <c r="BA19">
        <v>47</v>
      </c>
      <c r="BB19">
        <v>2</v>
      </c>
      <c r="BC19">
        <v>0</v>
      </c>
      <c r="BD19">
        <v>49</v>
      </c>
      <c r="BE19" s="2">
        <v>1031290.948999043</v>
      </c>
      <c r="BF19" s="6">
        <v>265.08</v>
      </c>
      <c r="BG19" s="6">
        <v>173.5</v>
      </c>
      <c r="BH19" s="6">
        <v>0</v>
      </c>
      <c r="BI19" s="6">
        <v>438.58</v>
      </c>
      <c r="BJ19" s="3">
        <v>150.65259711663671</v>
      </c>
      <c r="BK19" s="6">
        <v>1122.06</v>
      </c>
      <c r="BL19" s="6">
        <v>173.5</v>
      </c>
      <c r="BM19" s="6">
        <v>0</v>
      </c>
      <c r="BN19" s="6">
        <v>1295.56</v>
      </c>
      <c r="BO19" s="3">
        <v>156.31282802834701</v>
      </c>
      <c r="BP19" s="7">
        <v>52724.56</v>
      </c>
      <c r="BQ19" s="2">
        <v>52.937795075170783</v>
      </c>
      <c r="BR19" s="2">
        <v>229.39711199240671</v>
      </c>
    </row>
    <row r="20" spans="1:70" x14ac:dyDescent="0.3">
      <c r="A20">
        <v>1993</v>
      </c>
      <c r="B20" s="1">
        <v>119326</v>
      </c>
      <c r="C20" s="2">
        <v>4938720.9572953098</v>
      </c>
      <c r="D20" s="3">
        <v>17.764480738812001</v>
      </c>
      <c r="E20" s="1">
        <v>71595</v>
      </c>
      <c r="F20" s="4">
        <v>0.43289293510082688</v>
      </c>
      <c r="G20" s="4">
        <v>0.41150116508400691</v>
      </c>
      <c r="H20" s="4">
        <v>0.1122200421305815</v>
      </c>
      <c r="I20" s="4">
        <v>0.27139843034936179</v>
      </c>
      <c r="J20" s="5">
        <v>6.1725174762601034</v>
      </c>
      <c r="K20">
        <v>816</v>
      </c>
      <c r="L20">
        <v>11143</v>
      </c>
      <c r="M20">
        <v>15885</v>
      </c>
      <c r="N20">
        <v>27844</v>
      </c>
      <c r="O20" s="6">
        <v>6120</v>
      </c>
      <c r="P20" s="6">
        <v>27857.5</v>
      </c>
      <c r="Q20" s="6">
        <v>19062</v>
      </c>
      <c r="R20" s="6">
        <v>53039.5</v>
      </c>
      <c r="S20" s="2">
        <v>5.833333333333333</v>
      </c>
      <c r="T20" s="2">
        <v>10.61155555555556</v>
      </c>
      <c r="U20" s="2">
        <v>4.5381999999999998</v>
      </c>
      <c r="V20" s="2">
        <v>20.98308888888889</v>
      </c>
      <c r="W20">
        <v>29</v>
      </c>
      <c r="X20">
        <v>0</v>
      </c>
      <c r="Y20">
        <v>0</v>
      </c>
      <c r="Z20">
        <v>29</v>
      </c>
      <c r="AA20" s="2">
        <v>1464633.497486596</v>
      </c>
      <c r="AB20" s="6">
        <v>719.2</v>
      </c>
      <c r="AC20" s="6">
        <v>0</v>
      </c>
      <c r="AD20" s="6">
        <v>0</v>
      </c>
      <c r="AE20" s="6">
        <v>719.2</v>
      </c>
      <c r="AF20" s="3">
        <v>5.9464706603211273</v>
      </c>
      <c r="AG20">
        <v>29</v>
      </c>
      <c r="AH20">
        <v>0</v>
      </c>
      <c r="AI20">
        <v>0</v>
      </c>
      <c r="AJ20">
        <v>29</v>
      </c>
      <c r="AK20" s="2">
        <v>2405477.4207070149</v>
      </c>
      <c r="AL20" s="6">
        <v>221.56</v>
      </c>
      <c r="AM20" s="6">
        <v>0</v>
      </c>
      <c r="AN20" s="6">
        <v>0</v>
      </c>
      <c r="AO20" s="6">
        <v>221.56</v>
      </c>
      <c r="AP20" s="3">
        <v>0.1491011588260947</v>
      </c>
      <c r="AQ20">
        <v>0</v>
      </c>
      <c r="AR20">
        <v>0</v>
      </c>
      <c r="AS20">
        <v>0</v>
      </c>
      <c r="AT20">
        <v>0</v>
      </c>
      <c r="AU20" s="2">
        <v>0</v>
      </c>
      <c r="AV20" s="6">
        <v>0</v>
      </c>
      <c r="AW20" s="6">
        <v>0</v>
      </c>
      <c r="AX20" s="6">
        <v>0</v>
      </c>
      <c r="AY20" s="6">
        <v>0</v>
      </c>
      <c r="AZ20" s="3">
        <v>0</v>
      </c>
      <c r="BA20">
        <v>49</v>
      </c>
      <c r="BB20">
        <v>2</v>
      </c>
      <c r="BC20">
        <v>0</v>
      </c>
      <c r="BD20">
        <v>51</v>
      </c>
      <c r="BE20" s="2">
        <v>1068610.0391017001</v>
      </c>
      <c r="BF20" s="6">
        <v>274.15499999999997</v>
      </c>
      <c r="BG20" s="6">
        <v>168.3</v>
      </c>
      <c r="BH20" s="6">
        <v>0</v>
      </c>
      <c r="BI20" s="6">
        <v>442.45499999999998</v>
      </c>
      <c r="BJ20" s="3">
        <v>160.75729393585561</v>
      </c>
      <c r="BK20" s="6">
        <v>1214.915</v>
      </c>
      <c r="BL20" s="6">
        <v>168.3</v>
      </c>
      <c r="BM20" s="6">
        <v>0</v>
      </c>
      <c r="BN20" s="6">
        <v>1383.2149999999999</v>
      </c>
      <c r="BO20" s="3">
        <v>166.8528657550028</v>
      </c>
      <c r="BP20" s="7">
        <v>54422.714999999997</v>
      </c>
      <c r="BQ20" s="2">
        <v>56.350786393167503</v>
      </c>
      <c r="BR20" s="2">
        <v>244.18674103705919</v>
      </c>
    </row>
    <row r="21" spans="1:70" x14ac:dyDescent="0.3">
      <c r="A21">
        <v>1994</v>
      </c>
      <c r="B21" s="1">
        <v>122022</v>
      </c>
      <c r="C21" s="2">
        <v>5309469.1476983689</v>
      </c>
      <c r="D21" s="3">
        <v>18.03998572426017</v>
      </c>
      <c r="E21" s="1">
        <v>73213</v>
      </c>
      <c r="F21" s="4">
        <v>0.43520118436309679</v>
      </c>
      <c r="G21" s="4">
        <v>0.42298304086697519</v>
      </c>
      <c r="H21" s="4">
        <v>0.1155562273968589</v>
      </c>
      <c r="I21" s="4">
        <v>0.27707805232105348</v>
      </c>
      <c r="J21" s="5">
        <v>6.3447456130046289</v>
      </c>
      <c r="K21">
        <v>891</v>
      </c>
      <c r="L21">
        <v>11451</v>
      </c>
      <c r="M21">
        <v>16177</v>
      </c>
      <c r="N21">
        <v>28519</v>
      </c>
      <c r="O21" s="6">
        <v>6682.5</v>
      </c>
      <c r="P21" s="6">
        <v>28627.5</v>
      </c>
      <c r="Q21" s="6">
        <v>19412.400000000001</v>
      </c>
      <c r="R21" s="6">
        <v>54722.400000000001</v>
      </c>
      <c r="S21" s="2">
        <v>6.3566666666666656</v>
      </c>
      <c r="T21" s="2">
        <v>10.88755555555556</v>
      </c>
      <c r="U21" s="2">
        <v>4.6141333333333332</v>
      </c>
      <c r="V21" s="2">
        <v>21.858355555555551</v>
      </c>
      <c r="W21">
        <v>31</v>
      </c>
      <c r="X21">
        <v>0</v>
      </c>
      <c r="Y21">
        <v>0</v>
      </c>
      <c r="Z21">
        <v>31</v>
      </c>
      <c r="AA21" s="2">
        <v>1574977.6486322151</v>
      </c>
      <c r="AB21" s="6">
        <v>759.5</v>
      </c>
      <c r="AC21" s="6">
        <v>0</v>
      </c>
      <c r="AD21" s="6">
        <v>0</v>
      </c>
      <c r="AE21" s="6">
        <v>759.5</v>
      </c>
      <c r="AF21" s="3">
        <v>6.3830924131829097</v>
      </c>
      <c r="AG21">
        <v>31</v>
      </c>
      <c r="AH21">
        <v>0</v>
      </c>
      <c r="AI21">
        <v>0</v>
      </c>
      <c r="AJ21">
        <v>31</v>
      </c>
      <c r="AK21" s="2">
        <v>2627639.145899476</v>
      </c>
      <c r="AL21" s="6">
        <v>241.8</v>
      </c>
      <c r="AM21" s="6">
        <v>0</v>
      </c>
      <c r="AN21" s="6">
        <v>0</v>
      </c>
      <c r="AO21" s="6">
        <v>241.8</v>
      </c>
      <c r="AP21" s="3">
        <v>0.1611574989046671</v>
      </c>
      <c r="AQ21">
        <v>0</v>
      </c>
      <c r="AR21">
        <v>0</v>
      </c>
      <c r="AS21">
        <v>0</v>
      </c>
      <c r="AT21">
        <v>0</v>
      </c>
      <c r="AU21" s="2">
        <v>0</v>
      </c>
      <c r="AV21" s="6">
        <v>0</v>
      </c>
      <c r="AW21" s="6">
        <v>0</v>
      </c>
      <c r="AX21" s="6">
        <v>0</v>
      </c>
      <c r="AY21" s="6">
        <v>0</v>
      </c>
      <c r="AZ21" s="3">
        <v>0</v>
      </c>
      <c r="BA21">
        <v>50</v>
      </c>
      <c r="BB21">
        <v>2</v>
      </c>
      <c r="BC21">
        <v>0</v>
      </c>
      <c r="BD21">
        <v>52</v>
      </c>
      <c r="BE21" s="2">
        <v>1106852.353166678</v>
      </c>
      <c r="BF21" s="6">
        <v>293.25</v>
      </c>
      <c r="BG21" s="6">
        <v>169.6</v>
      </c>
      <c r="BH21" s="6">
        <v>0</v>
      </c>
      <c r="BI21" s="6">
        <v>462.85</v>
      </c>
      <c r="BJ21" s="3">
        <v>171.12856429163841</v>
      </c>
      <c r="BK21" s="6">
        <v>1294.55</v>
      </c>
      <c r="BL21" s="6">
        <v>169.6</v>
      </c>
      <c r="BM21" s="6">
        <v>0</v>
      </c>
      <c r="BN21" s="6">
        <v>1464.15</v>
      </c>
      <c r="BO21" s="3">
        <v>177.67281420372589</v>
      </c>
      <c r="BP21" s="7">
        <v>56186.55</v>
      </c>
      <c r="BQ21" s="2">
        <v>59.85935092778444</v>
      </c>
      <c r="BR21" s="2">
        <v>259.39052068706587</v>
      </c>
    </row>
    <row r="22" spans="1:70" x14ac:dyDescent="0.3">
      <c r="A22">
        <v>1995</v>
      </c>
      <c r="B22" s="1">
        <v>124782</v>
      </c>
      <c r="C22" s="2">
        <v>5703115.643655804</v>
      </c>
      <c r="D22" s="3">
        <v>18.342947221139639</v>
      </c>
      <c r="E22" s="1">
        <v>74869</v>
      </c>
      <c r="F22" s="4">
        <v>0.43770115767271239</v>
      </c>
      <c r="G22" s="4">
        <v>0.43412557593731571</v>
      </c>
      <c r="H22" s="4">
        <v>0.1193241028310174</v>
      </c>
      <c r="I22" s="4">
        <v>0.28303517701566588</v>
      </c>
      <c r="J22" s="5">
        <v>6.5118836390597359</v>
      </c>
      <c r="K22">
        <v>971</v>
      </c>
      <c r="L22">
        <v>11774</v>
      </c>
      <c r="M22">
        <v>16471</v>
      </c>
      <c r="N22">
        <v>29216</v>
      </c>
      <c r="O22" s="6">
        <v>7282.5</v>
      </c>
      <c r="P22" s="6">
        <v>29435</v>
      </c>
      <c r="Q22" s="6">
        <v>19765.2</v>
      </c>
      <c r="R22" s="6">
        <v>56482.7</v>
      </c>
      <c r="S22" s="2">
        <v>6.9133333333333331</v>
      </c>
      <c r="T22" s="2">
        <v>11.174888888888891</v>
      </c>
      <c r="U22" s="2">
        <v>4.6897333333333338</v>
      </c>
      <c r="V22" s="2">
        <v>22.77795555555555</v>
      </c>
      <c r="W22">
        <v>33</v>
      </c>
      <c r="X22">
        <v>0</v>
      </c>
      <c r="Y22">
        <v>0</v>
      </c>
      <c r="Z22">
        <v>33</v>
      </c>
      <c r="AA22" s="2">
        <v>1691074.9395343061</v>
      </c>
      <c r="AB22" s="6">
        <v>795.3</v>
      </c>
      <c r="AC22" s="6">
        <v>0</v>
      </c>
      <c r="AD22" s="6">
        <v>0</v>
      </c>
      <c r="AE22" s="6">
        <v>795.3</v>
      </c>
      <c r="AF22" s="3">
        <v>6.8329725362803142</v>
      </c>
      <c r="AG22">
        <v>33</v>
      </c>
      <c r="AH22">
        <v>0</v>
      </c>
      <c r="AI22">
        <v>0</v>
      </c>
      <c r="AJ22">
        <v>33</v>
      </c>
      <c r="AK22" s="2">
        <v>2865988.257222814</v>
      </c>
      <c r="AL22" s="6">
        <v>257.39999999999998</v>
      </c>
      <c r="AM22" s="6">
        <v>0</v>
      </c>
      <c r="AN22" s="6">
        <v>0</v>
      </c>
      <c r="AO22" s="6">
        <v>257.39999999999998</v>
      </c>
      <c r="AP22" s="3">
        <v>0.17367414201853501</v>
      </c>
      <c r="AQ22">
        <v>0</v>
      </c>
      <c r="AR22">
        <v>0</v>
      </c>
      <c r="AS22">
        <v>0</v>
      </c>
      <c r="AT22">
        <v>0</v>
      </c>
      <c r="AU22" s="2">
        <v>0</v>
      </c>
      <c r="AV22" s="6">
        <v>0</v>
      </c>
      <c r="AW22" s="6">
        <v>0</v>
      </c>
      <c r="AX22" s="6">
        <v>0</v>
      </c>
      <c r="AY22" s="6">
        <v>0</v>
      </c>
      <c r="AZ22" s="3">
        <v>0</v>
      </c>
      <c r="BA22">
        <v>52</v>
      </c>
      <c r="BB22">
        <v>2</v>
      </c>
      <c r="BC22">
        <v>0</v>
      </c>
      <c r="BD22">
        <v>54</v>
      </c>
      <c r="BE22" s="2">
        <v>1146052.4468986839</v>
      </c>
      <c r="BF22" s="6">
        <v>293.27999999999997</v>
      </c>
      <c r="BG22" s="6">
        <v>168.3</v>
      </c>
      <c r="BH22" s="6">
        <v>0</v>
      </c>
      <c r="BI22" s="6">
        <v>461.58</v>
      </c>
      <c r="BJ22" s="3">
        <v>181.77789679208709</v>
      </c>
      <c r="BK22" s="6">
        <v>1345.98</v>
      </c>
      <c r="BL22" s="6">
        <v>168.3</v>
      </c>
      <c r="BM22" s="6">
        <v>0</v>
      </c>
      <c r="BN22" s="6">
        <v>1514.28</v>
      </c>
      <c r="BO22" s="3">
        <v>188.78454347038601</v>
      </c>
      <c r="BP22" s="7">
        <v>57996.98</v>
      </c>
      <c r="BQ22" s="2">
        <v>63.468749707782457</v>
      </c>
      <c r="BR22" s="2">
        <v>275.031248733724</v>
      </c>
    </row>
    <row r="23" spans="1:70" x14ac:dyDescent="0.3">
      <c r="A23">
        <v>1996</v>
      </c>
      <c r="B23" s="1">
        <v>127608</v>
      </c>
      <c r="C23" s="2">
        <v>6121233.0283054681</v>
      </c>
      <c r="D23" s="3">
        <v>18.676101513945401</v>
      </c>
      <c r="E23" s="1">
        <v>76564</v>
      </c>
      <c r="F23" s="4">
        <v>0.44040467436283282</v>
      </c>
      <c r="G23" s="4">
        <v>0.4449387993287352</v>
      </c>
      <c r="H23" s="4">
        <v>0.1235896278330339</v>
      </c>
      <c r="I23" s="4">
        <v>0.28931974541351407</v>
      </c>
      <c r="J23" s="5">
        <v>6.674081989931028</v>
      </c>
      <c r="K23">
        <v>1056</v>
      </c>
      <c r="L23">
        <v>12113</v>
      </c>
      <c r="M23">
        <v>16767</v>
      </c>
      <c r="N23">
        <v>29936</v>
      </c>
      <c r="O23" s="6">
        <v>7920</v>
      </c>
      <c r="P23" s="6">
        <v>30282.5</v>
      </c>
      <c r="Q23" s="6">
        <v>20120.400000000001</v>
      </c>
      <c r="R23" s="6">
        <v>58322.9</v>
      </c>
      <c r="S23" s="2">
        <v>7.5016666666666669</v>
      </c>
      <c r="T23" s="2">
        <v>11.47422222222222</v>
      </c>
      <c r="U23" s="2">
        <v>4.764733333333333</v>
      </c>
      <c r="V23" s="2">
        <v>23.740622222222221</v>
      </c>
      <c r="W23">
        <v>36</v>
      </c>
      <c r="X23">
        <v>0</v>
      </c>
      <c r="Y23">
        <v>0</v>
      </c>
      <c r="Z23">
        <v>36</v>
      </c>
      <c r="AA23" s="2">
        <v>1813269.162916394</v>
      </c>
      <c r="AB23" s="6">
        <v>878.4</v>
      </c>
      <c r="AC23" s="6">
        <v>0</v>
      </c>
      <c r="AD23" s="6">
        <v>0</v>
      </c>
      <c r="AE23" s="6">
        <v>878.4</v>
      </c>
      <c r="AF23" s="3">
        <v>7.2964912172630223</v>
      </c>
      <c r="AG23">
        <v>36</v>
      </c>
      <c r="AH23">
        <v>0</v>
      </c>
      <c r="AI23">
        <v>0</v>
      </c>
      <c r="AJ23">
        <v>36</v>
      </c>
      <c r="AK23" s="2">
        <v>3121703.6401964459</v>
      </c>
      <c r="AL23" s="6">
        <v>283.68</v>
      </c>
      <c r="AM23" s="6">
        <v>0</v>
      </c>
      <c r="AN23" s="6">
        <v>0</v>
      </c>
      <c r="AO23" s="6">
        <v>283.68</v>
      </c>
      <c r="AP23" s="3">
        <v>0.1866617726154691</v>
      </c>
      <c r="AQ23">
        <v>0</v>
      </c>
      <c r="AR23">
        <v>0</v>
      </c>
      <c r="AS23">
        <v>0</v>
      </c>
      <c r="AT23">
        <v>0</v>
      </c>
      <c r="AU23" s="2">
        <v>0</v>
      </c>
      <c r="AV23" s="6">
        <v>0</v>
      </c>
      <c r="AW23" s="6">
        <v>0</v>
      </c>
      <c r="AX23" s="6">
        <v>0</v>
      </c>
      <c r="AY23" s="6">
        <v>0</v>
      </c>
      <c r="AZ23" s="3">
        <v>0</v>
      </c>
      <c r="BA23">
        <v>53</v>
      </c>
      <c r="BB23">
        <v>2</v>
      </c>
      <c r="BC23">
        <v>0</v>
      </c>
      <c r="BD23">
        <v>55</v>
      </c>
      <c r="BE23" s="2">
        <v>1186260.2251926281</v>
      </c>
      <c r="BF23" s="6">
        <v>298.92</v>
      </c>
      <c r="BG23" s="6">
        <v>172.2</v>
      </c>
      <c r="BH23" s="6">
        <v>0</v>
      </c>
      <c r="BI23" s="6">
        <v>471.12</v>
      </c>
      <c r="BJ23" s="3">
        <v>192.71667488486261</v>
      </c>
      <c r="BK23" s="6">
        <v>1461</v>
      </c>
      <c r="BL23" s="6">
        <v>172.2</v>
      </c>
      <c r="BM23" s="6">
        <v>0</v>
      </c>
      <c r="BN23" s="6">
        <v>1633.2</v>
      </c>
      <c r="BO23" s="3">
        <v>200.19982787474109</v>
      </c>
      <c r="BP23" s="7">
        <v>59956.1</v>
      </c>
      <c r="BQ23" s="2">
        <v>67.182135029089011</v>
      </c>
      <c r="BR23" s="2">
        <v>291.1225851260524</v>
      </c>
    </row>
    <row r="24" spans="1:70" x14ac:dyDescent="0.3">
      <c r="A24">
        <v>1997</v>
      </c>
      <c r="B24" s="1">
        <v>130502</v>
      </c>
      <c r="C24" s="2">
        <v>6565639.3692106111</v>
      </c>
      <c r="D24" s="3">
        <v>19.042457582152529</v>
      </c>
      <c r="E24" s="1">
        <v>78301</v>
      </c>
      <c r="F24" s="4">
        <v>0.44332373236508221</v>
      </c>
      <c r="G24" s="4">
        <v>0.45543244367220048</v>
      </c>
      <c r="H24" s="4">
        <v>0.12843079296076429</v>
      </c>
      <c r="I24" s="4">
        <v>0.29598613660497491</v>
      </c>
      <c r="J24" s="5">
        <v>6.8314866550830073</v>
      </c>
      <c r="K24">
        <v>1146</v>
      </c>
      <c r="L24">
        <v>12470</v>
      </c>
      <c r="M24">
        <v>17065</v>
      </c>
      <c r="N24">
        <v>30681</v>
      </c>
      <c r="O24" s="6">
        <v>8595</v>
      </c>
      <c r="P24" s="6">
        <v>31175</v>
      </c>
      <c r="Q24" s="6">
        <v>20478</v>
      </c>
      <c r="R24" s="6">
        <v>60248</v>
      </c>
      <c r="S24" s="2">
        <v>8.1283333333333339</v>
      </c>
      <c r="T24" s="2">
        <v>11.786666666666671</v>
      </c>
      <c r="U24" s="2">
        <v>4.8389333333333333</v>
      </c>
      <c r="V24" s="2">
        <v>24.753933333333329</v>
      </c>
      <c r="W24">
        <v>38</v>
      </c>
      <c r="X24">
        <v>0</v>
      </c>
      <c r="Y24">
        <v>0</v>
      </c>
      <c r="Z24">
        <v>38</v>
      </c>
      <c r="AA24" s="2">
        <v>1941954.5972927569</v>
      </c>
      <c r="AB24" s="6">
        <v>942.4</v>
      </c>
      <c r="AC24" s="6">
        <v>0</v>
      </c>
      <c r="AD24" s="6">
        <v>0</v>
      </c>
      <c r="AE24" s="6">
        <v>942.4</v>
      </c>
      <c r="AF24" s="3">
        <v>7.7740245229449254</v>
      </c>
      <c r="AG24">
        <v>38</v>
      </c>
      <c r="AH24">
        <v>0</v>
      </c>
      <c r="AI24">
        <v>0</v>
      </c>
      <c r="AJ24">
        <v>38</v>
      </c>
      <c r="AK24" s="2">
        <v>3396128.2812508461</v>
      </c>
      <c r="AL24" s="6">
        <v>288.8</v>
      </c>
      <c r="AM24" s="6">
        <v>0</v>
      </c>
      <c r="AN24" s="6">
        <v>0</v>
      </c>
      <c r="AO24" s="6">
        <v>288.8</v>
      </c>
      <c r="AP24" s="3">
        <v>0.2001311439936235</v>
      </c>
      <c r="AQ24">
        <v>0</v>
      </c>
      <c r="AR24">
        <v>0</v>
      </c>
      <c r="AS24">
        <v>0</v>
      </c>
      <c r="AT24">
        <v>0</v>
      </c>
      <c r="AU24" s="2">
        <v>0</v>
      </c>
      <c r="AV24" s="6">
        <v>0</v>
      </c>
      <c r="AW24" s="6">
        <v>0</v>
      </c>
      <c r="AX24" s="6">
        <v>0</v>
      </c>
      <c r="AY24" s="6">
        <v>0</v>
      </c>
      <c r="AZ24" s="3">
        <v>0</v>
      </c>
      <c r="BA24">
        <v>55</v>
      </c>
      <c r="BB24">
        <v>2</v>
      </c>
      <c r="BC24">
        <v>0</v>
      </c>
      <c r="BD24">
        <v>57</v>
      </c>
      <c r="BE24" s="2">
        <v>1227556.4906670081</v>
      </c>
      <c r="BF24" s="6">
        <v>317.625</v>
      </c>
      <c r="BG24" s="6">
        <v>174.8</v>
      </c>
      <c r="BH24" s="6">
        <v>0</v>
      </c>
      <c r="BI24" s="6">
        <v>492.42500000000001</v>
      </c>
      <c r="BJ24" s="3">
        <v>203.95576668696589</v>
      </c>
      <c r="BK24" s="6">
        <v>1548.825</v>
      </c>
      <c r="BL24" s="6">
        <v>174.8</v>
      </c>
      <c r="BM24" s="6">
        <v>0</v>
      </c>
      <c r="BN24" s="6">
        <v>1723.625</v>
      </c>
      <c r="BO24" s="3">
        <v>211.9299223539044</v>
      </c>
      <c r="BP24" s="7">
        <v>61971.625</v>
      </c>
      <c r="BQ24" s="2">
        <v>71.00515670617132</v>
      </c>
      <c r="BR24" s="2">
        <v>307.68901239340897</v>
      </c>
    </row>
    <row r="25" spans="1:70" x14ac:dyDescent="0.3">
      <c r="A25">
        <v>1998</v>
      </c>
      <c r="B25" s="1">
        <v>133466</v>
      </c>
      <c r="C25" s="2">
        <v>7038080.0148339551</v>
      </c>
      <c r="D25" s="3">
        <v>19.445324276685689</v>
      </c>
      <c r="E25" s="1">
        <v>80079</v>
      </c>
      <c r="F25" s="4">
        <v>0.44647041778651653</v>
      </c>
      <c r="G25" s="4">
        <v>0.46561595395596289</v>
      </c>
      <c r="H25" s="4">
        <v>0.13394013513405079</v>
      </c>
      <c r="I25" s="4">
        <v>0.30309382702404658</v>
      </c>
      <c r="J25" s="5">
        <v>6.9842393093394444</v>
      </c>
      <c r="K25">
        <v>1243</v>
      </c>
      <c r="L25">
        <v>12845</v>
      </c>
      <c r="M25">
        <v>17363</v>
      </c>
      <c r="N25">
        <v>31451</v>
      </c>
      <c r="O25" s="6">
        <v>9322.5</v>
      </c>
      <c r="P25" s="6">
        <v>32112.5</v>
      </c>
      <c r="Q25" s="6">
        <v>20835.599999999999</v>
      </c>
      <c r="R25" s="6">
        <v>62270.6</v>
      </c>
      <c r="S25" s="2">
        <v>8.793333333333333</v>
      </c>
      <c r="T25" s="2">
        <v>12.112666666666669</v>
      </c>
      <c r="U25" s="2">
        <v>4.9121333333333332</v>
      </c>
      <c r="V25" s="2">
        <v>25.818133333333328</v>
      </c>
      <c r="W25">
        <v>40</v>
      </c>
      <c r="X25">
        <v>0</v>
      </c>
      <c r="Y25">
        <v>0</v>
      </c>
      <c r="Z25">
        <v>40</v>
      </c>
      <c r="AA25" s="2">
        <v>2077500.9093491021</v>
      </c>
      <c r="AB25" s="6">
        <v>968</v>
      </c>
      <c r="AC25" s="6">
        <v>0</v>
      </c>
      <c r="AD25" s="6">
        <v>0</v>
      </c>
      <c r="AE25" s="6">
        <v>968</v>
      </c>
      <c r="AF25" s="3">
        <v>8.2659486892205187</v>
      </c>
      <c r="AG25">
        <v>40</v>
      </c>
      <c r="AH25">
        <v>0</v>
      </c>
      <c r="AI25">
        <v>0</v>
      </c>
      <c r="AJ25">
        <v>40</v>
      </c>
      <c r="AK25" s="2">
        <v>3690609.1586475899</v>
      </c>
      <c r="AL25" s="6">
        <v>313.60000000000002</v>
      </c>
      <c r="AM25" s="6">
        <v>0</v>
      </c>
      <c r="AN25" s="6">
        <v>0</v>
      </c>
      <c r="AO25" s="6">
        <v>313.60000000000002</v>
      </c>
      <c r="AP25" s="3">
        <v>0.2140931604582374</v>
      </c>
      <c r="AQ25">
        <v>0</v>
      </c>
      <c r="AR25">
        <v>0</v>
      </c>
      <c r="AS25">
        <v>0</v>
      </c>
      <c r="AT25">
        <v>0</v>
      </c>
      <c r="AU25" s="2">
        <v>0</v>
      </c>
      <c r="AV25" s="6">
        <v>0</v>
      </c>
      <c r="AW25" s="6">
        <v>0</v>
      </c>
      <c r="AX25" s="6">
        <v>0</v>
      </c>
      <c r="AY25" s="6">
        <v>0</v>
      </c>
      <c r="AZ25" s="3">
        <v>0</v>
      </c>
      <c r="BA25">
        <v>56</v>
      </c>
      <c r="BB25">
        <v>1</v>
      </c>
      <c r="BC25">
        <v>0</v>
      </c>
      <c r="BD25">
        <v>57</v>
      </c>
      <c r="BE25" s="2">
        <v>1269969.9468372629</v>
      </c>
      <c r="BF25" s="6">
        <v>328.44</v>
      </c>
      <c r="BG25" s="6">
        <v>83.5</v>
      </c>
      <c r="BH25" s="6">
        <v>0</v>
      </c>
      <c r="BI25" s="6">
        <v>411.94</v>
      </c>
      <c r="BJ25" s="3">
        <v>215.50571127334561</v>
      </c>
      <c r="BK25" s="6">
        <v>1610.04</v>
      </c>
      <c r="BL25" s="6">
        <v>83.5</v>
      </c>
      <c r="BM25" s="6">
        <v>0</v>
      </c>
      <c r="BN25" s="6">
        <v>1693.54</v>
      </c>
      <c r="BO25" s="3">
        <v>223.9857531230243</v>
      </c>
      <c r="BP25" s="7">
        <v>63964.14</v>
      </c>
      <c r="BQ25" s="2">
        <v>74.941165936907296</v>
      </c>
      <c r="BR25" s="2">
        <v>324.74505239326493</v>
      </c>
    </row>
    <row r="26" spans="1:70" x14ac:dyDescent="0.3">
      <c r="A26">
        <v>1999</v>
      </c>
      <c r="B26" s="1">
        <v>136503</v>
      </c>
      <c r="C26" s="2">
        <v>7540705.295192075</v>
      </c>
      <c r="D26" s="3">
        <v>19.88834020476445</v>
      </c>
      <c r="E26" s="1">
        <v>81901</v>
      </c>
      <c r="F26" s="4">
        <v>0.44985683434096879</v>
      </c>
      <c r="G26" s="4">
        <v>0.47549849602668548</v>
      </c>
      <c r="H26" s="4">
        <v>0.1402278062580784</v>
      </c>
      <c r="I26" s="4">
        <v>0.31070807248661481</v>
      </c>
      <c r="J26" s="5">
        <v>7.1324774404002831</v>
      </c>
      <c r="K26">
        <v>1346</v>
      </c>
      <c r="L26">
        <v>13240</v>
      </c>
      <c r="M26">
        <v>17663</v>
      </c>
      <c r="N26">
        <v>32249</v>
      </c>
      <c r="O26" s="6">
        <v>10095</v>
      </c>
      <c r="P26" s="6">
        <v>33100</v>
      </c>
      <c r="Q26" s="6">
        <v>21195.599999999999</v>
      </c>
      <c r="R26" s="6">
        <v>64390.6</v>
      </c>
      <c r="S26" s="2">
        <v>9.5</v>
      </c>
      <c r="T26" s="2">
        <v>12.45333333333333</v>
      </c>
      <c r="U26" s="2">
        <v>4.9841333333333333</v>
      </c>
      <c r="V26" s="2">
        <v>26.937466666666669</v>
      </c>
      <c r="W26">
        <v>43</v>
      </c>
      <c r="X26">
        <v>0</v>
      </c>
      <c r="Y26">
        <v>0</v>
      </c>
      <c r="Z26">
        <v>43</v>
      </c>
      <c r="AA26" s="2">
        <v>2220364.7053228021</v>
      </c>
      <c r="AB26" s="6">
        <v>1062.0999999999999</v>
      </c>
      <c r="AC26" s="6">
        <v>0</v>
      </c>
      <c r="AD26" s="6">
        <v>0</v>
      </c>
      <c r="AE26" s="6">
        <v>1062.0999999999999</v>
      </c>
      <c r="AF26" s="3">
        <v>8.7726454311122861</v>
      </c>
      <c r="AG26">
        <v>43</v>
      </c>
      <c r="AH26">
        <v>0</v>
      </c>
      <c r="AI26">
        <v>0</v>
      </c>
      <c r="AJ26">
        <v>43</v>
      </c>
      <c r="AK26" s="2">
        <v>4006750.1103265071</v>
      </c>
      <c r="AL26" s="6">
        <v>338.84</v>
      </c>
      <c r="AM26" s="6">
        <v>0</v>
      </c>
      <c r="AN26" s="6">
        <v>0</v>
      </c>
      <c r="AO26" s="6">
        <v>338.84</v>
      </c>
      <c r="AP26" s="3">
        <v>0.22855898362876109</v>
      </c>
      <c r="AQ26">
        <v>0</v>
      </c>
      <c r="AR26">
        <v>0</v>
      </c>
      <c r="AS26">
        <v>0</v>
      </c>
      <c r="AT26">
        <v>0</v>
      </c>
      <c r="AU26" s="2">
        <v>0</v>
      </c>
      <c r="AV26" s="6">
        <v>0</v>
      </c>
      <c r="AW26" s="6">
        <v>0</v>
      </c>
      <c r="AX26" s="6">
        <v>0</v>
      </c>
      <c r="AY26" s="6">
        <v>0</v>
      </c>
      <c r="AZ26" s="3">
        <v>0</v>
      </c>
      <c r="BA26">
        <v>58</v>
      </c>
      <c r="BB26">
        <v>1</v>
      </c>
      <c r="BC26">
        <v>0</v>
      </c>
      <c r="BD26">
        <v>59</v>
      </c>
      <c r="BE26" s="2">
        <v>1313590.4795427669</v>
      </c>
      <c r="BF26" s="6">
        <v>337.56</v>
      </c>
      <c r="BG26" s="6">
        <v>86.1</v>
      </c>
      <c r="BH26" s="6">
        <v>0</v>
      </c>
      <c r="BI26" s="6">
        <v>423.66</v>
      </c>
      <c r="BJ26" s="3">
        <v>227.37692892084431</v>
      </c>
      <c r="BK26" s="6">
        <v>1738.5</v>
      </c>
      <c r="BL26" s="6">
        <v>86.1</v>
      </c>
      <c r="BM26" s="6">
        <v>0</v>
      </c>
      <c r="BN26" s="6">
        <v>1824.6</v>
      </c>
      <c r="BO26" s="3">
        <v>236.3781333355854</v>
      </c>
      <c r="BP26" s="7">
        <v>66215.199999999997</v>
      </c>
      <c r="BQ26" s="2">
        <v>78.994680000675615</v>
      </c>
      <c r="BR26" s="2">
        <v>342.31028000292758</v>
      </c>
    </row>
    <row r="27" spans="1:70" x14ac:dyDescent="0.3">
      <c r="A27">
        <v>2000</v>
      </c>
      <c r="B27" s="1">
        <v>139615</v>
      </c>
      <c r="C27" s="2">
        <v>8075817.9243453536</v>
      </c>
      <c r="D27" s="3">
        <v>20.375506593038178</v>
      </c>
      <c r="E27" s="1">
        <v>83769</v>
      </c>
      <c r="F27" s="4">
        <v>0.45349495199806528</v>
      </c>
      <c r="G27" s="4">
        <v>0.48508896483932351</v>
      </c>
      <c r="H27" s="4">
        <v>0.14742530179730151</v>
      </c>
      <c r="I27" s="4">
        <v>0.31890056785745752</v>
      </c>
      <c r="J27" s="5">
        <v>7.2763344725898529</v>
      </c>
      <c r="K27">
        <v>1457</v>
      </c>
      <c r="L27">
        <v>13657</v>
      </c>
      <c r="M27">
        <v>17964</v>
      </c>
      <c r="N27">
        <v>33078</v>
      </c>
      <c r="O27" s="6">
        <v>10927.5</v>
      </c>
      <c r="P27" s="6">
        <v>34142.5</v>
      </c>
      <c r="Q27" s="6">
        <v>21556.799999999999</v>
      </c>
      <c r="R27" s="6">
        <v>66626.8</v>
      </c>
      <c r="S27" s="2">
        <v>10.25166666666667</v>
      </c>
      <c r="T27" s="2">
        <v>12.809333333333329</v>
      </c>
      <c r="U27" s="2">
        <v>5.0546666666666669</v>
      </c>
      <c r="V27" s="2">
        <v>28.115666666666669</v>
      </c>
      <c r="W27">
        <v>46</v>
      </c>
      <c r="X27">
        <v>0</v>
      </c>
      <c r="Y27">
        <v>0</v>
      </c>
      <c r="Z27">
        <v>46</v>
      </c>
      <c r="AA27" s="2">
        <v>2371028.8639383079</v>
      </c>
      <c r="AB27" s="6">
        <v>1113.2</v>
      </c>
      <c r="AC27" s="6">
        <v>0</v>
      </c>
      <c r="AD27" s="6">
        <v>0</v>
      </c>
      <c r="AE27" s="6">
        <v>1113.2</v>
      </c>
      <c r="AF27" s="3">
        <v>9.2944974221799885</v>
      </c>
      <c r="AG27">
        <v>46</v>
      </c>
      <c r="AH27">
        <v>0</v>
      </c>
      <c r="AI27">
        <v>0</v>
      </c>
      <c r="AJ27">
        <v>46</v>
      </c>
      <c r="AK27" s="2">
        <v>4346288.678891873</v>
      </c>
      <c r="AL27" s="6">
        <v>358.8</v>
      </c>
      <c r="AM27" s="6">
        <v>0</v>
      </c>
      <c r="AN27" s="6">
        <v>0</v>
      </c>
      <c r="AO27" s="6">
        <v>358.8</v>
      </c>
      <c r="AP27" s="3">
        <v>0.2435399373893658</v>
      </c>
      <c r="AQ27">
        <v>0</v>
      </c>
      <c r="AR27">
        <v>0</v>
      </c>
      <c r="AS27">
        <v>0</v>
      </c>
      <c r="AT27">
        <v>0</v>
      </c>
      <c r="AU27" s="2">
        <v>0</v>
      </c>
      <c r="AV27" s="6">
        <v>0</v>
      </c>
      <c r="AW27" s="6">
        <v>0</v>
      </c>
      <c r="AX27" s="6">
        <v>0</v>
      </c>
      <c r="AY27" s="6">
        <v>0</v>
      </c>
      <c r="AZ27" s="3">
        <v>0</v>
      </c>
      <c r="BA27">
        <v>60</v>
      </c>
      <c r="BB27">
        <v>2</v>
      </c>
      <c r="BC27">
        <v>0</v>
      </c>
      <c r="BD27">
        <v>62</v>
      </c>
      <c r="BE27" s="2">
        <v>1358500.381515173</v>
      </c>
      <c r="BF27" s="6">
        <v>341.1</v>
      </c>
      <c r="BG27" s="6">
        <v>176.1</v>
      </c>
      <c r="BH27" s="6">
        <v>0</v>
      </c>
      <c r="BI27" s="6">
        <v>517.20000000000005</v>
      </c>
      <c r="BJ27" s="3">
        <v>239.57959325990791</v>
      </c>
      <c r="BK27" s="6">
        <v>1813.1</v>
      </c>
      <c r="BL27" s="6">
        <v>176.1</v>
      </c>
      <c r="BM27" s="6">
        <v>0</v>
      </c>
      <c r="BN27" s="6">
        <v>1989.2</v>
      </c>
      <c r="BO27" s="3">
        <v>249.11763061947721</v>
      </c>
      <c r="BP27" s="7">
        <v>68616</v>
      </c>
      <c r="BQ27" s="2">
        <v>83.16998918584315</v>
      </c>
      <c r="BR27" s="2">
        <v>360.40328647198697</v>
      </c>
    </row>
    <row r="28" spans="1:70" x14ac:dyDescent="0.3">
      <c r="A28">
        <v>2001</v>
      </c>
      <c r="B28" s="1">
        <v>142805</v>
      </c>
      <c r="C28" s="2">
        <v>8645817.1279021949</v>
      </c>
      <c r="D28" s="3">
        <v>20.911223425823181</v>
      </c>
      <c r="E28" s="1">
        <v>85683</v>
      </c>
      <c r="F28" s="4">
        <v>0.45707099515552491</v>
      </c>
      <c r="G28" s="4">
        <v>0.49439599246318428</v>
      </c>
      <c r="H28" s="4">
        <v>0.15568995874208941</v>
      </c>
      <c r="I28" s="4">
        <v>0.327672304852971</v>
      </c>
      <c r="J28" s="5">
        <v>7.4159398869477648</v>
      </c>
      <c r="K28">
        <v>1573</v>
      </c>
      <c r="L28">
        <v>14088</v>
      </c>
      <c r="M28">
        <v>18276</v>
      </c>
      <c r="N28">
        <v>33937</v>
      </c>
      <c r="O28" s="6">
        <v>11797.5</v>
      </c>
      <c r="P28" s="6">
        <v>35220</v>
      </c>
      <c r="Q28" s="6">
        <v>21931.200000000001</v>
      </c>
      <c r="R28" s="6">
        <v>68948.7</v>
      </c>
      <c r="S28" s="2">
        <v>11.036666666666671</v>
      </c>
      <c r="T28" s="2">
        <v>13.17333333333333</v>
      </c>
      <c r="U28" s="2">
        <v>5.1267333333333331</v>
      </c>
      <c r="V28" s="2">
        <v>29.336733333333331</v>
      </c>
      <c r="W28">
        <v>49</v>
      </c>
      <c r="X28">
        <v>0</v>
      </c>
      <c r="Y28">
        <v>0</v>
      </c>
      <c r="Z28">
        <v>49</v>
      </c>
      <c r="AA28" s="2">
        <v>2529987.5078224768</v>
      </c>
      <c r="AB28" s="6">
        <v>1215.2</v>
      </c>
      <c r="AC28" s="6">
        <v>0</v>
      </c>
      <c r="AD28" s="6">
        <v>0</v>
      </c>
      <c r="AE28" s="6">
        <v>1215.2</v>
      </c>
      <c r="AF28" s="3">
        <v>9.8318772374704242</v>
      </c>
      <c r="AG28">
        <v>49</v>
      </c>
      <c r="AH28">
        <v>0</v>
      </c>
      <c r="AI28">
        <v>0</v>
      </c>
      <c r="AJ28">
        <v>49</v>
      </c>
      <c r="AK28" s="2">
        <v>4711069.867558849</v>
      </c>
      <c r="AL28" s="6">
        <v>382.2</v>
      </c>
      <c r="AM28" s="6">
        <v>0</v>
      </c>
      <c r="AN28" s="6">
        <v>0</v>
      </c>
      <c r="AO28" s="6">
        <v>382.2</v>
      </c>
      <c r="AP28" s="3">
        <v>0.25904727386396048</v>
      </c>
      <c r="AQ28">
        <v>0</v>
      </c>
      <c r="AR28">
        <v>0</v>
      </c>
      <c r="AS28">
        <v>0</v>
      </c>
      <c r="AT28">
        <v>0</v>
      </c>
      <c r="AU28" s="2">
        <v>0</v>
      </c>
      <c r="AV28" s="6">
        <v>0</v>
      </c>
      <c r="AW28" s="6">
        <v>0</v>
      </c>
      <c r="AX28" s="6">
        <v>0</v>
      </c>
      <c r="AY28" s="6">
        <v>0</v>
      </c>
      <c r="AZ28" s="3">
        <v>0</v>
      </c>
      <c r="BA28">
        <v>61</v>
      </c>
      <c r="BB28">
        <v>2</v>
      </c>
      <c r="BC28">
        <v>0</v>
      </c>
      <c r="BD28">
        <v>63</v>
      </c>
      <c r="BE28" s="2">
        <v>1404759.752520869</v>
      </c>
      <c r="BF28" s="6">
        <v>349.53</v>
      </c>
      <c r="BG28" s="6">
        <v>168.3</v>
      </c>
      <c r="BH28" s="6">
        <v>0</v>
      </c>
      <c r="BI28" s="6">
        <v>517.83000000000004</v>
      </c>
      <c r="BJ28" s="3">
        <v>252.1232892879583</v>
      </c>
      <c r="BK28" s="6">
        <v>1946.93</v>
      </c>
      <c r="BL28" s="6">
        <v>168.3</v>
      </c>
      <c r="BM28" s="6">
        <v>0</v>
      </c>
      <c r="BN28" s="6">
        <v>2115.23</v>
      </c>
      <c r="BO28" s="3">
        <v>262.21421379929268</v>
      </c>
      <c r="BP28" s="7">
        <v>71063.929999999993</v>
      </c>
      <c r="BQ28" s="2">
        <v>87.465284139787798</v>
      </c>
      <c r="BR28" s="2">
        <v>379.01623127241379</v>
      </c>
    </row>
    <row r="29" spans="1:70" x14ac:dyDescent="0.3">
      <c r="A29">
        <v>2002</v>
      </c>
      <c r="B29" s="1">
        <v>146077</v>
      </c>
      <c r="C29" s="2">
        <v>9253572.8973971233</v>
      </c>
      <c r="D29" s="3">
        <v>21.500329184835319</v>
      </c>
      <c r="E29" s="1">
        <v>87646</v>
      </c>
      <c r="F29" s="4">
        <v>0.46089993916736371</v>
      </c>
      <c r="G29" s="4">
        <v>0.50342795585137257</v>
      </c>
      <c r="H29" s="4">
        <v>0.1652103180960765</v>
      </c>
      <c r="I29" s="4">
        <v>0.33717889440571241</v>
      </c>
      <c r="J29" s="5">
        <v>7.5514193377705876</v>
      </c>
      <c r="K29">
        <v>1698</v>
      </c>
      <c r="L29">
        <v>14544</v>
      </c>
      <c r="M29">
        <v>18590</v>
      </c>
      <c r="N29">
        <v>34832</v>
      </c>
      <c r="O29" s="6">
        <v>12735</v>
      </c>
      <c r="P29" s="6">
        <v>36360</v>
      </c>
      <c r="Q29" s="6">
        <v>22308</v>
      </c>
      <c r="R29" s="6">
        <v>71403</v>
      </c>
      <c r="S29" s="2">
        <v>11.87333333333333</v>
      </c>
      <c r="T29" s="2">
        <v>13.554</v>
      </c>
      <c r="U29" s="2">
        <v>5.1971999999999996</v>
      </c>
      <c r="V29" s="2">
        <v>30.624533333333328</v>
      </c>
      <c r="W29">
        <v>52</v>
      </c>
      <c r="X29">
        <v>0</v>
      </c>
      <c r="Y29">
        <v>0</v>
      </c>
      <c r="Z29">
        <v>52</v>
      </c>
      <c r="AA29" s="2">
        <v>2697833.6030395101</v>
      </c>
      <c r="AB29" s="6">
        <v>1279.2</v>
      </c>
      <c r="AC29" s="6">
        <v>0</v>
      </c>
      <c r="AD29" s="6">
        <v>0</v>
      </c>
      <c r="AE29" s="6">
        <v>1279.2</v>
      </c>
      <c r="AF29" s="3">
        <v>10.385175599052079</v>
      </c>
      <c r="AG29">
        <v>52</v>
      </c>
      <c r="AH29">
        <v>0</v>
      </c>
      <c r="AI29">
        <v>0</v>
      </c>
      <c r="AJ29">
        <v>52</v>
      </c>
      <c r="AK29" s="2">
        <v>5103257.9447880648</v>
      </c>
      <c r="AL29" s="6">
        <v>399.36</v>
      </c>
      <c r="AM29" s="6">
        <v>0</v>
      </c>
      <c r="AN29" s="6">
        <v>0</v>
      </c>
      <c r="AO29" s="6">
        <v>399.36</v>
      </c>
      <c r="AP29" s="3">
        <v>0.27509275139449768</v>
      </c>
      <c r="AQ29">
        <v>0</v>
      </c>
      <c r="AR29">
        <v>0</v>
      </c>
      <c r="AS29">
        <v>0</v>
      </c>
      <c r="AT29">
        <v>0</v>
      </c>
      <c r="AU29" s="2">
        <v>0</v>
      </c>
      <c r="AV29" s="6">
        <v>0</v>
      </c>
      <c r="AW29" s="6">
        <v>0</v>
      </c>
      <c r="AX29" s="6">
        <v>0</v>
      </c>
      <c r="AY29" s="6">
        <v>0</v>
      </c>
      <c r="AZ29" s="3">
        <v>0</v>
      </c>
      <c r="BA29">
        <v>63</v>
      </c>
      <c r="BB29">
        <v>2</v>
      </c>
      <c r="BC29">
        <v>0</v>
      </c>
      <c r="BD29">
        <v>65</v>
      </c>
      <c r="BE29" s="2">
        <v>1452481.349569547</v>
      </c>
      <c r="BF29" s="6">
        <v>366.66</v>
      </c>
      <c r="BG29" s="6">
        <v>168.3</v>
      </c>
      <c r="BH29" s="6">
        <v>0</v>
      </c>
      <c r="BI29" s="6">
        <v>534.96</v>
      </c>
      <c r="BJ29" s="3">
        <v>265.01799355349198</v>
      </c>
      <c r="BK29" s="6">
        <v>2045.22</v>
      </c>
      <c r="BL29" s="6">
        <v>168.3</v>
      </c>
      <c r="BM29" s="6">
        <v>0</v>
      </c>
      <c r="BN29" s="6">
        <v>2213.52</v>
      </c>
      <c r="BO29" s="3">
        <v>275.67826190393862</v>
      </c>
      <c r="BP29" s="7">
        <v>73616.52</v>
      </c>
      <c r="BQ29" s="2">
        <v>91.890838571181561</v>
      </c>
      <c r="BR29" s="2">
        <v>398.19363380845351</v>
      </c>
    </row>
    <row r="30" spans="1:70" x14ac:dyDescent="0.3">
      <c r="A30">
        <v>2003</v>
      </c>
      <c r="B30" s="1">
        <v>149434</v>
      </c>
      <c r="C30" s="2">
        <v>9902203.7767505851</v>
      </c>
      <c r="D30" s="3">
        <v>22.148144549338799</v>
      </c>
      <c r="E30" s="1">
        <v>89660</v>
      </c>
      <c r="F30" s="4">
        <v>0.46499232236448562</v>
      </c>
      <c r="G30" s="4">
        <v>0.51219298438061356</v>
      </c>
      <c r="H30" s="4">
        <v>0.17621239855012069</v>
      </c>
      <c r="I30" s="4">
        <v>0.34751372112363321</v>
      </c>
      <c r="J30" s="5">
        <v>7.6828947657092028</v>
      </c>
      <c r="K30">
        <v>1833</v>
      </c>
      <c r="L30">
        <v>15027</v>
      </c>
      <c r="M30">
        <v>18905</v>
      </c>
      <c r="N30">
        <v>35765</v>
      </c>
      <c r="O30" s="6">
        <v>13747.5</v>
      </c>
      <c r="P30" s="6">
        <v>37567.5</v>
      </c>
      <c r="Q30" s="6">
        <v>22686</v>
      </c>
      <c r="R30" s="6">
        <v>74001</v>
      </c>
      <c r="S30" s="2">
        <v>12.76333333333333</v>
      </c>
      <c r="T30" s="2">
        <v>13.95222222222222</v>
      </c>
      <c r="U30" s="2">
        <v>5.2659333333333329</v>
      </c>
      <c r="V30" s="2">
        <v>31.98148888888889</v>
      </c>
      <c r="W30">
        <v>55</v>
      </c>
      <c r="X30">
        <v>0</v>
      </c>
      <c r="Y30">
        <v>0</v>
      </c>
      <c r="Z30">
        <v>55</v>
      </c>
      <c r="AA30" s="2">
        <v>2875203.1405839329</v>
      </c>
      <c r="AB30" s="6">
        <v>1347.5</v>
      </c>
      <c r="AC30" s="6">
        <v>0</v>
      </c>
      <c r="AD30" s="6">
        <v>0</v>
      </c>
      <c r="AE30" s="6">
        <v>1347.5</v>
      </c>
      <c r="AF30" s="3">
        <v>10.954773389486959</v>
      </c>
      <c r="AG30">
        <v>55</v>
      </c>
      <c r="AH30">
        <v>0</v>
      </c>
      <c r="AI30">
        <v>0</v>
      </c>
      <c r="AJ30">
        <v>55</v>
      </c>
      <c r="AK30" s="2">
        <v>5525226.9756339397</v>
      </c>
      <c r="AL30" s="6">
        <v>435.6</v>
      </c>
      <c r="AM30" s="6">
        <v>0</v>
      </c>
      <c r="AN30" s="6">
        <v>0</v>
      </c>
      <c r="AO30" s="6">
        <v>435.6</v>
      </c>
      <c r="AP30" s="3">
        <v>0.29168805898553768</v>
      </c>
      <c r="AQ30">
        <v>0</v>
      </c>
      <c r="AR30">
        <v>0</v>
      </c>
      <c r="AS30">
        <v>0</v>
      </c>
      <c r="AT30">
        <v>0</v>
      </c>
      <c r="AU30" s="2">
        <v>0</v>
      </c>
      <c r="AV30" s="6">
        <v>0</v>
      </c>
      <c r="AW30" s="6">
        <v>0</v>
      </c>
      <c r="AX30" s="6">
        <v>0</v>
      </c>
      <c r="AY30" s="6">
        <v>0</v>
      </c>
      <c r="AZ30" s="3">
        <v>0</v>
      </c>
      <c r="BA30">
        <v>65</v>
      </c>
      <c r="BB30">
        <v>2</v>
      </c>
      <c r="BC30">
        <v>0</v>
      </c>
      <c r="BD30">
        <v>67</v>
      </c>
      <c r="BE30" s="2">
        <v>1501773.6605327141</v>
      </c>
      <c r="BF30" s="6">
        <v>378.3</v>
      </c>
      <c r="BG30" s="6">
        <v>169.6</v>
      </c>
      <c r="BH30" s="6">
        <v>0</v>
      </c>
      <c r="BI30" s="6">
        <v>547.9</v>
      </c>
      <c r="BJ30" s="3">
        <v>278.27313841074277</v>
      </c>
      <c r="BK30" s="6">
        <v>2161.4</v>
      </c>
      <c r="BL30" s="6">
        <v>169.6</v>
      </c>
      <c r="BM30" s="6">
        <v>0</v>
      </c>
      <c r="BN30" s="6">
        <v>2331</v>
      </c>
      <c r="BO30" s="3">
        <v>289.51959985921519</v>
      </c>
      <c r="BP30" s="7">
        <v>76332</v>
      </c>
      <c r="BQ30" s="2">
        <v>96.450326624431227</v>
      </c>
      <c r="BR30" s="2">
        <v>417.95141537253528</v>
      </c>
    </row>
    <row r="31" spans="1:70" x14ac:dyDescent="0.3">
      <c r="A31">
        <v>2004</v>
      </c>
      <c r="B31" s="1">
        <v>152880</v>
      </c>
      <c r="C31" s="2">
        <v>10595271.823952921</v>
      </c>
      <c r="D31" s="3">
        <v>22.860520451401801</v>
      </c>
      <c r="E31" s="1">
        <v>91728</v>
      </c>
      <c r="F31" s="4">
        <v>0.46935787136837032</v>
      </c>
      <c r="G31" s="4">
        <v>0.5206989671682406</v>
      </c>
      <c r="H31" s="4">
        <v>0.18896681629238779</v>
      </c>
      <c r="I31" s="4">
        <v>0.35877771203249859</v>
      </c>
      <c r="J31" s="5">
        <v>7.8104845075236096</v>
      </c>
      <c r="K31">
        <v>1977</v>
      </c>
      <c r="L31">
        <v>15538</v>
      </c>
      <c r="M31">
        <v>19222</v>
      </c>
      <c r="N31">
        <v>36737</v>
      </c>
      <c r="O31" s="6">
        <v>14827.5</v>
      </c>
      <c r="P31" s="6">
        <v>38845</v>
      </c>
      <c r="Q31" s="6">
        <v>23066.400000000001</v>
      </c>
      <c r="R31" s="6">
        <v>76738.899999999994</v>
      </c>
      <c r="S31" s="2">
        <v>13.713333333333329</v>
      </c>
      <c r="T31" s="2">
        <v>14.36888888888889</v>
      </c>
      <c r="U31" s="2">
        <v>5.3327333333333344</v>
      </c>
      <c r="V31" s="2">
        <v>33.414955555555551</v>
      </c>
      <c r="W31">
        <v>58</v>
      </c>
      <c r="X31">
        <v>0</v>
      </c>
      <c r="Y31">
        <v>0</v>
      </c>
      <c r="Z31">
        <v>58</v>
      </c>
      <c r="AA31" s="2">
        <v>3062818.7098743408</v>
      </c>
      <c r="AB31" s="6">
        <v>1432.6</v>
      </c>
      <c r="AC31" s="6">
        <v>0</v>
      </c>
      <c r="AD31" s="6">
        <v>0</v>
      </c>
      <c r="AE31" s="6">
        <v>1432.6</v>
      </c>
      <c r="AF31" s="3">
        <v>11.54105321195723</v>
      </c>
      <c r="AG31">
        <v>58</v>
      </c>
      <c r="AH31">
        <v>0</v>
      </c>
      <c r="AI31">
        <v>0</v>
      </c>
      <c r="AJ31">
        <v>58</v>
      </c>
      <c r="AK31" s="2">
        <v>5979680.5592005206</v>
      </c>
      <c r="AL31" s="6">
        <v>452.4</v>
      </c>
      <c r="AM31" s="6">
        <v>0</v>
      </c>
      <c r="AN31" s="6">
        <v>0</v>
      </c>
      <c r="AO31" s="6">
        <v>452.4</v>
      </c>
      <c r="AP31" s="3">
        <v>0.30884504692096088</v>
      </c>
      <c r="AQ31">
        <v>0</v>
      </c>
      <c r="AR31">
        <v>0</v>
      </c>
      <c r="AS31">
        <v>0</v>
      </c>
      <c r="AT31">
        <v>0</v>
      </c>
      <c r="AU31" s="2">
        <v>0</v>
      </c>
      <c r="AV31" s="6">
        <v>0</v>
      </c>
      <c r="AW31" s="6">
        <v>0</v>
      </c>
      <c r="AX31" s="6">
        <v>0</v>
      </c>
      <c r="AY31" s="6">
        <v>0</v>
      </c>
      <c r="AZ31" s="3">
        <v>0</v>
      </c>
      <c r="BA31">
        <v>66</v>
      </c>
      <c r="BB31">
        <v>2</v>
      </c>
      <c r="BC31">
        <v>0</v>
      </c>
      <c r="BD31">
        <v>68</v>
      </c>
      <c r="BE31" s="2">
        <v>1552772.5548780621</v>
      </c>
      <c r="BF31" s="6">
        <v>369.27</v>
      </c>
      <c r="BG31" s="6">
        <v>170.9</v>
      </c>
      <c r="BH31" s="6">
        <v>0</v>
      </c>
      <c r="BI31" s="6">
        <v>540.16999999999996</v>
      </c>
      <c r="BJ31" s="3">
        <v>291.89803209765142</v>
      </c>
      <c r="BK31" s="6">
        <v>2254.27</v>
      </c>
      <c r="BL31" s="6">
        <v>170.9</v>
      </c>
      <c r="BM31" s="6">
        <v>0</v>
      </c>
      <c r="BN31" s="6">
        <v>2425.17</v>
      </c>
      <c r="BO31" s="3">
        <v>303.74793035652959</v>
      </c>
      <c r="BP31" s="7">
        <v>79164.070000000007</v>
      </c>
      <c r="BQ31" s="2">
        <v>101.1488657736255</v>
      </c>
      <c r="BR31" s="2">
        <v>438.31175168571059</v>
      </c>
    </row>
    <row r="32" spans="1:70" x14ac:dyDescent="0.3">
      <c r="A32">
        <v>2005</v>
      </c>
      <c r="B32" s="1">
        <v>156419</v>
      </c>
      <c r="C32" s="2">
        <v>11336614.128597191</v>
      </c>
      <c r="D32" s="3">
        <v>23.64389092028382</v>
      </c>
      <c r="E32" s="1">
        <v>93851</v>
      </c>
      <c r="F32" s="4">
        <v>0.47400538588295082</v>
      </c>
      <c r="G32" s="4">
        <v>0.52895356017293393</v>
      </c>
      <c r="H32" s="4">
        <v>0.2037964626679766</v>
      </c>
      <c r="I32" s="4">
        <v>0.37107852430534888</v>
      </c>
      <c r="J32" s="5">
        <v>7.9343034025940087</v>
      </c>
      <c r="K32">
        <v>2132</v>
      </c>
      <c r="L32">
        <v>16080</v>
      </c>
      <c r="M32">
        <v>19540</v>
      </c>
      <c r="N32">
        <v>37752</v>
      </c>
      <c r="O32" s="6">
        <v>15990</v>
      </c>
      <c r="P32" s="6">
        <v>40200</v>
      </c>
      <c r="Q32" s="6">
        <v>23448</v>
      </c>
      <c r="R32" s="6">
        <v>79638</v>
      </c>
      <c r="S32" s="2">
        <v>14.725</v>
      </c>
      <c r="T32" s="2">
        <v>14.80533333333333</v>
      </c>
      <c r="U32" s="2">
        <v>5.3972666666666669</v>
      </c>
      <c r="V32" s="2">
        <v>34.927599999999998</v>
      </c>
      <c r="W32">
        <v>62</v>
      </c>
      <c r="X32">
        <v>0</v>
      </c>
      <c r="Y32">
        <v>0</v>
      </c>
      <c r="Z32">
        <v>62</v>
      </c>
      <c r="AA32" s="2">
        <v>3261448.0963673638</v>
      </c>
      <c r="AB32" s="6">
        <v>1506.6</v>
      </c>
      <c r="AC32" s="6">
        <v>0</v>
      </c>
      <c r="AD32" s="6">
        <v>0</v>
      </c>
      <c r="AE32" s="6">
        <v>1506.6</v>
      </c>
      <c r="AF32" s="3">
        <v>12.14441300966036</v>
      </c>
      <c r="AG32">
        <v>62</v>
      </c>
      <c r="AH32">
        <v>0</v>
      </c>
      <c r="AI32">
        <v>0</v>
      </c>
      <c r="AJ32">
        <v>62</v>
      </c>
      <c r="AK32" s="2">
        <v>6469567.864443657</v>
      </c>
      <c r="AL32" s="6">
        <v>473.68</v>
      </c>
      <c r="AM32" s="6">
        <v>0</v>
      </c>
      <c r="AN32" s="6">
        <v>0</v>
      </c>
      <c r="AO32" s="6">
        <v>473.68</v>
      </c>
      <c r="AP32" s="3">
        <v>0.32657600781376062</v>
      </c>
      <c r="AQ32">
        <v>0</v>
      </c>
      <c r="AR32">
        <v>0</v>
      </c>
      <c r="AS32">
        <v>0</v>
      </c>
      <c r="AT32">
        <v>0</v>
      </c>
      <c r="AU32" s="2">
        <v>0</v>
      </c>
      <c r="AV32" s="6">
        <v>0</v>
      </c>
      <c r="AW32" s="6">
        <v>0</v>
      </c>
      <c r="AX32" s="6">
        <v>0</v>
      </c>
      <c r="AY32" s="6">
        <v>0</v>
      </c>
      <c r="AZ32" s="3">
        <v>0</v>
      </c>
      <c r="BA32">
        <v>68</v>
      </c>
      <c r="BB32">
        <v>2</v>
      </c>
      <c r="BC32">
        <v>0</v>
      </c>
      <c r="BD32">
        <v>70</v>
      </c>
      <c r="BE32" s="2">
        <v>1605598.1677861649</v>
      </c>
      <c r="BF32" s="6">
        <v>380.46</v>
      </c>
      <c r="BG32" s="6">
        <v>172.2</v>
      </c>
      <c r="BH32" s="6">
        <v>0</v>
      </c>
      <c r="BI32" s="6">
        <v>552.66</v>
      </c>
      <c r="BJ32" s="3">
        <v>305.90232856857187</v>
      </c>
      <c r="BK32" s="6">
        <v>2360.7399999999998</v>
      </c>
      <c r="BL32" s="6">
        <v>172.2</v>
      </c>
      <c r="BM32" s="6">
        <v>0</v>
      </c>
      <c r="BN32" s="6">
        <v>2532.94</v>
      </c>
      <c r="BO32" s="3">
        <v>318.37331758604603</v>
      </c>
      <c r="BP32" s="7">
        <v>82170.94</v>
      </c>
      <c r="BQ32" s="2">
        <v>105.9902752758138</v>
      </c>
      <c r="BR32" s="2">
        <v>459.29119286185983</v>
      </c>
    </row>
    <row r="33" spans="1:70" x14ac:dyDescent="0.3">
      <c r="A33">
        <v>2006</v>
      </c>
      <c r="B33" s="1">
        <v>160057</v>
      </c>
      <c r="C33" s="2">
        <v>12130887.74509478</v>
      </c>
      <c r="D33" s="3">
        <v>24.50533119323422</v>
      </c>
      <c r="E33" s="1">
        <v>96034</v>
      </c>
      <c r="F33" s="4">
        <v>0.47894262634369172</v>
      </c>
      <c r="G33" s="4">
        <v>0.53696419308559917</v>
      </c>
      <c r="H33" s="4">
        <v>0.22108404010560129</v>
      </c>
      <c r="I33" s="4">
        <v>0.38452867956065739</v>
      </c>
      <c r="J33" s="5">
        <v>8.0544628962839884</v>
      </c>
      <c r="K33">
        <v>2300</v>
      </c>
      <c r="L33">
        <v>16657</v>
      </c>
      <c r="M33">
        <v>19860</v>
      </c>
      <c r="N33">
        <v>38817</v>
      </c>
      <c r="O33" s="6">
        <v>17250</v>
      </c>
      <c r="P33" s="6">
        <v>41642.5</v>
      </c>
      <c r="Q33" s="6">
        <v>23832</v>
      </c>
      <c r="R33" s="6">
        <v>82724.5</v>
      </c>
      <c r="S33" s="2">
        <v>15.80666666666667</v>
      </c>
      <c r="T33" s="2">
        <v>15.262444444444441</v>
      </c>
      <c r="U33" s="2">
        <v>5.4593333333333334</v>
      </c>
      <c r="V33" s="2">
        <v>36.528444444444453</v>
      </c>
      <c r="W33">
        <v>66</v>
      </c>
      <c r="X33">
        <v>0</v>
      </c>
      <c r="Y33">
        <v>0</v>
      </c>
      <c r="Z33">
        <v>66</v>
      </c>
      <c r="AA33" s="2">
        <v>3472024.6888361829</v>
      </c>
      <c r="AB33" s="6">
        <v>1636.8</v>
      </c>
      <c r="AC33" s="6">
        <v>0</v>
      </c>
      <c r="AD33" s="6">
        <v>0</v>
      </c>
      <c r="AE33" s="6">
        <v>1636.8</v>
      </c>
      <c r="AF33" s="3">
        <v>12.765233760670631</v>
      </c>
      <c r="AG33">
        <v>66</v>
      </c>
      <c r="AH33">
        <v>0</v>
      </c>
      <c r="AI33">
        <v>0</v>
      </c>
      <c r="AJ33">
        <v>66</v>
      </c>
      <c r="AK33" s="2">
        <v>6998414.6294360831</v>
      </c>
      <c r="AL33" s="6">
        <v>514.79999999999995</v>
      </c>
      <c r="AM33" s="6">
        <v>0</v>
      </c>
      <c r="AN33" s="6">
        <v>0</v>
      </c>
      <c r="AO33" s="6">
        <v>514.79999999999995</v>
      </c>
      <c r="AP33" s="3">
        <v>0.34489300948747043</v>
      </c>
      <c r="AQ33">
        <v>0</v>
      </c>
      <c r="AR33">
        <v>0</v>
      </c>
      <c r="AS33">
        <v>0</v>
      </c>
      <c r="AT33">
        <v>0</v>
      </c>
      <c r="AU33" s="2">
        <v>0</v>
      </c>
      <c r="AV33" s="6">
        <v>0</v>
      </c>
      <c r="AW33" s="6">
        <v>0</v>
      </c>
      <c r="AX33" s="6">
        <v>0</v>
      </c>
      <c r="AY33" s="6">
        <v>0</v>
      </c>
      <c r="AZ33" s="3">
        <v>0</v>
      </c>
      <c r="BA33">
        <v>70</v>
      </c>
      <c r="BB33">
        <v>2</v>
      </c>
      <c r="BC33">
        <v>0</v>
      </c>
      <c r="BD33">
        <v>72</v>
      </c>
      <c r="BE33" s="2">
        <v>1660448.426822515</v>
      </c>
      <c r="BF33" s="6">
        <v>413.7</v>
      </c>
      <c r="BG33" s="6">
        <v>176.1</v>
      </c>
      <c r="BH33" s="6">
        <v>0</v>
      </c>
      <c r="BI33" s="6">
        <v>589.79999999999995</v>
      </c>
      <c r="BJ33" s="3">
        <v>320.29494676471103</v>
      </c>
      <c r="BK33" s="6">
        <v>2565.3000000000002</v>
      </c>
      <c r="BL33" s="6">
        <v>176.1</v>
      </c>
      <c r="BM33" s="6">
        <v>0</v>
      </c>
      <c r="BN33" s="6">
        <v>2741.4</v>
      </c>
      <c r="BO33" s="3">
        <v>333.40507353486908</v>
      </c>
      <c r="BP33" s="7">
        <v>85465.9</v>
      </c>
      <c r="BQ33" s="2">
        <v>110.9800553937941</v>
      </c>
      <c r="BR33" s="2">
        <v>480.91357337310768</v>
      </c>
    </row>
    <row r="34" spans="1:70" x14ac:dyDescent="0.3">
      <c r="A34">
        <v>2007</v>
      </c>
      <c r="B34" s="1">
        <v>163799</v>
      </c>
      <c r="C34" s="2">
        <v>12983107.20112011</v>
      </c>
      <c r="D34" s="3">
        <v>25.452621617546381</v>
      </c>
      <c r="E34" s="1">
        <v>98279</v>
      </c>
      <c r="F34" s="4">
        <v>0.48417619887261548</v>
      </c>
      <c r="G34" s="4">
        <v>0.54473807601659208</v>
      </c>
      <c r="H34" s="4">
        <v>0.24127804344763079</v>
      </c>
      <c r="I34" s="4">
        <v>0.39924209317809112</v>
      </c>
      <c r="J34" s="5">
        <v>8.1710711402488805</v>
      </c>
      <c r="K34">
        <v>2481</v>
      </c>
      <c r="L34">
        <v>17269</v>
      </c>
      <c r="M34">
        <v>20182</v>
      </c>
      <c r="N34">
        <v>39932</v>
      </c>
      <c r="O34" s="6">
        <v>18607.5</v>
      </c>
      <c r="P34" s="6">
        <v>43172.5</v>
      </c>
      <c r="Q34" s="6">
        <v>24218.400000000001</v>
      </c>
      <c r="R34" s="6">
        <v>85998.399999999994</v>
      </c>
      <c r="S34" s="2">
        <v>16.96166666666667</v>
      </c>
      <c r="T34" s="2">
        <v>15.741555555555561</v>
      </c>
      <c r="U34" s="2">
        <v>5.5188666666666668</v>
      </c>
      <c r="V34" s="2">
        <v>38.222088888888891</v>
      </c>
      <c r="W34">
        <v>70</v>
      </c>
      <c r="X34">
        <v>0</v>
      </c>
      <c r="Y34">
        <v>0</v>
      </c>
      <c r="Z34">
        <v>70</v>
      </c>
      <c r="AA34" s="2">
        <v>3695538.0283971811</v>
      </c>
      <c r="AB34" s="6">
        <v>1715</v>
      </c>
      <c r="AC34" s="6">
        <v>0</v>
      </c>
      <c r="AD34" s="6">
        <v>0</v>
      </c>
      <c r="AE34" s="6">
        <v>1715</v>
      </c>
      <c r="AF34" s="3">
        <v>13.40392019973901</v>
      </c>
      <c r="AG34">
        <v>70</v>
      </c>
      <c r="AH34">
        <v>0</v>
      </c>
      <c r="AI34">
        <v>0</v>
      </c>
      <c r="AJ34">
        <v>70</v>
      </c>
      <c r="AK34" s="2">
        <v>7570073.4097471666</v>
      </c>
      <c r="AL34" s="6">
        <v>554.4</v>
      </c>
      <c r="AM34" s="6">
        <v>0</v>
      </c>
      <c r="AN34" s="6">
        <v>0</v>
      </c>
      <c r="AO34" s="6">
        <v>554.4</v>
      </c>
      <c r="AP34" s="3">
        <v>0.36380872888427579</v>
      </c>
      <c r="AQ34">
        <v>0</v>
      </c>
      <c r="AR34">
        <v>0</v>
      </c>
      <c r="AS34">
        <v>0</v>
      </c>
      <c r="AT34">
        <v>0</v>
      </c>
      <c r="AU34" s="2">
        <v>0</v>
      </c>
      <c r="AV34" s="6">
        <v>0</v>
      </c>
      <c r="AW34" s="6">
        <v>0</v>
      </c>
      <c r="AX34" s="6">
        <v>0</v>
      </c>
      <c r="AY34" s="6">
        <v>0</v>
      </c>
      <c r="AZ34" s="3">
        <v>0</v>
      </c>
      <c r="BA34">
        <v>72</v>
      </c>
      <c r="BB34">
        <v>2</v>
      </c>
      <c r="BC34">
        <v>0</v>
      </c>
      <c r="BD34">
        <v>74</v>
      </c>
      <c r="BE34" s="2">
        <v>1717495.7629757661</v>
      </c>
      <c r="BF34" s="6">
        <v>422.28</v>
      </c>
      <c r="BG34" s="6">
        <v>169.6</v>
      </c>
      <c r="BH34" s="6">
        <v>0</v>
      </c>
      <c r="BI34" s="6">
        <v>591.88</v>
      </c>
      <c r="BJ34" s="3">
        <v>335.08546757852719</v>
      </c>
      <c r="BK34" s="6">
        <v>2691.68</v>
      </c>
      <c r="BL34" s="6">
        <v>169.6</v>
      </c>
      <c r="BM34" s="6">
        <v>0</v>
      </c>
      <c r="BN34" s="6">
        <v>2861.28</v>
      </c>
      <c r="BO34" s="3">
        <v>348.85319650715053</v>
      </c>
      <c r="BP34" s="7">
        <v>88859.68</v>
      </c>
      <c r="BQ34" s="2">
        <v>116.1225856188118</v>
      </c>
      <c r="BR34" s="2">
        <v>503.19787101485122</v>
      </c>
    </row>
    <row r="35" spans="1:70" x14ac:dyDescent="0.3">
      <c r="A35">
        <v>2008</v>
      </c>
      <c r="B35" s="1">
        <v>167652</v>
      </c>
      <c r="C35" s="2">
        <v>13899247.026173569</v>
      </c>
      <c r="D35" s="3">
        <v>26.494317921017409</v>
      </c>
      <c r="E35" s="1">
        <v>100591</v>
      </c>
      <c r="F35" s="4">
        <v>0.48971150669465757</v>
      </c>
      <c r="G35" s="4">
        <v>0.55228220598530287</v>
      </c>
      <c r="H35" s="4">
        <v>0.26489460580188268</v>
      </c>
      <c r="I35" s="4">
        <v>0.41532826839038689</v>
      </c>
      <c r="J35" s="5">
        <v>8.2842330897795424</v>
      </c>
      <c r="K35">
        <v>2677</v>
      </c>
      <c r="L35">
        <v>17922</v>
      </c>
      <c r="M35">
        <v>20505</v>
      </c>
      <c r="N35">
        <v>41104</v>
      </c>
      <c r="O35" s="6">
        <v>20077.5</v>
      </c>
      <c r="P35" s="6">
        <v>44805</v>
      </c>
      <c r="Q35" s="6">
        <v>24606</v>
      </c>
      <c r="R35" s="6">
        <v>89488.5</v>
      </c>
      <c r="S35" s="2">
        <v>18.196666666666669</v>
      </c>
      <c r="T35" s="2">
        <v>16.24422222222222</v>
      </c>
      <c r="U35" s="2">
        <v>5.5755999999999997</v>
      </c>
      <c r="V35" s="2">
        <v>40.016488888888887</v>
      </c>
      <c r="W35">
        <v>74</v>
      </c>
      <c r="X35">
        <v>0</v>
      </c>
      <c r="Y35">
        <v>0</v>
      </c>
      <c r="Z35">
        <v>74</v>
      </c>
      <c r="AA35" s="2">
        <v>3933164.6594693428</v>
      </c>
      <c r="AB35" s="6">
        <v>1805.6</v>
      </c>
      <c r="AC35" s="6">
        <v>0</v>
      </c>
      <c r="AD35" s="6">
        <v>0</v>
      </c>
      <c r="AE35" s="6">
        <v>1805.6</v>
      </c>
      <c r="AF35" s="3">
        <v>14.060866792011369</v>
      </c>
      <c r="AG35">
        <v>74</v>
      </c>
      <c r="AH35">
        <v>0</v>
      </c>
      <c r="AI35">
        <v>0</v>
      </c>
      <c r="AJ35">
        <v>74</v>
      </c>
      <c r="AK35" s="2">
        <v>8189099.6861865036</v>
      </c>
      <c r="AL35" s="6">
        <v>574.24</v>
      </c>
      <c r="AM35" s="6">
        <v>0</v>
      </c>
      <c r="AN35" s="6">
        <v>0</v>
      </c>
      <c r="AO35" s="6">
        <v>574.24</v>
      </c>
      <c r="AP35" s="3">
        <v>0.38333575460642882</v>
      </c>
      <c r="AQ35">
        <v>0</v>
      </c>
      <c r="AR35">
        <v>0</v>
      </c>
      <c r="AS35">
        <v>0</v>
      </c>
      <c r="AT35">
        <v>0</v>
      </c>
      <c r="AU35" s="2">
        <v>0</v>
      </c>
      <c r="AV35" s="6">
        <v>0</v>
      </c>
      <c r="AW35" s="6">
        <v>0</v>
      </c>
      <c r="AX35" s="6">
        <v>0</v>
      </c>
      <c r="AY35" s="6">
        <v>0</v>
      </c>
      <c r="AZ35" s="3">
        <v>0</v>
      </c>
      <c r="BA35">
        <v>74</v>
      </c>
      <c r="BB35">
        <v>2</v>
      </c>
      <c r="BC35">
        <v>0</v>
      </c>
      <c r="BD35">
        <v>76</v>
      </c>
      <c r="BE35" s="2">
        <v>1776982.680517721</v>
      </c>
      <c r="BF35" s="6">
        <v>427.35</v>
      </c>
      <c r="BG35" s="6">
        <v>174.8</v>
      </c>
      <c r="BH35" s="6">
        <v>0</v>
      </c>
      <c r="BI35" s="6">
        <v>602.15</v>
      </c>
      <c r="BJ35" s="3">
        <v>350.28298096256452</v>
      </c>
      <c r="BK35" s="6">
        <v>2807.19</v>
      </c>
      <c r="BL35" s="6">
        <v>174.8</v>
      </c>
      <c r="BM35" s="6">
        <v>0</v>
      </c>
      <c r="BN35" s="6">
        <v>2981.99</v>
      </c>
      <c r="BO35" s="3">
        <v>364.72718350918228</v>
      </c>
      <c r="BP35" s="7">
        <v>92470.49</v>
      </c>
      <c r="BQ35" s="2">
        <v>121.4231017194213</v>
      </c>
      <c r="BR35" s="2">
        <v>526.16677411749254</v>
      </c>
    </row>
    <row r="36" spans="1:70" x14ac:dyDescent="0.3">
      <c r="A36">
        <v>2009</v>
      </c>
      <c r="B36" s="1">
        <v>171623</v>
      </c>
      <c r="C36" s="2">
        <v>14885937.41884063</v>
      </c>
      <c r="D36" s="3">
        <v>27.639828485481441</v>
      </c>
      <c r="E36" s="1">
        <v>102973</v>
      </c>
      <c r="F36" s="4">
        <v>0.4955525582019073</v>
      </c>
      <c r="G36" s="4">
        <v>0.55960337321794784</v>
      </c>
      <c r="H36" s="4">
        <v>0.29251084005975581</v>
      </c>
      <c r="I36" s="4">
        <v>0.43288313924062349</v>
      </c>
      <c r="J36" s="5">
        <v>8.3940505982692173</v>
      </c>
      <c r="K36">
        <v>2889</v>
      </c>
      <c r="L36">
        <v>18619</v>
      </c>
      <c r="M36">
        <v>20832</v>
      </c>
      <c r="N36">
        <v>42340</v>
      </c>
      <c r="O36" s="6">
        <v>21667.5</v>
      </c>
      <c r="P36" s="6">
        <v>46547.5</v>
      </c>
      <c r="Q36" s="6">
        <v>24998.400000000001</v>
      </c>
      <c r="R36" s="6">
        <v>93213.4</v>
      </c>
      <c r="S36" s="2">
        <v>19.518333333333331</v>
      </c>
      <c r="T36" s="2">
        <v>16.771111111111111</v>
      </c>
      <c r="U36" s="2">
        <v>5.6293333333333333</v>
      </c>
      <c r="V36" s="2">
        <v>41.918777777777777</v>
      </c>
      <c r="W36">
        <v>78</v>
      </c>
      <c r="X36">
        <v>0</v>
      </c>
      <c r="Y36">
        <v>0</v>
      </c>
      <c r="Z36">
        <v>78</v>
      </c>
      <c r="AA36" s="2">
        <v>4186191.6990985079</v>
      </c>
      <c r="AB36" s="6">
        <v>1934.4</v>
      </c>
      <c r="AC36" s="6">
        <v>0</v>
      </c>
      <c r="AD36" s="6">
        <v>0</v>
      </c>
      <c r="AE36" s="6">
        <v>1934.4</v>
      </c>
      <c r="AF36" s="3">
        <v>14.73647180229324</v>
      </c>
      <c r="AG36">
        <v>78</v>
      </c>
      <c r="AH36">
        <v>0</v>
      </c>
      <c r="AI36">
        <v>0</v>
      </c>
      <c r="AJ36">
        <v>78</v>
      </c>
      <c r="AK36" s="2">
        <v>8860597.6087611187</v>
      </c>
      <c r="AL36" s="6">
        <v>595.91999999999996</v>
      </c>
      <c r="AM36" s="6">
        <v>0</v>
      </c>
      <c r="AN36" s="6">
        <v>0</v>
      </c>
      <c r="AO36" s="6">
        <v>595.91999999999996</v>
      </c>
      <c r="AP36" s="3">
        <v>0.40348686983912252</v>
      </c>
      <c r="AQ36">
        <v>0</v>
      </c>
      <c r="AR36">
        <v>0</v>
      </c>
      <c r="AS36">
        <v>0</v>
      </c>
      <c r="AT36">
        <v>0</v>
      </c>
      <c r="AU36" s="2">
        <v>0</v>
      </c>
      <c r="AV36" s="6">
        <v>0</v>
      </c>
      <c r="AW36" s="6">
        <v>0</v>
      </c>
      <c r="AX36" s="6">
        <v>0</v>
      </c>
      <c r="AY36" s="6">
        <v>0</v>
      </c>
      <c r="AZ36" s="3">
        <v>0</v>
      </c>
      <c r="BA36">
        <v>76</v>
      </c>
      <c r="BB36">
        <v>2</v>
      </c>
      <c r="BC36">
        <v>0</v>
      </c>
      <c r="BD36">
        <v>78</v>
      </c>
      <c r="BE36" s="2">
        <v>1839148.110981002</v>
      </c>
      <c r="BF36" s="6">
        <v>428.64</v>
      </c>
      <c r="BG36" s="6">
        <v>172.2</v>
      </c>
      <c r="BH36" s="6">
        <v>0</v>
      </c>
      <c r="BI36" s="6">
        <v>600.84</v>
      </c>
      <c r="BJ36" s="3">
        <v>365.89658345972668</v>
      </c>
      <c r="BK36" s="6">
        <v>2958.96</v>
      </c>
      <c r="BL36" s="6">
        <v>172.2</v>
      </c>
      <c r="BM36" s="6">
        <v>0</v>
      </c>
      <c r="BN36" s="6">
        <v>3131.16</v>
      </c>
      <c r="BO36" s="3">
        <v>381.03654213185911</v>
      </c>
      <c r="BP36" s="7">
        <v>96344.56</v>
      </c>
      <c r="BQ36" s="2">
        <v>126.886595972891</v>
      </c>
      <c r="BR36" s="2">
        <v>549.84191588252793</v>
      </c>
    </row>
    <row r="37" spans="1:70" x14ac:dyDescent="0.3">
      <c r="A37">
        <v>2010</v>
      </c>
      <c r="B37" s="1">
        <v>175720</v>
      </c>
      <c r="C37" s="2">
        <v>17093793.501377251</v>
      </c>
      <c r="D37" s="3">
        <v>28.899499321334829</v>
      </c>
      <c r="E37" s="1">
        <v>105432</v>
      </c>
      <c r="F37" s="4">
        <v>0.50170196964684355</v>
      </c>
      <c r="G37" s="4">
        <v>0.5667081672592299</v>
      </c>
      <c r="H37" s="4">
        <v>0.32474281962366092</v>
      </c>
      <c r="I37" s="4">
        <v>0.45197555315606758</v>
      </c>
      <c r="J37" s="5">
        <v>8.5006225088884477</v>
      </c>
      <c r="K37">
        <v>3119</v>
      </c>
      <c r="L37">
        <v>19363</v>
      </c>
      <c r="M37">
        <v>21161</v>
      </c>
      <c r="N37">
        <v>43643</v>
      </c>
      <c r="O37" s="6">
        <v>23392.5</v>
      </c>
      <c r="P37" s="6">
        <v>48407.5</v>
      </c>
      <c r="Q37" s="6">
        <v>25393.200000000001</v>
      </c>
      <c r="R37" s="6">
        <v>97193.2</v>
      </c>
      <c r="S37" s="2">
        <v>20.934999999999999</v>
      </c>
      <c r="T37" s="2">
        <v>17.324222222222222</v>
      </c>
      <c r="U37" s="2">
        <v>5.6799333333333344</v>
      </c>
      <c r="V37" s="2">
        <v>43.939155555555551</v>
      </c>
      <c r="W37">
        <v>83</v>
      </c>
      <c r="X37">
        <v>0</v>
      </c>
      <c r="Y37">
        <v>0</v>
      </c>
      <c r="Z37">
        <v>83</v>
      </c>
      <c r="AA37" s="2">
        <v>4456175.4925284171</v>
      </c>
      <c r="AB37" s="6">
        <v>2025.2</v>
      </c>
      <c r="AC37" s="6">
        <v>0</v>
      </c>
      <c r="AD37" s="6">
        <v>0</v>
      </c>
      <c r="AE37" s="6">
        <v>2025.2</v>
      </c>
      <c r="AF37" s="3">
        <v>15.431153591424721</v>
      </c>
      <c r="AG37">
        <v>83</v>
      </c>
      <c r="AH37">
        <v>0</v>
      </c>
      <c r="AI37">
        <v>0</v>
      </c>
      <c r="AJ37">
        <v>83</v>
      </c>
      <c r="AK37" s="2">
        <v>9590693.0390305202</v>
      </c>
      <c r="AL37" s="6">
        <v>637.44000000000005</v>
      </c>
      <c r="AM37" s="6">
        <v>0</v>
      </c>
      <c r="AN37" s="6">
        <v>0</v>
      </c>
      <c r="AO37" s="6">
        <v>637.44000000000005</v>
      </c>
      <c r="AP37" s="3">
        <v>0.42427539077038778</v>
      </c>
      <c r="AQ37">
        <v>0</v>
      </c>
      <c r="AR37">
        <v>0</v>
      </c>
      <c r="AS37">
        <v>0</v>
      </c>
      <c r="AT37">
        <v>0</v>
      </c>
      <c r="AU37" s="2">
        <v>0</v>
      </c>
      <c r="AV37" s="6">
        <v>0</v>
      </c>
      <c r="AW37" s="6">
        <v>0</v>
      </c>
      <c r="AX37" s="6">
        <v>0</v>
      </c>
      <c r="AY37" s="6">
        <v>0</v>
      </c>
      <c r="AZ37" s="3">
        <v>0</v>
      </c>
      <c r="BA37">
        <v>124</v>
      </c>
      <c r="BB37">
        <v>4</v>
      </c>
      <c r="BC37">
        <v>0</v>
      </c>
      <c r="BD37">
        <v>128</v>
      </c>
      <c r="BE37" s="2">
        <v>3046924.969818315</v>
      </c>
      <c r="BF37" s="6">
        <v>699.36</v>
      </c>
      <c r="BG37" s="6">
        <v>341.8</v>
      </c>
      <c r="BH37" s="6">
        <v>0</v>
      </c>
      <c r="BI37" s="6">
        <v>1041.1600000000001</v>
      </c>
      <c r="BJ37" s="3">
        <v>381.93592835605631</v>
      </c>
      <c r="BK37" s="6">
        <v>3362</v>
      </c>
      <c r="BL37" s="6">
        <v>341.8</v>
      </c>
      <c r="BM37" s="6">
        <v>0</v>
      </c>
      <c r="BN37" s="6">
        <v>3703.8</v>
      </c>
      <c r="BO37" s="3">
        <v>397.79135733825137</v>
      </c>
      <c r="BP37" s="7">
        <v>100897</v>
      </c>
      <c r="BQ37" s="2">
        <v>132.5191538681421</v>
      </c>
      <c r="BR37" s="2">
        <v>574.24966676194913</v>
      </c>
    </row>
    <row r="38" spans="1:70" x14ac:dyDescent="0.3">
      <c r="A38">
        <v>2011</v>
      </c>
      <c r="B38" s="1">
        <v>179951</v>
      </c>
      <c r="C38" s="2">
        <v>18466580.325686399</v>
      </c>
      <c r="D38" s="3">
        <v>30.284707510525099</v>
      </c>
      <c r="E38" s="1">
        <v>107970</v>
      </c>
      <c r="F38" s="4">
        <v>0.50799594502851697</v>
      </c>
      <c r="G38" s="4">
        <v>0.57360298290337397</v>
      </c>
      <c r="H38" s="4">
        <v>0.36219840842463358</v>
      </c>
      <c r="I38" s="4">
        <v>0.47257716009367873</v>
      </c>
      <c r="J38" s="5">
        <v>8.6040447435506096</v>
      </c>
      <c r="K38">
        <v>3368</v>
      </c>
      <c r="L38">
        <v>20153</v>
      </c>
      <c r="M38">
        <v>21502</v>
      </c>
      <c r="N38">
        <v>45023</v>
      </c>
      <c r="O38" s="6">
        <v>25260</v>
      </c>
      <c r="P38" s="6">
        <v>50382.5</v>
      </c>
      <c r="Q38" s="6">
        <v>25802.400000000001</v>
      </c>
      <c r="R38" s="6">
        <v>101444.9</v>
      </c>
      <c r="S38" s="2">
        <v>22.436666666666671</v>
      </c>
      <c r="T38" s="2">
        <v>17.899333333333331</v>
      </c>
      <c r="U38" s="2">
        <v>5.7293333333333329</v>
      </c>
      <c r="V38" s="2">
        <v>46.065333333333328</v>
      </c>
      <c r="W38">
        <v>86</v>
      </c>
      <c r="X38">
        <v>0</v>
      </c>
      <c r="Y38">
        <v>0</v>
      </c>
      <c r="Z38">
        <v>86</v>
      </c>
      <c r="AA38" s="2">
        <v>4612384.0733464183</v>
      </c>
      <c r="AB38" s="6">
        <v>2089.8000000000002</v>
      </c>
      <c r="AC38" s="6">
        <v>0</v>
      </c>
      <c r="AD38" s="6">
        <v>0</v>
      </c>
      <c r="AE38" s="6">
        <v>2089.8000000000002</v>
      </c>
      <c r="AF38" s="3">
        <v>15.16129859213725</v>
      </c>
      <c r="AG38">
        <v>86</v>
      </c>
      <c r="AH38">
        <v>0</v>
      </c>
      <c r="AI38">
        <v>0</v>
      </c>
      <c r="AJ38">
        <v>86</v>
      </c>
      <c r="AK38" s="2">
        <v>10708688.64427365</v>
      </c>
      <c r="AL38" s="6">
        <v>681.12</v>
      </c>
      <c r="AM38" s="6">
        <v>0</v>
      </c>
      <c r="AN38" s="6">
        <v>0</v>
      </c>
      <c r="AO38" s="6">
        <v>681.12</v>
      </c>
      <c r="AP38" s="3">
        <v>0.49354890607202878</v>
      </c>
      <c r="AQ38">
        <v>0</v>
      </c>
      <c r="AR38">
        <v>0</v>
      </c>
      <c r="AS38">
        <v>0</v>
      </c>
      <c r="AT38">
        <v>0</v>
      </c>
      <c r="AU38" s="2">
        <v>0</v>
      </c>
      <c r="AV38" s="6">
        <v>0</v>
      </c>
      <c r="AW38" s="6">
        <v>0</v>
      </c>
      <c r="AX38" s="6">
        <v>0</v>
      </c>
      <c r="AY38" s="6">
        <v>0</v>
      </c>
      <c r="AZ38" s="3">
        <v>0</v>
      </c>
      <c r="BA38">
        <v>127</v>
      </c>
      <c r="BB38">
        <v>4</v>
      </c>
      <c r="BC38">
        <v>0</v>
      </c>
      <c r="BD38">
        <v>131</v>
      </c>
      <c r="BE38" s="2">
        <v>3145507.6080663311</v>
      </c>
      <c r="BF38" s="6">
        <v>716.28</v>
      </c>
      <c r="BG38" s="6">
        <v>344.4</v>
      </c>
      <c r="BH38" s="6">
        <v>0</v>
      </c>
      <c r="BI38" s="6">
        <v>1060.68</v>
      </c>
      <c r="BJ38" s="3">
        <v>384.74322403282702</v>
      </c>
      <c r="BK38" s="6">
        <v>3487.2</v>
      </c>
      <c r="BL38" s="6">
        <v>344.4</v>
      </c>
      <c r="BM38" s="6">
        <v>0</v>
      </c>
      <c r="BN38" s="6">
        <v>3831.6</v>
      </c>
      <c r="BO38" s="3">
        <v>400.39807153103618</v>
      </c>
      <c r="BP38" s="7">
        <v>105276.5</v>
      </c>
      <c r="BQ38" s="2">
        <v>133.93902145931091</v>
      </c>
      <c r="BR38" s="2">
        <v>580.4024263236804</v>
      </c>
    </row>
    <row r="39" spans="1:70" x14ac:dyDescent="0.3">
      <c r="A39">
        <v>2012</v>
      </c>
      <c r="B39" s="1">
        <v>184325</v>
      </c>
      <c r="C39" s="2">
        <v>19937294.02185804</v>
      </c>
      <c r="D39" s="3">
        <v>31.807963961961391</v>
      </c>
      <c r="E39" s="1">
        <v>110595</v>
      </c>
      <c r="F39" s="4">
        <v>0.51460881951015314</v>
      </c>
      <c r="G39" s="4">
        <v>0.58029402594987389</v>
      </c>
      <c r="H39" s="4">
        <v>0.40539285334027231</v>
      </c>
      <c r="I39" s="4">
        <v>0.49469076653637889</v>
      </c>
      <c r="J39" s="5">
        <v>8.7044103892481086</v>
      </c>
      <c r="K39">
        <v>3638</v>
      </c>
      <c r="L39">
        <v>20999</v>
      </c>
      <c r="M39">
        <v>21847</v>
      </c>
      <c r="N39">
        <v>46484</v>
      </c>
      <c r="O39" s="6">
        <v>27285</v>
      </c>
      <c r="P39" s="6">
        <v>52497.5</v>
      </c>
      <c r="Q39" s="6">
        <v>26216.400000000001</v>
      </c>
      <c r="R39" s="6">
        <v>105998.9</v>
      </c>
      <c r="S39" s="2">
        <v>24.048333333333328</v>
      </c>
      <c r="T39" s="2">
        <v>18.50355555555555</v>
      </c>
      <c r="U39" s="2">
        <v>5.775266666666667</v>
      </c>
      <c r="V39" s="2">
        <v>48.327155555555549</v>
      </c>
      <c r="W39">
        <v>89</v>
      </c>
      <c r="X39">
        <v>0</v>
      </c>
      <c r="Y39">
        <v>0</v>
      </c>
      <c r="Z39">
        <v>89</v>
      </c>
      <c r="AA39" s="2">
        <v>4782871.5902410354</v>
      </c>
      <c r="AB39" s="6">
        <v>2162.6999999999998</v>
      </c>
      <c r="AC39" s="6">
        <v>0</v>
      </c>
      <c r="AD39" s="6">
        <v>0</v>
      </c>
      <c r="AE39" s="6">
        <v>2162.6999999999998</v>
      </c>
      <c r="AF39" s="3">
        <v>14.93273382970759</v>
      </c>
      <c r="AG39">
        <v>89</v>
      </c>
      <c r="AH39">
        <v>0</v>
      </c>
      <c r="AI39">
        <v>0</v>
      </c>
      <c r="AJ39">
        <v>89</v>
      </c>
      <c r="AK39" s="2">
        <v>11903835.80996293</v>
      </c>
      <c r="AL39" s="6">
        <v>683.52</v>
      </c>
      <c r="AM39" s="6">
        <v>0</v>
      </c>
      <c r="AN39" s="6">
        <v>0</v>
      </c>
      <c r="AO39" s="6">
        <v>683.52</v>
      </c>
      <c r="AP39" s="3">
        <v>0.56388158302718971</v>
      </c>
      <c r="AQ39">
        <v>0</v>
      </c>
      <c r="AR39">
        <v>0</v>
      </c>
      <c r="AS39">
        <v>0</v>
      </c>
      <c r="AT39">
        <v>0</v>
      </c>
      <c r="AU39" s="2">
        <v>0</v>
      </c>
      <c r="AV39" s="6">
        <v>0</v>
      </c>
      <c r="AW39" s="6">
        <v>0</v>
      </c>
      <c r="AX39" s="6">
        <v>0</v>
      </c>
      <c r="AY39" s="6">
        <v>0</v>
      </c>
      <c r="AZ39" s="3">
        <v>0</v>
      </c>
      <c r="BA39">
        <v>131</v>
      </c>
      <c r="BB39">
        <v>4</v>
      </c>
      <c r="BC39">
        <v>0</v>
      </c>
      <c r="BD39">
        <v>135</v>
      </c>
      <c r="BE39" s="2">
        <v>3250586.621654076</v>
      </c>
      <c r="BF39" s="6">
        <v>744.73500000000001</v>
      </c>
      <c r="BG39" s="6">
        <v>344.4</v>
      </c>
      <c r="BH39" s="6">
        <v>0</v>
      </c>
      <c r="BI39" s="6">
        <v>1089.135</v>
      </c>
      <c r="BJ39" s="3">
        <v>388.83847369820518</v>
      </c>
      <c r="BK39" s="6">
        <v>3590.9549999999999</v>
      </c>
      <c r="BL39" s="6">
        <v>344.4</v>
      </c>
      <c r="BM39" s="6">
        <v>0</v>
      </c>
      <c r="BN39" s="6">
        <v>3935.355</v>
      </c>
      <c r="BO39" s="3">
        <v>404.33508911093998</v>
      </c>
      <c r="BP39" s="7">
        <v>109934.255</v>
      </c>
      <c r="BQ39" s="2">
        <v>135.79867339994871</v>
      </c>
      <c r="BR39" s="2">
        <v>588.46091806644426</v>
      </c>
    </row>
    <row r="40" spans="1:70" x14ac:dyDescent="0.3">
      <c r="A40">
        <v>2013</v>
      </c>
      <c r="B40" s="1">
        <v>188850</v>
      </c>
      <c r="C40" s="2">
        <v>21523586.147123769</v>
      </c>
      <c r="D40" s="3">
        <v>33.483026407411252</v>
      </c>
      <c r="E40" s="1">
        <v>113310</v>
      </c>
      <c r="F40" s="4">
        <v>0.52153811571916409</v>
      </c>
      <c r="G40" s="4">
        <v>0.58678731878913071</v>
      </c>
      <c r="H40" s="4">
        <v>0.4546160486032324</v>
      </c>
      <c r="I40" s="4">
        <v>0.51816790796021373</v>
      </c>
      <c r="J40" s="5">
        <v>8.8018097818369601</v>
      </c>
      <c r="K40">
        <v>3933</v>
      </c>
      <c r="L40">
        <v>21906</v>
      </c>
      <c r="M40">
        <v>22197</v>
      </c>
      <c r="N40">
        <v>48036</v>
      </c>
      <c r="O40" s="6">
        <v>29497.5</v>
      </c>
      <c r="P40" s="6">
        <v>54765</v>
      </c>
      <c r="Q40" s="6">
        <v>26636.400000000001</v>
      </c>
      <c r="R40" s="6">
        <v>110898.9</v>
      </c>
      <c r="S40" s="2">
        <v>25.774999999999999</v>
      </c>
      <c r="T40" s="2">
        <v>19.137777777777782</v>
      </c>
      <c r="U40" s="2">
        <v>5.8175999999999997</v>
      </c>
      <c r="V40" s="2">
        <v>50.730377777777782</v>
      </c>
      <c r="W40">
        <v>92</v>
      </c>
      <c r="X40">
        <v>0</v>
      </c>
      <c r="Y40">
        <v>0</v>
      </c>
      <c r="Z40">
        <v>92</v>
      </c>
      <c r="AA40" s="2">
        <v>4969281.2448384203</v>
      </c>
      <c r="AB40" s="6">
        <v>2244.8000000000002</v>
      </c>
      <c r="AC40" s="6">
        <v>0</v>
      </c>
      <c r="AD40" s="6">
        <v>0</v>
      </c>
      <c r="AE40" s="6">
        <v>2244.8000000000002</v>
      </c>
      <c r="AF40" s="3">
        <v>14.743630268748371</v>
      </c>
      <c r="AG40">
        <v>92</v>
      </c>
      <c r="AH40">
        <v>0</v>
      </c>
      <c r="AI40">
        <v>0</v>
      </c>
      <c r="AJ40">
        <v>92</v>
      </c>
      <c r="AK40" s="2">
        <v>13191543.86783519</v>
      </c>
      <c r="AL40" s="6">
        <v>724.96</v>
      </c>
      <c r="AM40" s="6">
        <v>0</v>
      </c>
      <c r="AN40" s="6">
        <v>0</v>
      </c>
      <c r="AO40" s="6">
        <v>724.96</v>
      </c>
      <c r="AP40" s="3">
        <v>0.63532269413927833</v>
      </c>
      <c r="AQ40">
        <v>0</v>
      </c>
      <c r="AR40">
        <v>0</v>
      </c>
      <c r="AS40">
        <v>0</v>
      </c>
      <c r="AT40">
        <v>0</v>
      </c>
      <c r="AU40" s="2">
        <v>0</v>
      </c>
      <c r="AV40" s="6">
        <v>0</v>
      </c>
      <c r="AW40" s="6">
        <v>0</v>
      </c>
      <c r="AX40" s="6">
        <v>0</v>
      </c>
      <c r="AY40" s="6">
        <v>0</v>
      </c>
      <c r="AZ40" s="3">
        <v>0</v>
      </c>
      <c r="BA40">
        <v>134</v>
      </c>
      <c r="BB40">
        <v>4</v>
      </c>
      <c r="BC40">
        <v>0</v>
      </c>
      <c r="BD40">
        <v>138</v>
      </c>
      <c r="BE40" s="2">
        <v>3362761.0344501631</v>
      </c>
      <c r="BF40" s="6">
        <v>749.73</v>
      </c>
      <c r="BG40" s="6">
        <v>334</v>
      </c>
      <c r="BH40" s="6">
        <v>0</v>
      </c>
      <c r="BI40" s="6">
        <v>1083.73</v>
      </c>
      <c r="BJ40" s="3">
        <v>394.13340562983677</v>
      </c>
      <c r="BK40" s="6">
        <v>3719.49</v>
      </c>
      <c r="BL40" s="6">
        <v>334</v>
      </c>
      <c r="BM40" s="6">
        <v>0</v>
      </c>
      <c r="BN40" s="6">
        <v>4053.49</v>
      </c>
      <c r="BO40" s="3">
        <v>409.51235859272441</v>
      </c>
      <c r="BP40" s="7">
        <v>114952.39</v>
      </c>
      <c r="BQ40" s="2">
        <v>138.07282091115059</v>
      </c>
      <c r="BR40" s="2">
        <v>598.3155572816529</v>
      </c>
    </row>
    <row r="41" spans="1:70" x14ac:dyDescent="0.3">
      <c r="A41">
        <v>2014</v>
      </c>
      <c r="B41" s="1">
        <v>193530</v>
      </c>
      <c r="C41" s="2">
        <v>23244359.060377389</v>
      </c>
      <c r="D41" s="3">
        <v>35.325023658439392</v>
      </c>
      <c r="E41" s="1">
        <v>116118</v>
      </c>
      <c r="F41" s="4">
        <v>0.52877993778808752</v>
      </c>
      <c r="G41" s="4">
        <v>0.59308870582300999</v>
      </c>
      <c r="H41" s="4">
        <v>0.509749473858785</v>
      </c>
      <c r="I41" s="4">
        <v>0.54272996850855626</v>
      </c>
      <c r="J41" s="5">
        <v>8.8963305873451493</v>
      </c>
      <c r="K41">
        <v>4255</v>
      </c>
      <c r="L41">
        <v>22878</v>
      </c>
      <c r="M41">
        <v>22551</v>
      </c>
      <c r="N41">
        <v>49684</v>
      </c>
      <c r="O41" s="6">
        <v>31912.5</v>
      </c>
      <c r="P41" s="6">
        <v>57195</v>
      </c>
      <c r="Q41" s="6">
        <v>27061.200000000001</v>
      </c>
      <c r="R41" s="6">
        <v>116168.7</v>
      </c>
      <c r="S41" s="2">
        <v>27.625</v>
      </c>
      <c r="T41" s="2">
        <v>19.803111111111111</v>
      </c>
      <c r="U41" s="2">
        <v>5.8559999999999999</v>
      </c>
      <c r="V41" s="2">
        <v>53.284111111111109</v>
      </c>
      <c r="W41">
        <v>95</v>
      </c>
      <c r="X41">
        <v>0</v>
      </c>
      <c r="Y41">
        <v>0</v>
      </c>
      <c r="Z41">
        <v>95</v>
      </c>
      <c r="AA41" s="2">
        <v>5173482.3610149873</v>
      </c>
      <c r="AB41" s="6">
        <v>2308.5</v>
      </c>
      <c r="AC41" s="6">
        <v>0</v>
      </c>
      <c r="AD41" s="6">
        <v>0</v>
      </c>
      <c r="AE41" s="6">
        <v>2308.5</v>
      </c>
      <c r="AF41" s="3">
        <v>14.59228146225654</v>
      </c>
      <c r="AG41">
        <v>95</v>
      </c>
      <c r="AH41">
        <v>0</v>
      </c>
      <c r="AI41">
        <v>0</v>
      </c>
      <c r="AJ41">
        <v>95</v>
      </c>
      <c r="AK41" s="2">
        <v>14588153.527799889</v>
      </c>
      <c r="AL41" s="6">
        <v>737.2</v>
      </c>
      <c r="AM41" s="6">
        <v>0</v>
      </c>
      <c r="AN41" s="6">
        <v>0</v>
      </c>
      <c r="AO41" s="6">
        <v>737.2</v>
      </c>
      <c r="AP41" s="3">
        <v>0.7079216395192347</v>
      </c>
      <c r="AQ41">
        <v>0</v>
      </c>
      <c r="AR41">
        <v>0</v>
      </c>
      <c r="AS41">
        <v>0</v>
      </c>
      <c r="AT41">
        <v>0</v>
      </c>
      <c r="AU41" s="2">
        <v>0</v>
      </c>
      <c r="AV41" s="6">
        <v>0</v>
      </c>
      <c r="AW41" s="6">
        <v>0</v>
      </c>
      <c r="AX41" s="6">
        <v>0</v>
      </c>
      <c r="AY41" s="6">
        <v>0</v>
      </c>
      <c r="AZ41" s="3">
        <v>0</v>
      </c>
      <c r="BA41">
        <v>138</v>
      </c>
      <c r="BB41">
        <v>4</v>
      </c>
      <c r="BC41">
        <v>0</v>
      </c>
      <c r="BD41">
        <v>142</v>
      </c>
      <c r="BE41" s="2">
        <v>3482723.171562518</v>
      </c>
      <c r="BF41" s="6">
        <v>796.95</v>
      </c>
      <c r="BG41" s="6">
        <v>339.2</v>
      </c>
      <c r="BH41" s="6">
        <v>0</v>
      </c>
      <c r="BI41" s="6">
        <v>1136.1500000000001</v>
      </c>
      <c r="BJ41" s="3">
        <v>400.5493781689205</v>
      </c>
      <c r="BK41" s="6">
        <v>3842.65</v>
      </c>
      <c r="BL41" s="6">
        <v>339.2</v>
      </c>
      <c r="BM41" s="6">
        <v>0</v>
      </c>
      <c r="BN41" s="6">
        <v>4181.8500000000004</v>
      </c>
      <c r="BO41" s="3">
        <v>415.84958127069632</v>
      </c>
      <c r="BP41" s="7">
        <v>120350.55</v>
      </c>
      <c r="BQ41" s="2">
        <v>140.74010771454221</v>
      </c>
      <c r="BR41" s="2">
        <v>609.87380009634956</v>
      </c>
    </row>
    <row r="42" spans="1:70" x14ac:dyDescent="0.3">
      <c r="A42">
        <v>2015</v>
      </c>
      <c r="B42" s="1">
        <v>198366</v>
      </c>
      <c r="C42" s="2">
        <v>29953655.26080272</v>
      </c>
      <c r="D42" s="3">
        <v>37.350592246650407</v>
      </c>
      <c r="E42" s="1">
        <v>119019</v>
      </c>
      <c r="F42" s="4">
        <v>0.53632906694704929</v>
      </c>
      <c r="G42" s="4">
        <v>0.59920385872519855</v>
      </c>
      <c r="H42" s="4">
        <v>0.57005390093874553</v>
      </c>
      <c r="I42" s="4">
        <v>0.56794631494731851</v>
      </c>
      <c r="J42" s="5">
        <v>8.9880578808779781</v>
      </c>
      <c r="K42">
        <v>4606</v>
      </c>
      <c r="L42">
        <v>23921</v>
      </c>
      <c r="M42">
        <v>22910</v>
      </c>
      <c r="N42">
        <v>51437</v>
      </c>
      <c r="O42" s="6">
        <v>34545</v>
      </c>
      <c r="P42" s="6">
        <v>59802.5</v>
      </c>
      <c r="Q42" s="6">
        <v>27492</v>
      </c>
      <c r="R42" s="6">
        <v>121839.5</v>
      </c>
      <c r="S42" s="2">
        <v>29.606666666666669</v>
      </c>
      <c r="T42" s="2">
        <v>20.49977777777778</v>
      </c>
      <c r="U42" s="2">
        <v>5.890133333333333</v>
      </c>
      <c r="V42" s="2">
        <v>55.996577777777773</v>
      </c>
      <c r="W42">
        <v>99</v>
      </c>
      <c r="X42">
        <v>0</v>
      </c>
      <c r="Y42">
        <v>0</v>
      </c>
      <c r="Z42">
        <v>99</v>
      </c>
      <c r="AA42" s="2">
        <v>5397538.7876686286</v>
      </c>
      <c r="AB42" s="6">
        <v>2376</v>
      </c>
      <c r="AC42" s="6">
        <v>0</v>
      </c>
      <c r="AD42" s="6">
        <v>0</v>
      </c>
      <c r="AE42" s="6">
        <v>2376</v>
      </c>
      <c r="AF42" s="3">
        <v>14.477092746767649</v>
      </c>
      <c r="AG42">
        <v>99</v>
      </c>
      <c r="AH42">
        <v>0</v>
      </c>
      <c r="AI42">
        <v>0</v>
      </c>
      <c r="AJ42">
        <v>99</v>
      </c>
      <c r="AK42" s="2">
        <v>20944920.958136749</v>
      </c>
      <c r="AL42" s="6">
        <v>780.12</v>
      </c>
      <c r="AM42" s="6">
        <v>0</v>
      </c>
      <c r="AN42" s="6">
        <v>0</v>
      </c>
      <c r="AO42" s="6">
        <v>780.12</v>
      </c>
      <c r="AP42" s="3">
        <v>0.78172751186446998</v>
      </c>
      <c r="AQ42">
        <v>0</v>
      </c>
      <c r="AR42">
        <v>0</v>
      </c>
      <c r="AS42">
        <v>0</v>
      </c>
      <c r="AT42">
        <v>0</v>
      </c>
      <c r="AU42" s="2">
        <v>0</v>
      </c>
      <c r="AV42" s="6">
        <v>0</v>
      </c>
      <c r="AW42" s="6">
        <v>0</v>
      </c>
      <c r="AX42" s="6">
        <v>0</v>
      </c>
      <c r="AY42" s="6">
        <v>0</v>
      </c>
      <c r="AZ42" s="3">
        <v>0</v>
      </c>
      <c r="BA42">
        <v>142</v>
      </c>
      <c r="BB42">
        <v>5</v>
      </c>
      <c r="BC42">
        <v>0</v>
      </c>
      <c r="BD42">
        <v>147</v>
      </c>
      <c r="BE42" s="2">
        <v>3611195.5149973328</v>
      </c>
      <c r="BF42" s="6">
        <v>788.1</v>
      </c>
      <c r="BG42" s="6">
        <v>437</v>
      </c>
      <c r="BH42" s="6">
        <v>0</v>
      </c>
      <c r="BI42" s="6">
        <v>1225.0999999999999</v>
      </c>
      <c r="BJ42" s="3">
        <v>408.0162011174346</v>
      </c>
      <c r="BK42" s="6">
        <v>3944.22</v>
      </c>
      <c r="BL42" s="6">
        <v>437</v>
      </c>
      <c r="BM42" s="6">
        <v>0</v>
      </c>
      <c r="BN42" s="6">
        <v>4381.22</v>
      </c>
      <c r="BO42" s="3">
        <v>423.27502137606672</v>
      </c>
      <c r="BP42" s="7">
        <v>126220.72</v>
      </c>
      <c r="BQ42" s="2">
        <v>143.78147974615331</v>
      </c>
      <c r="BR42" s="2">
        <v>623.05307889999779</v>
      </c>
    </row>
    <row r="43" spans="1:70" x14ac:dyDescent="0.3">
      <c r="A43">
        <v>2016</v>
      </c>
      <c r="B43" s="1">
        <v>203349</v>
      </c>
      <c r="C43" s="2">
        <v>32508434.179596681</v>
      </c>
      <c r="D43" s="3">
        <v>39.578026681341953</v>
      </c>
      <c r="E43" s="1">
        <v>122009</v>
      </c>
      <c r="F43" s="4">
        <v>0.5442044020630985</v>
      </c>
      <c r="G43" s="4">
        <v>0.60513828154609373</v>
      </c>
      <c r="H43" s="4">
        <v>0.63398783633635525</v>
      </c>
      <c r="I43" s="4">
        <v>0.59324287996289882</v>
      </c>
      <c r="J43" s="5">
        <v>9.0770742231914063</v>
      </c>
      <c r="K43">
        <v>4989</v>
      </c>
      <c r="L43">
        <v>25039</v>
      </c>
      <c r="M43">
        <v>23272</v>
      </c>
      <c r="N43">
        <v>53300</v>
      </c>
      <c r="O43" s="6">
        <v>37417.5</v>
      </c>
      <c r="P43" s="6">
        <v>62597.5</v>
      </c>
      <c r="Q43" s="6">
        <v>27926.400000000001</v>
      </c>
      <c r="R43" s="6">
        <v>127941.4</v>
      </c>
      <c r="S43" s="2">
        <v>31.72666666666667</v>
      </c>
      <c r="T43" s="2">
        <v>21.228222222222222</v>
      </c>
      <c r="U43" s="2">
        <v>5.9189333333333334</v>
      </c>
      <c r="V43" s="2">
        <v>58.873822222222223</v>
      </c>
      <c r="W43">
        <v>103</v>
      </c>
      <c r="X43">
        <v>0</v>
      </c>
      <c r="Y43">
        <v>0</v>
      </c>
      <c r="Z43">
        <v>103</v>
      </c>
      <c r="AA43" s="2">
        <v>5643731.1170835597</v>
      </c>
      <c r="AB43" s="6">
        <v>2544.1</v>
      </c>
      <c r="AC43" s="6">
        <v>0</v>
      </c>
      <c r="AD43" s="6">
        <v>0</v>
      </c>
      <c r="AE43" s="6">
        <v>2544.1</v>
      </c>
      <c r="AF43" s="3">
        <v>14.39658203146414</v>
      </c>
      <c r="AG43">
        <v>103</v>
      </c>
      <c r="AH43">
        <v>0</v>
      </c>
      <c r="AI43">
        <v>0</v>
      </c>
      <c r="AJ43">
        <v>103</v>
      </c>
      <c r="AK43" s="2">
        <v>23115782.285926029</v>
      </c>
      <c r="AL43" s="6">
        <v>782.8</v>
      </c>
      <c r="AM43" s="6">
        <v>0</v>
      </c>
      <c r="AN43" s="6">
        <v>0</v>
      </c>
      <c r="AO43" s="6">
        <v>782.8</v>
      </c>
      <c r="AP43" s="3">
        <v>0.85679004269635484</v>
      </c>
      <c r="AQ43">
        <v>0</v>
      </c>
      <c r="AR43">
        <v>0</v>
      </c>
      <c r="AS43">
        <v>0</v>
      </c>
      <c r="AT43">
        <v>0</v>
      </c>
      <c r="AU43" s="2">
        <v>0</v>
      </c>
      <c r="AV43" s="6">
        <v>0</v>
      </c>
      <c r="AW43" s="6">
        <v>0</v>
      </c>
      <c r="AX43" s="6">
        <v>0</v>
      </c>
      <c r="AY43" s="6">
        <v>0</v>
      </c>
      <c r="AZ43" s="3">
        <v>0</v>
      </c>
      <c r="BA43">
        <v>147</v>
      </c>
      <c r="BB43">
        <v>5</v>
      </c>
      <c r="BC43">
        <v>0</v>
      </c>
      <c r="BD43">
        <v>152</v>
      </c>
      <c r="BE43" s="2">
        <v>3748920.7765870928</v>
      </c>
      <c r="BF43" s="6">
        <v>815.85</v>
      </c>
      <c r="BG43" s="6">
        <v>443.5</v>
      </c>
      <c r="BH43" s="6">
        <v>0</v>
      </c>
      <c r="BI43" s="6">
        <v>1259.3499999999999</v>
      </c>
      <c r="BJ43" s="3">
        <v>416.4717590996006</v>
      </c>
      <c r="BK43" s="6">
        <v>4142.75</v>
      </c>
      <c r="BL43" s="6">
        <v>443.5</v>
      </c>
      <c r="BM43" s="6">
        <v>0</v>
      </c>
      <c r="BN43" s="6">
        <v>4586.25</v>
      </c>
      <c r="BO43" s="3">
        <v>431.7251311737611</v>
      </c>
      <c r="BP43" s="7">
        <v>132527.65</v>
      </c>
      <c r="BQ43" s="2">
        <v>147.179686018795</v>
      </c>
      <c r="BR43" s="2">
        <v>637.77863941477835</v>
      </c>
    </row>
    <row r="44" spans="1:70" x14ac:dyDescent="0.3">
      <c r="A44">
        <v>2017</v>
      </c>
      <c r="B44" s="1">
        <v>208456</v>
      </c>
      <c r="C44" s="2">
        <v>35316410.110709451</v>
      </c>
      <c r="D44" s="3">
        <v>42.027444681663297</v>
      </c>
      <c r="E44" s="1">
        <v>125073</v>
      </c>
      <c r="F44" s="4">
        <v>0.55237496766104865</v>
      </c>
      <c r="G44" s="4">
        <v>0.61089731566681971</v>
      </c>
      <c r="H44" s="4">
        <v>0.69915838236996219</v>
      </c>
      <c r="I44" s="4">
        <v>0.61791099770358204</v>
      </c>
      <c r="J44" s="5">
        <v>9.163459735002295</v>
      </c>
      <c r="K44">
        <v>5407</v>
      </c>
      <c r="L44">
        <v>26233</v>
      </c>
      <c r="M44">
        <v>23633</v>
      </c>
      <c r="N44">
        <v>55273</v>
      </c>
      <c r="O44" s="6">
        <v>40552.5</v>
      </c>
      <c r="P44" s="6">
        <v>65582.5</v>
      </c>
      <c r="Q44" s="6">
        <v>28359.599999999999</v>
      </c>
      <c r="R44" s="6">
        <v>134494.6</v>
      </c>
      <c r="S44" s="2">
        <v>33.99</v>
      </c>
      <c r="T44" s="2">
        <v>21.985111111111109</v>
      </c>
      <c r="U44" s="2">
        <v>5.9417999999999997</v>
      </c>
      <c r="V44" s="2">
        <v>61.916911111111112</v>
      </c>
      <c r="W44">
        <v>108</v>
      </c>
      <c r="X44">
        <v>0</v>
      </c>
      <c r="Y44">
        <v>0</v>
      </c>
      <c r="Z44">
        <v>108</v>
      </c>
      <c r="AA44" s="2">
        <v>5914427.474544269</v>
      </c>
      <c r="AB44" s="6">
        <v>2602.8000000000002</v>
      </c>
      <c r="AC44" s="6">
        <v>0</v>
      </c>
      <c r="AD44" s="6">
        <v>0</v>
      </c>
      <c r="AE44" s="6">
        <v>2602.8000000000002</v>
      </c>
      <c r="AF44" s="3">
        <v>14.349369944197351</v>
      </c>
      <c r="AG44">
        <v>108</v>
      </c>
      <c r="AH44">
        <v>0</v>
      </c>
      <c r="AI44">
        <v>0</v>
      </c>
      <c r="AJ44">
        <v>108</v>
      </c>
      <c r="AK44" s="2">
        <v>25505499.051209141</v>
      </c>
      <c r="AL44" s="6">
        <v>838.08</v>
      </c>
      <c r="AM44" s="6">
        <v>0</v>
      </c>
      <c r="AN44" s="6">
        <v>0</v>
      </c>
      <c r="AO44" s="6">
        <v>838.08</v>
      </c>
      <c r="AP44" s="3">
        <v>0.93315919574309591</v>
      </c>
      <c r="AQ44">
        <v>0</v>
      </c>
      <c r="AR44">
        <v>0</v>
      </c>
      <c r="AS44">
        <v>0</v>
      </c>
      <c r="AT44">
        <v>0</v>
      </c>
      <c r="AU44" s="2">
        <v>0</v>
      </c>
      <c r="AV44" s="6">
        <v>0</v>
      </c>
      <c r="AW44" s="6">
        <v>0</v>
      </c>
      <c r="AX44" s="6">
        <v>0</v>
      </c>
      <c r="AY44" s="6">
        <v>0</v>
      </c>
      <c r="AZ44" s="3">
        <v>0</v>
      </c>
      <c r="BA44">
        <v>152</v>
      </c>
      <c r="BB44">
        <v>5</v>
      </c>
      <c r="BC44">
        <v>0</v>
      </c>
      <c r="BD44">
        <v>157</v>
      </c>
      <c r="BE44" s="2">
        <v>3896483.5849560448</v>
      </c>
      <c r="BF44" s="6">
        <v>884.64</v>
      </c>
      <c r="BG44" s="6">
        <v>417.5</v>
      </c>
      <c r="BH44" s="6">
        <v>0</v>
      </c>
      <c r="BI44" s="6">
        <v>1302.1400000000001</v>
      </c>
      <c r="BJ44" s="3">
        <v>425.86101035345638</v>
      </c>
      <c r="BK44" s="6">
        <v>4325.5200000000004</v>
      </c>
      <c r="BL44" s="6">
        <v>417.5</v>
      </c>
      <c r="BM44" s="6">
        <v>0</v>
      </c>
      <c r="BN44" s="6">
        <v>4743.0200000000004</v>
      </c>
      <c r="BO44" s="3">
        <v>441.14353949339687</v>
      </c>
      <c r="BP44" s="7">
        <v>139237.62</v>
      </c>
      <c r="BQ44" s="2">
        <v>150.9181351813524</v>
      </c>
      <c r="BR44" s="2">
        <v>653.97858578586033</v>
      </c>
    </row>
    <row r="45" spans="1:70" x14ac:dyDescent="0.3">
      <c r="A45">
        <v>2018</v>
      </c>
      <c r="B45" s="1">
        <v>213645</v>
      </c>
      <c r="C45" s="2">
        <v>38412329.421367303</v>
      </c>
      <c r="D45" s="3">
        <v>44.720968875621942</v>
      </c>
      <c r="E45" s="1">
        <v>128187</v>
      </c>
      <c r="F45" s="4">
        <v>0.56083228522136108</v>
      </c>
      <c r="G45" s="4">
        <v>0.61648614460683171</v>
      </c>
      <c r="H45" s="4">
        <v>0.76251473710681994</v>
      </c>
      <c r="I45" s="4">
        <v>0.64121182501597274</v>
      </c>
      <c r="J45" s="5">
        <v>9.2472921691024759</v>
      </c>
      <c r="K45">
        <v>5862</v>
      </c>
      <c r="L45">
        <v>27504</v>
      </c>
      <c r="M45">
        <v>23989</v>
      </c>
      <c r="N45">
        <v>57355</v>
      </c>
      <c r="O45" s="6">
        <v>43965</v>
      </c>
      <c r="P45" s="6">
        <v>68760</v>
      </c>
      <c r="Q45" s="6">
        <v>28786.799999999999</v>
      </c>
      <c r="R45" s="6">
        <v>141511.79999999999</v>
      </c>
      <c r="S45" s="2">
        <v>36.393333333333331</v>
      </c>
      <c r="T45" s="2">
        <v>22.766444444444449</v>
      </c>
      <c r="U45" s="2">
        <v>5.9572000000000003</v>
      </c>
      <c r="V45" s="2">
        <v>65.116977777777777</v>
      </c>
      <c r="W45">
        <v>113</v>
      </c>
      <c r="X45">
        <v>0</v>
      </c>
      <c r="Y45">
        <v>0</v>
      </c>
      <c r="Z45">
        <v>113</v>
      </c>
      <c r="AA45" s="2">
        <v>6212177.8292531427</v>
      </c>
      <c r="AB45" s="6">
        <v>2734.6</v>
      </c>
      <c r="AC45" s="6">
        <v>0</v>
      </c>
      <c r="AD45" s="6">
        <v>0</v>
      </c>
      <c r="AE45" s="6">
        <v>2734.6</v>
      </c>
      <c r="AF45" s="3">
        <v>14.33416984294181</v>
      </c>
      <c r="AG45">
        <v>113</v>
      </c>
      <c r="AH45">
        <v>0</v>
      </c>
      <c r="AI45">
        <v>0</v>
      </c>
      <c r="AJ45">
        <v>113</v>
      </c>
      <c r="AK45" s="2">
        <v>28145778.454161029</v>
      </c>
      <c r="AL45" s="6">
        <v>863.32</v>
      </c>
      <c r="AM45" s="6">
        <v>0</v>
      </c>
      <c r="AN45" s="6">
        <v>0</v>
      </c>
      <c r="AO45" s="6">
        <v>863.32</v>
      </c>
      <c r="AP45" s="3">
        <v>1.010884681795341</v>
      </c>
      <c r="AQ45">
        <v>0</v>
      </c>
      <c r="AR45">
        <v>0</v>
      </c>
      <c r="AS45">
        <v>0</v>
      </c>
      <c r="AT45">
        <v>0</v>
      </c>
      <c r="AU45" s="2">
        <v>0</v>
      </c>
      <c r="AV45" s="6">
        <v>0</v>
      </c>
      <c r="AW45" s="6">
        <v>0</v>
      </c>
      <c r="AX45" s="6">
        <v>0</v>
      </c>
      <c r="AY45" s="6">
        <v>0</v>
      </c>
      <c r="AZ45" s="3">
        <v>0</v>
      </c>
      <c r="BA45">
        <v>157</v>
      </c>
      <c r="BB45">
        <v>5</v>
      </c>
      <c r="BC45">
        <v>0</v>
      </c>
      <c r="BD45">
        <v>162</v>
      </c>
      <c r="BE45" s="2">
        <v>4054373.1379531291</v>
      </c>
      <c r="BF45" s="6">
        <v>920.80499999999995</v>
      </c>
      <c r="BG45" s="6">
        <v>443.5</v>
      </c>
      <c r="BH45" s="6">
        <v>0</v>
      </c>
      <c r="BI45" s="6">
        <v>1364.3050000000001</v>
      </c>
      <c r="BJ45" s="3">
        <v>436.13504028037983</v>
      </c>
      <c r="BK45" s="6">
        <v>4518.7250000000004</v>
      </c>
      <c r="BL45" s="6">
        <v>443.5</v>
      </c>
      <c r="BM45" s="6">
        <v>0</v>
      </c>
      <c r="BN45" s="6">
        <v>4962.2250000000004</v>
      </c>
      <c r="BO45" s="3">
        <v>451.48009480511701</v>
      </c>
      <c r="BP45" s="7">
        <v>146474.02499999999</v>
      </c>
      <c r="BQ45" s="2">
        <v>154.97912177486839</v>
      </c>
      <c r="BR45" s="2">
        <v>671.57619435776314</v>
      </c>
    </row>
    <row r="46" spans="1:70" x14ac:dyDescent="0.3">
      <c r="A46">
        <v>2019</v>
      </c>
      <c r="B46" s="1">
        <v>218847</v>
      </c>
      <c r="C46" s="2">
        <v>41833060.186984472</v>
      </c>
      <c r="D46" s="3">
        <v>47.682926607004951</v>
      </c>
      <c r="E46" s="1">
        <v>131308</v>
      </c>
      <c r="F46" s="4">
        <v>0.56956698852202792</v>
      </c>
      <c r="G46" s="4">
        <v>0.62190979868943308</v>
      </c>
      <c r="H46" s="4">
        <v>0.82082562397543735</v>
      </c>
      <c r="I46" s="4">
        <v>0.66248244079269347</v>
      </c>
      <c r="J46" s="5">
        <v>9.328646980341496</v>
      </c>
      <c r="K46">
        <v>6354</v>
      </c>
      <c r="L46">
        <v>28847</v>
      </c>
      <c r="M46">
        <v>24332</v>
      </c>
      <c r="N46">
        <v>59533</v>
      </c>
      <c r="O46" s="6">
        <v>47655</v>
      </c>
      <c r="P46" s="6">
        <v>72117.5</v>
      </c>
      <c r="Q46" s="6">
        <v>29198.400000000001</v>
      </c>
      <c r="R46" s="6">
        <v>148970.9</v>
      </c>
      <c r="S46" s="2">
        <v>38.93333333333333</v>
      </c>
      <c r="T46" s="2">
        <v>23.56444444444444</v>
      </c>
      <c r="U46" s="2">
        <v>5.9630666666666663</v>
      </c>
      <c r="V46" s="2">
        <v>68.460844444444433</v>
      </c>
      <c r="W46">
        <v>119</v>
      </c>
      <c r="X46">
        <v>0</v>
      </c>
      <c r="Y46">
        <v>0</v>
      </c>
      <c r="Z46">
        <v>119</v>
      </c>
      <c r="AA46" s="2">
        <v>6539495.1328026149</v>
      </c>
      <c r="AB46" s="6">
        <v>2951.2</v>
      </c>
      <c r="AC46" s="6">
        <v>0</v>
      </c>
      <c r="AD46" s="6">
        <v>0</v>
      </c>
      <c r="AE46" s="6">
        <v>2951.2</v>
      </c>
      <c r="AF46" s="3">
        <v>14.34979050149833</v>
      </c>
      <c r="AG46">
        <v>119</v>
      </c>
      <c r="AH46">
        <v>0</v>
      </c>
      <c r="AI46">
        <v>0</v>
      </c>
      <c r="AJ46">
        <v>119</v>
      </c>
      <c r="AK46" s="2">
        <v>31070861.905424509</v>
      </c>
      <c r="AL46" s="6">
        <v>932.96</v>
      </c>
      <c r="AM46" s="6">
        <v>0</v>
      </c>
      <c r="AN46" s="6">
        <v>0</v>
      </c>
      <c r="AO46" s="6">
        <v>932.96</v>
      </c>
      <c r="AP46" s="3">
        <v>1.09001699748311</v>
      </c>
      <c r="AQ46">
        <v>0</v>
      </c>
      <c r="AR46">
        <v>0</v>
      </c>
      <c r="AS46">
        <v>0</v>
      </c>
      <c r="AT46">
        <v>0</v>
      </c>
      <c r="AU46" s="2">
        <v>0</v>
      </c>
      <c r="AV46" s="6">
        <v>0</v>
      </c>
      <c r="AW46" s="6">
        <v>0</v>
      </c>
      <c r="AX46" s="6">
        <v>0</v>
      </c>
      <c r="AY46" s="6">
        <v>0</v>
      </c>
      <c r="AZ46" s="3">
        <v>0</v>
      </c>
      <c r="BA46">
        <v>163</v>
      </c>
      <c r="BB46">
        <v>6</v>
      </c>
      <c r="BC46">
        <v>0</v>
      </c>
      <c r="BD46">
        <v>169</v>
      </c>
      <c r="BE46" s="2">
        <v>4222703.1487573469</v>
      </c>
      <c r="BF46" s="6">
        <v>948.66</v>
      </c>
      <c r="BG46" s="6">
        <v>508.8</v>
      </c>
      <c r="BH46" s="6">
        <v>0</v>
      </c>
      <c r="BI46" s="6">
        <v>1457.46</v>
      </c>
      <c r="BJ46" s="3">
        <v>447.25096432315621</v>
      </c>
      <c r="BK46" s="6">
        <v>4832.82</v>
      </c>
      <c r="BL46" s="6">
        <v>508.8</v>
      </c>
      <c r="BM46" s="6">
        <v>0</v>
      </c>
      <c r="BN46" s="6">
        <v>5341.62</v>
      </c>
      <c r="BO46" s="3">
        <v>462.69077182213761</v>
      </c>
      <c r="BP46" s="7">
        <v>154312.51999999999</v>
      </c>
      <c r="BQ46" s="2">
        <v>159.34548487997461</v>
      </c>
      <c r="BR46" s="2">
        <v>690.4971011465567</v>
      </c>
    </row>
    <row r="47" spans="1:70" x14ac:dyDescent="0.3">
      <c r="A47">
        <v>2020</v>
      </c>
      <c r="B47" s="1">
        <v>223967</v>
      </c>
      <c r="C47" s="2">
        <v>45619296.500246517</v>
      </c>
      <c r="D47" s="3">
        <v>50.940069654829543</v>
      </c>
      <c r="E47" s="1">
        <v>134380</v>
      </c>
      <c r="F47" s="4">
        <v>0.57856905509530843</v>
      </c>
      <c r="G47" s="4">
        <v>0.62717315956940567</v>
      </c>
      <c r="H47" s="4">
        <v>0.87133432370789399</v>
      </c>
      <c r="I47" s="4">
        <v>0.68125415268596967</v>
      </c>
      <c r="J47" s="5">
        <v>9.407597393541085</v>
      </c>
      <c r="K47">
        <v>6885</v>
      </c>
      <c r="L47">
        <v>30253</v>
      </c>
      <c r="M47">
        <v>24651</v>
      </c>
      <c r="N47">
        <v>61789</v>
      </c>
      <c r="O47" s="6">
        <v>51637.5</v>
      </c>
      <c r="P47" s="6">
        <v>75632.5</v>
      </c>
      <c r="Q47" s="6">
        <v>29581.200000000001</v>
      </c>
      <c r="R47" s="6">
        <v>156851.20000000001</v>
      </c>
      <c r="S47" s="2">
        <v>41.591666666666669</v>
      </c>
      <c r="T47" s="2">
        <v>24.368444444444449</v>
      </c>
      <c r="U47" s="2">
        <v>5.9568000000000003</v>
      </c>
      <c r="V47" s="2">
        <v>71.916911111111119</v>
      </c>
      <c r="W47">
        <v>125</v>
      </c>
      <c r="X47">
        <v>0</v>
      </c>
      <c r="Y47">
        <v>0</v>
      </c>
      <c r="Z47">
        <v>125</v>
      </c>
      <c r="AA47" s="2">
        <v>6899043.1503809318</v>
      </c>
      <c r="AB47" s="6">
        <v>3037.5</v>
      </c>
      <c r="AC47" s="6">
        <v>0</v>
      </c>
      <c r="AD47" s="6">
        <v>0</v>
      </c>
      <c r="AE47" s="6">
        <v>3037.5</v>
      </c>
      <c r="AF47" s="3">
        <v>14.395126925110601</v>
      </c>
      <c r="AG47">
        <v>125</v>
      </c>
      <c r="AH47">
        <v>0</v>
      </c>
      <c r="AI47">
        <v>0</v>
      </c>
      <c r="AJ47">
        <v>125</v>
      </c>
      <c r="AK47" s="2">
        <v>34318883.979985371</v>
      </c>
      <c r="AL47" s="6">
        <v>950</v>
      </c>
      <c r="AM47" s="6">
        <v>0</v>
      </c>
      <c r="AN47" s="6">
        <v>0</v>
      </c>
      <c r="AO47" s="6">
        <v>950</v>
      </c>
      <c r="AP47" s="3">
        <v>1.170606969271387</v>
      </c>
      <c r="AQ47">
        <v>0</v>
      </c>
      <c r="AR47">
        <v>0</v>
      </c>
      <c r="AS47">
        <v>0</v>
      </c>
      <c r="AT47">
        <v>0</v>
      </c>
      <c r="AU47" s="2">
        <v>0</v>
      </c>
      <c r="AV47" s="6">
        <v>0</v>
      </c>
      <c r="AW47" s="6">
        <v>0</v>
      </c>
      <c r="AX47" s="6">
        <v>0</v>
      </c>
      <c r="AY47" s="6">
        <v>0</v>
      </c>
      <c r="AZ47" s="3">
        <v>0</v>
      </c>
      <c r="BA47">
        <v>169</v>
      </c>
      <c r="BB47">
        <v>6</v>
      </c>
      <c r="BC47">
        <v>0</v>
      </c>
      <c r="BD47">
        <v>175</v>
      </c>
      <c r="BE47" s="2">
        <v>4401369.3698802115</v>
      </c>
      <c r="BF47" s="6">
        <v>998.79</v>
      </c>
      <c r="BG47" s="6">
        <v>532.20000000000005</v>
      </c>
      <c r="BH47" s="6">
        <v>0</v>
      </c>
      <c r="BI47" s="6">
        <v>1530.99</v>
      </c>
      <c r="BJ47" s="3">
        <v>459.17110874722619</v>
      </c>
      <c r="BK47" s="6">
        <v>4986.29</v>
      </c>
      <c r="BL47" s="6">
        <v>532.20000000000005</v>
      </c>
      <c r="BM47" s="6">
        <v>0</v>
      </c>
      <c r="BN47" s="6">
        <v>5518.49</v>
      </c>
      <c r="BO47" s="3">
        <v>474.73684264160818</v>
      </c>
      <c r="BP47" s="7">
        <v>162369.69</v>
      </c>
      <c r="BQ47" s="2">
        <v>163.99612612581581</v>
      </c>
      <c r="BR47" s="2">
        <v>710.64987987853499</v>
      </c>
    </row>
    <row r="48" spans="1:70" x14ac:dyDescent="0.3">
      <c r="A48">
        <v>2021</v>
      </c>
      <c r="B48" s="1">
        <v>228885</v>
      </c>
      <c r="C48" s="2">
        <v>49815532.122944467</v>
      </c>
      <c r="D48" s="3">
        <v>54.521815849782229</v>
      </c>
      <c r="E48" s="1">
        <v>137331</v>
      </c>
      <c r="F48" s="4">
        <v>0.58782796533193349</v>
      </c>
      <c r="G48" s="4">
        <v>0.63228096462682903</v>
      </c>
      <c r="H48" s="4">
        <v>0.9123456676618138</v>
      </c>
      <c r="I48" s="4">
        <v>0.69733252420327363</v>
      </c>
      <c r="J48" s="5">
        <v>9.4842144694024348</v>
      </c>
      <c r="K48">
        <v>7451</v>
      </c>
      <c r="L48">
        <v>31710</v>
      </c>
      <c r="M48">
        <v>24931</v>
      </c>
      <c r="N48">
        <v>64092</v>
      </c>
      <c r="O48" s="6">
        <v>55882.5</v>
      </c>
      <c r="P48" s="6">
        <v>79275</v>
      </c>
      <c r="Q48" s="6">
        <v>29917.200000000001</v>
      </c>
      <c r="R48" s="6">
        <v>165074.70000000001</v>
      </c>
      <c r="S48" s="2">
        <v>44.351666666666667</v>
      </c>
      <c r="T48" s="2">
        <v>25.164222222222222</v>
      </c>
      <c r="U48" s="2">
        <v>5.9355333333333338</v>
      </c>
      <c r="V48" s="2">
        <v>75.451422222222234</v>
      </c>
      <c r="W48">
        <v>132</v>
      </c>
      <c r="X48">
        <v>0</v>
      </c>
      <c r="Y48">
        <v>0</v>
      </c>
      <c r="Z48">
        <v>132</v>
      </c>
      <c r="AA48" s="2">
        <v>7293585.8388057267</v>
      </c>
      <c r="AB48" s="6">
        <v>3260.4</v>
      </c>
      <c r="AC48" s="6">
        <v>0</v>
      </c>
      <c r="AD48" s="6">
        <v>0</v>
      </c>
      <c r="AE48" s="6">
        <v>3260.4</v>
      </c>
      <c r="AF48" s="3">
        <v>14.46915093838291</v>
      </c>
      <c r="AG48">
        <v>132</v>
      </c>
      <c r="AH48">
        <v>0</v>
      </c>
      <c r="AI48">
        <v>0</v>
      </c>
      <c r="AJ48">
        <v>132</v>
      </c>
      <c r="AK48" s="2">
        <v>37932000.668552138</v>
      </c>
      <c r="AL48" s="6">
        <v>1003.2</v>
      </c>
      <c r="AM48" s="6">
        <v>0</v>
      </c>
      <c r="AN48" s="6">
        <v>0</v>
      </c>
      <c r="AO48" s="6">
        <v>1003.2</v>
      </c>
      <c r="AP48" s="3">
        <v>1.2527052137906141</v>
      </c>
      <c r="AQ48">
        <v>0</v>
      </c>
      <c r="AR48">
        <v>0</v>
      </c>
      <c r="AS48">
        <v>0</v>
      </c>
      <c r="AT48">
        <v>0</v>
      </c>
      <c r="AU48" s="2">
        <v>0</v>
      </c>
      <c r="AV48" s="6">
        <v>0</v>
      </c>
      <c r="AW48" s="6">
        <v>0</v>
      </c>
      <c r="AX48" s="6">
        <v>0</v>
      </c>
      <c r="AY48" s="6">
        <v>0</v>
      </c>
      <c r="AZ48" s="3">
        <v>0</v>
      </c>
      <c r="BA48">
        <v>175</v>
      </c>
      <c r="BB48">
        <v>6</v>
      </c>
      <c r="BC48">
        <v>0</v>
      </c>
      <c r="BD48">
        <v>181</v>
      </c>
      <c r="BE48" s="2">
        <v>4589945.6155866031</v>
      </c>
      <c r="BF48" s="6">
        <v>1018.5</v>
      </c>
      <c r="BG48" s="6">
        <v>532.20000000000005</v>
      </c>
      <c r="BH48" s="6">
        <v>0</v>
      </c>
      <c r="BI48" s="6">
        <v>1550.7</v>
      </c>
      <c r="BJ48" s="3">
        <v>471.86222467118779</v>
      </c>
      <c r="BK48" s="6">
        <v>5282.1</v>
      </c>
      <c r="BL48" s="6">
        <v>532.20000000000005</v>
      </c>
      <c r="BM48" s="6">
        <v>0</v>
      </c>
      <c r="BN48" s="6">
        <v>5814.3</v>
      </c>
      <c r="BO48" s="3">
        <v>487.58408082336132</v>
      </c>
      <c r="BP48" s="7">
        <v>170889</v>
      </c>
      <c r="BQ48" s="2">
        <v>168.91065091367511</v>
      </c>
      <c r="BR48" s="2">
        <v>731.94615395925871</v>
      </c>
    </row>
    <row r="49" spans="1:70" x14ac:dyDescent="0.3">
      <c r="A49">
        <v>2022</v>
      </c>
      <c r="B49" s="1">
        <v>233469</v>
      </c>
      <c r="C49" s="2">
        <v>54472775.528908372</v>
      </c>
      <c r="D49" s="3">
        <v>58.460514769876177</v>
      </c>
      <c r="E49" s="1">
        <v>140081</v>
      </c>
      <c r="F49" s="4">
        <v>0.59733281755710299</v>
      </c>
      <c r="G49" s="4">
        <v>0.63723781123104195</v>
      </c>
      <c r="H49" s="4">
        <v>0.94349499130050407</v>
      </c>
      <c r="I49" s="4">
        <v>0.71080832224962609</v>
      </c>
      <c r="J49" s="5">
        <v>9.558567168465629</v>
      </c>
      <c r="K49">
        <v>8053</v>
      </c>
      <c r="L49">
        <v>33200</v>
      </c>
      <c r="M49">
        <v>25160</v>
      </c>
      <c r="N49">
        <v>66413</v>
      </c>
      <c r="O49" s="6">
        <v>60397.5</v>
      </c>
      <c r="P49" s="6">
        <v>83000</v>
      </c>
      <c r="Q49" s="6">
        <v>30192</v>
      </c>
      <c r="R49" s="6">
        <v>173589.5</v>
      </c>
      <c r="S49" s="2">
        <v>47.181666666666658</v>
      </c>
      <c r="T49" s="2">
        <v>25.936</v>
      </c>
      <c r="U49" s="2">
        <v>5.8963999999999999</v>
      </c>
      <c r="V49" s="2">
        <v>79.014066666666665</v>
      </c>
      <c r="W49">
        <v>139</v>
      </c>
      <c r="X49">
        <v>0</v>
      </c>
      <c r="Y49">
        <v>0</v>
      </c>
      <c r="Z49">
        <v>139</v>
      </c>
      <c r="AA49" s="2">
        <v>7726249.155502025</v>
      </c>
      <c r="AB49" s="6">
        <v>3363.8</v>
      </c>
      <c r="AC49" s="6">
        <v>0</v>
      </c>
      <c r="AD49" s="6">
        <v>0</v>
      </c>
      <c r="AE49" s="6">
        <v>3363.8</v>
      </c>
      <c r="AF49" s="3">
        <v>14.570915613146729</v>
      </c>
      <c r="AG49">
        <v>139</v>
      </c>
      <c r="AH49">
        <v>0</v>
      </c>
      <c r="AI49">
        <v>0</v>
      </c>
      <c r="AJ49">
        <v>139</v>
      </c>
      <c r="AK49" s="2">
        <v>41958630.527217589</v>
      </c>
      <c r="AL49" s="6">
        <v>1095.32</v>
      </c>
      <c r="AM49" s="6">
        <v>0</v>
      </c>
      <c r="AN49" s="6">
        <v>0</v>
      </c>
      <c r="AO49" s="6">
        <v>1095.32</v>
      </c>
      <c r="AP49" s="3">
        <v>1.336363273760246</v>
      </c>
      <c r="AQ49">
        <v>0</v>
      </c>
      <c r="AR49">
        <v>0</v>
      </c>
      <c r="AS49">
        <v>0</v>
      </c>
      <c r="AT49">
        <v>0</v>
      </c>
      <c r="AU49" s="2">
        <v>0</v>
      </c>
      <c r="AV49" s="6">
        <v>0</v>
      </c>
      <c r="AW49" s="6">
        <v>0</v>
      </c>
      <c r="AX49" s="6">
        <v>0</v>
      </c>
      <c r="AY49" s="6">
        <v>0</v>
      </c>
      <c r="AZ49" s="3">
        <v>0</v>
      </c>
      <c r="BA49">
        <v>182</v>
      </c>
      <c r="BB49">
        <v>7</v>
      </c>
      <c r="BC49">
        <v>0</v>
      </c>
      <c r="BD49">
        <v>189</v>
      </c>
      <c r="BE49" s="2">
        <v>4787895.8461887566</v>
      </c>
      <c r="BF49" s="6">
        <v>1051.05</v>
      </c>
      <c r="BG49" s="6">
        <v>584.5</v>
      </c>
      <c r="BH49" s="6">
        <v>0</v>
      </c>
      <c r="BI49" s="6">
        <v>1635.55</v>
      </c>
      <c r="BJ49" s="3">
        <v>485.29561039574412</v>
      </c>
      <c r="BK49" s="6">
        <v>5510.17</v>
      </c>
      <c r="BL49" s="6">
        <v>584.5</v>
      </c>
      <c r="BM49" s="6">
        <v>0</v>
      </c>
      <c r="BN49" s="6">
        <v>6094.67</v>
      </c>
      <c r="BO49" s="3">
        <v>501.20288928265097</v>
      </c>
      <c r="BP49" s="7">
        <v>179684.17</v>
      </c>
      <c r="BQ49" s="2">
        <v>174.06508678479531</v>
      </c>
      <c r="BR49" s="2">
        <v>754.28204273411302</v>
      </c>
    </row>
    <row r="50" spans="1:70" x14ac:dyDescent="0.3">
      <c r="A50">
        <v>2023</v>
      </c>
      <c r="B50" s="1">
        <v>237596</v>
      </c>
      <c r="C50" s="2">
        <v>59654199.954802491</v>
      </c>
      <c r="D50" s="3">
        <v>62.791739915033162</v>
      </c>
      <c r="E50" s="1">
        <v>142557</v>
      </c>
      <c r="F50" s="4">
        <v>0.60707254443456016</v>
      </c>
      <c r="G50" s="4">
        <v>0.64204816087858552</v>
      </c>
      <c r="H50" s="4">
        <v>0.9656104844339517</v>
      </c>
      <c r="I50" s="4">
        <v>0.72199921201072437</v>
      </c>
      <c r="J50" s="5">
        <v>9.6307224131787823</v>
      </c>
      <c r="K50">
        <v>8685</v>
      </c>
      <c r="L50">
        <v>34706</v>
      </c>
      <c r="M50">
        <v>25322</v>
      </c>
      <c r="N50">
        <v>68713</v>
      </c>
      <c r="O50" s="6">
        <v>65137.5</v>
      </c>
      <c r="P50" s="6">
        <v>86765</v>
      </c>
      <c r="Q50" s="6">
        <v>30386.400000000001</v>
      </c>
      <c r="R50" s="6">
        <v>182288.9</v>
      </c>
      <c r="S50" s="2">
        <v>50.051666666666669</v>
      </c>
      <c r="T50" s="2">
        <v>26.667999999999999</v>
      </c>
      <c r="U50" s="2">
        <v>5.8372000000000002</v>
      </c>
      <c r="V50" s="2">
        <v>82.556866666666664</v>
      </c>
      <c r="W50">
        <v>148</v>
      </c>
      <c r="X50">
        <v>0</v>
      </c>
      <c r="Y50">
        <v>0</v>
      </c>
      <c r="Z50">
        <v>148</v>
      </c>
      <c r="AA50" s="2">
        <v>8201047.0453559309</v>
      </c>
      <c r="AB50" s="6">
        <v>3552</v>
      </c>
      <c r="AC50" s="6">
        <v>0</v>
      </c>
      <c r="AD50" s="6">
        <v>0</v>
      </c>
      <c r="AE50" s="6">
        <v>3552</v>
      </c>
      <c r="AF50" s="3">
        <v>14.699546531857949</v>
      </c>
      <c r="AG50">
        <v>148</v>
      </c>
      <c r="AH50">
        <v>0</v>
      </c>
      <c r="AI50">
        <v>0</v>
      </c>
      <c r="AJ50">
        <v>148</v>
      </c>
      <c r="AK50" s="2">
        <v>46458129.564852878</v>
      </c>
      <c r="AL50" s="6">
        <v>1160.32</v>
      </c>
      <c r="AM50" s="6">
        <v>0</v>
      </c>
      <c r="AN50" s="6">
        <v>0</v>
      </c>
      <c r="AO50" s="6">
        <v>1160.32</v>
      </c>
      <c r="AP50" s="3">
        <v>1.4216331074849411</v>
      </c>
      <c r="AQ50">
        <v>0</v>
      </c>
      <c r="AR50">
        <v>0</v>
      </c>
      <c r="AS50">
        <v>0</v>
      </c>
      <c r="AT50">
        <v>0</v>
      </c>
      <c r="AU50" s="2">
        <v>0</v>
      </c>
      <c r="AV50" s="6">
        <v>0</v>
      </c>
      <c r="AW50" s="6">
        <v>0</v>
      </c>
      <c r="AX50" s="6">
        <v>0</v>
      </c>
      <c r="AY50" s="6">
        <v>0</v>
      </c>
      <c r="AZ50" s="3">
        <v>0</v>
      </c>
      <c r="BA50">
        <v>189</v>
      </c>
      <c r="BB50">
        <v>7</v>
      </c>
      <c r="BC50">
        <v>0</v>
      </c>
      <c r="BD50">
        <v>196</v>
      </c>
      <c r="BE50" s="2">
        <v>4995023.3445936842</v>
      </c>
      <c r="BF50" s="6">
        <v>1108.4849999999999</v>
      </c>
      <c r="BG50" s="6">
        <v>598.15</v>
      </c>
      <c r="BH50" s="6">
        <v>0</v>
      </c>
      <c r="BI50" s="6">
        <v>1706.635</v>
      </c>
      <c r="BJ50" s="3">
        <v>499.44641532492091</v>
      </c>
      <c r="BK50" s="6">
        <v>5820.8050000000003</v>
      </c>
      <c r="BL50" s="6">
        <v>598.15</v>
      </c>
      <c r="BM50" s="6">
        <v>0</v>
      </c>
      <c r="BN50" s="6">
        <v>6418.9549999999999</v>
      </c>
      <c r="BO50" s="3">
        <v>515.56759496426378</v>
      </c>
      <c r="BP50" s="7">
        <v>188707.85500000001</v>
      </c>
      <c r="BQ50" s="2">
        <v>179.43733848927911</v>
      </c>
      <c r="BR50" s="2">
        <v>777.56180012020957</v>
      </c>
    </row>
    <row r="51" spans="1:70" x14ac:dyDescent="0.3">
      <c r="A51">
        <v>2024</v>
      </c>
      <c r="B51" s="1">
        <v>241182</v>
      </c>
      <c r="C51" s="2">
        <v>65443373.305108041</v>
      </c>
      <c r="D51" s="3">
        <v>67.554609999449838</v>
      </c>
      <c r="E51" s="1">
        <v>144709</v>
      </c>
      <c r="F51" s="4">
        <v>0.61703604623827757</v>
      </c>
      <c r="G51" s="4">
        <v>0.64671634320885074</v>
      </c>
      <c r="H51" s="4">
        <v>0.98028673198011707</v>
      </c>
      <c r="I51" s="4">
        <v>0.73135095376320669</v>
      </c>
      <c r="J51" s="5">
        <v>9.7007451481327607</v>
      </c>
      <c r="K51">
        <v>9345</v>
      </c>
      <c r="L51">
        <v>36211</v>
      </c>
      <c r="M51">
        <v>25408</v>
      </c>
      <c r="N51">
        <v>70964</v>
      </c>
      <c r="O51" s="6">
        <v>70087.5</v>
      </c>
      <c r="P51" s="6">
        <v>90527.5</v>
      </c>
      <c r="Q51" s="6">
        <v>30489.599999999999</v>
      </c>
      <c r="R51" s="6">
        <v>191104.6</v>
      </c>
      <c r="S51" s="2">
        <v>52.93333333333333</v>
      </c>
      <c r="T51" s="2">
        <v>27.348222222222219</v>
      </c>
      <c r="U51" s="2">
        <v>5.7569333333333326</v>
      </c>
      <c r="V51" s="2">
        <v>86.038488888888892</v>
      </c>
      <c r="W51">
        <v>157</v>
      </c>
      <c r="X51">
        <v>0</v>
      </c>
      <c r="Y51">
        <v>0</v>
      </c>
      <c r="Z51">
        <v>157</v>
      </c>
      <c r="AA51" s="2">
        <v>8723574.6381657291</v>
      </c>
      <c r="AB51" s="6">
        <v>3799.4</v>
      </c>
      <c r="AC51" s="6">
        <v>0</v>
      </c>
      <c r="AD51" s="6">
        <v>0</v>
      </c>
      <c r="AE51" s="6">
        <v>3799.4</v>
      </c>
      <c r="AF51" s="3">
        <v>14.854237731041289</v>
      </c>
      <c r="AG51">
        <v>157</v>
      </c>
      <c r="AH51">
        <v>0</v>
      </c>
      <c r="AI51">
        <v>0</v>
      </c>
      <c r="AJ51">
        <v>157</v>
      </c>
      <c r="AK51" s="2">
        <v>51507782.383108512</v>
      </c>
      <c r="AL51" s="6">
        <v>1243.44</v>
      </c>
      <c r="AM51" s="6">
        <v>0</v>
      </c>
      <c r="AN51" s="6">
        <v>0</v>
      </c>
      <c r="AO51" s="6">
        <v>1243.44</v>
      </c>
      <c r="AP51" s="3">
        <v>1.508567113147246</v>
      </c>
      <c r="AQ51">
        <v>0</v>
      </c>
      <c r="AR51">
        <v>0</v>
      </c>
      <c r="AS51">
        <v>0</v>
      </c>
      <c r="AT51">
        <v>0</v>
      </c>
      <c r="AU51" s="2">
        <v>0</v>
      </c>
      <c r="AV51" s="6">
        <v>0</v>
      </c>
      <c r="AW51" s="6">
        <v>0</v>
      </c>
      <c r="AX51" s="6">
        <v>0</v>
      </c>
      <c r="AY51" s="6">
        <v>0</v>
      </c>
      <c r="AZ51" s="3">
        <v>0</v>
      </c>
      <c r="BA51">
        <v>197</v>
      </c>
      <c r="BB51">
        <v>7</v>
      </c>
      <c r="BC51">
        <v>1</v>
      </c>
      <c r="BD51">
        <v>205</v>
      </c>
      <c r="BE51" s="2">
        <v>5212016.2838338008</v>
      </c>
      <c r="BF51" s="6">
        <v>1137.675</v>
      </c>
      <c r="BG51" s="6">
        <v>620.9</v>
      </c>
      <c r="BH51" s="6">
        <v>2311</v>
      </c>
      <c r="BI51" s="6">
        <v>4069.5749999999998</v>
      </c>
      <c r="BJ51" s="3">
        <v>514.29327323585539</v>
      </c>
      <c r="BK51" s="6">
        <v>6180.5150000000003</v>
      </c>
      <c r="BL51" s="6">
        <v>620.9</v>
      </c>
      <c r="BM51" s="6">
        <v>2311</v>
      </c>
      <c r="BN51" s="6">
        <v>9112.4150000000009</v>
      </c>
      <c r="BO51" s="3">
        <v>530.65607808004393</v>
      </c>
      <c r="BP51" s="7">
        <v>200217.01500000001</v>
      </c>
      <c r="BQ51" s="2">
        <v>185.00837009067979</v>
      </c>
      <c r="BR51" s="2">
        <v>801.70293705961262</v>
      </c>
    </row>
    <row r="52" spans="1:70" x14ac:dyDescent="0.3">
      <c r="A52">
        <v>2025</v>
      </c>
      <c r="B52" s="1">
        <v>244201</v>
      </c>
      <c r="C52" s="2">
        <v>71953928.392053246</v>
      </c>
      <c r="D52" s="3">
        <v>72.792142263593831</v>
      </c>
      <c r="E52" s="1">
        <v>146520</v>
      </c>
      <c r="F52" s="4">
        <v>0.62721224895575223</v>
      </c>
      <c r="G52" s="4">
        <v>0.65124655990104685</v>
      </c>
      <c r="H52" s="4">
        <v>0.98938753736347151</v>
      </c>
      <c r="I52" s="4">
        <v>0.73933648142492281</v>
      </c>
      <c r="J52" s="5">
        <v>9.7686983985157028</v>
      </c>
      <c r="K52">
        <v>10030</v>
      </c>
      <c r="L52">
        <v>37705</v>
      </c>
      <c r="M52">
        <v>25416</v>
      </c>
      <c r="N52">
        <v>73151</v>
      </c>
      <c r="O52" s="6">
        <v>75225</v>
      </c>
      <c r="P52" s="6">
        <v>94262.5</v>
      </c>
      <c r="Q52" s="6">
        <v>30499.200000000001</v>
      </c>
      <c r="R52" s="6">
        <v>199986.7</v>
      </c>
      <c r="S52" s="2">
        <v>55.805</v>
      </c>
      <c r="T52" s="2">
        <v>27.97133333333333</v>
      </c>
      <c r="U52" s="2">
        <v>5.6563999999999997</v>
      </c>
      <c r="V52" s="2">
        <v>89.432733333333331</v>
      </c>
      <c r="W52">
        <v>167</v>
      </c>
      <c r="X52">
        <v>0</v>
      </c>
      <c r="Y52">
        <v>0</v>
      </c>
      <c r="Z52">
        <v>167</v>
      </c>
      <c r="AA52" s="2">
        <v>9301706.7928384542</v>
      </c>
      <c r="AB52" s="6">
        <v>4074.8</v>
      </c>
      <c r="AC52" s="6">
        <v>0</v>
      </c>
      <c r="AD52" s="6">
        <v>0</v>
      </c>
      <c r="AE52" s="6">
        <v>4074.8</v>
      </c>
      <c r="AF52" s="3">
        <v>15.03424271495239</v>
      </c>
      <c r="AG52">
        <v>167</v>
      </c>
      <c r="AH52">
        <v>0</v>
      </c>
      <c r="AI52">
        <v>0</v>
      </c>
      <c r="AJ52">
        <v>167</v>
      </c>
      <c r="AK52" s="2">
        <v>57211326.519345634</v>
      </c>
      <c r="AL52" s="6">
        <v>1315.96</v>
      </c>
      <c r="AM52" s="6">
        <v>0</v>
      </c>
      <c r="AN52" s="6">
        <v>0</v>
      </c>
      <c r="AO52" s="6">
        <v>1315.96</v>
      </c>
      <c r="AP52" s="3">
        <v>1.597217505724525</v>
      </c>
      <c r="AQ52">
        <v>0</v>
      </c>
      <c r="AR52">
        <v>0</v>
      </c>
      <c r="AS52">
        <v>0</v>
      </c>
      <c r="AT52">
        <v>0</v>
      </c>
      <c r="AU52" s="2">
        <v>0</v>
      </c>
      <c r="AV52" s="6">
        <v>0</v>
      </c>
      <c r="AW52" s="6">
        <v>0</v>
      </c>
      <c r="AX52" s="6">
        <v>0</v>
      </c>
      <c r="AY52" s="6">
        <v>0</v>
      </c>
      <c r="AZ52" s="3">
        <v>0</v>
      </c>
      <c r="BA52">
        <v>204</v>
      </c>
      <c r="BB52">
        <v>8</v>
      </c>
      <c r="BC52">
        <v>1</v>
      </c>
      <c r="BD52">
        <v>213</v>
      </c>
      <c r="BE52" s="2">
        <v>5440895.0798691632</v>
      </c>
      <c r="BF52" s="6">
        <v>1205.6400000000001</v>
      </c>
      <c r="BG52" s="6">
        <v>683.6</v>
      </c>
      <c r="BH52" s="6">
        <v>2395</v>
      </c>
      <c r="BI52" s="6">
        <v>4284.24</v>
      </c>
      <c r="BJ52" s="3">
        <v>529.81764889811814</v>
      </c>
      <c r="BK52" s="6">
        <v>6596.4</v>
      </c>
      <c r="BL52" s="6">
        <v>683.6</v>
      </c>
      <c r="BM52" s="6">
        <v>2395</v>
      </c>
      <c r="BN52" s="6">
        <v>9675</v>
      </c>
      <c r="BO52" s="3">
        <v>546.44910911879504</v>
      </c>
      <c r="BP52" s="7">
        <v>209661.7</v>
      </c>
      <c r="BQ52" s="2">
        <v>190.76455273563849</v>
      </c>
      <c r="BR52" s="2">
        <v>826.64639518776687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52"/>
  <sheetViews>
    <sheetView topLeftCell="I1" workbookViewId="0">
      <selection activeCell="R4" sqref="R4"/>
    </sheetView>
  </sheetViews>
  <sheetFormatPr defaultRowHeight="14.4" x14ac:dyDescent="0.3"/>
  <cols>
    <col min="1" max="1" width="5" bestFit="1" customWidth="1"/>
    <col min="2" max="2" width="11.44140625" bestFit="1" customWidth="1"/>
    <col min="3" max="3" width="12.6640625" bestFit="1" customWidth="1"/>
    <col min="4" max="9" width="6.5546875" bestFit="1" customWidth="1"/>
    <col min="10" max="10" width="12.77734375" bestFit="1" customWidth="1"/>
    <col min="11" max="11" width="10.21875" bestFit="1" customWidth="1"/>
    <col min="12" max="12" width="12" bestFit="1" customWidth="1"/>
    <col min="13" max="13" width="11.44140625" bestFit="1" customWidth="1"/>
    <col min="14" max="14" width="6.77734375" bestFit="1" customWidth="1"/>
    <col min="15" max="16" width="13.77734375" bestFit="1" customWidth="1"/>
    <col min="17" max="17" width="12.6640625" bestFit="1" customWidth="1"/>
    <col min="18" max="18" width="14.77734375" bestFit="1" customWidth="1"/>
    <col min="19" max="19" width="8.109375" bestFit="1" customWidth="1"/>
    <col min="20" max="20" width="8.44140625" bestFit="1" customWidth="1"/>
    <col min="21" max="21" width="8.109375" bestFit="1" customWidth="1"/>
    <col min="22" max="22" width="6.6640625" bestFit="1" customWidth="1"/>
    <col min="23" max="23" width="8.109375" bestFit="1" customWidth="1"/>
    <col min="24" max="24" width="8.44140625" bestFit="1" customWidth="1"/>
    <col min="25" max="25" width="8.33203125" bestFit="1" customWidth="1"/>
    <col min="26" max="26" width="6.6640625" bestFit="1" customWidth="1"/>
    <col min="27" max="30" width="12.6640625" bestFit="1" customWidth="1"/>
    <col min="31" max="31" width="13.77734375" bestFit="1" customWidth="1"/>
    <col min="32" max="32" width="6.5546875" bestFit="1" customWidth="1"/>
    <col min="33" max="33" width="8.21875" bestFit="1" customWidth="1"/>
    <col min="34" max="34" width="8.5546875" bestFit="1" customWidth="1"/>
    <col min="35" max="35" width="8.44140625" bestFit="1" customWidth="1"/>
    <col min="36" max="36" width="6.77734375" bestFit="1" customWidth="1"/>
    <col min="37" max="37" width="11.6640625" bestFit="1" customWidth="1"/>
    <col min="38" max="38" width="12.6640625" bestFit="1" customWidth="1"/>
    <col min="39" max="39" width="11.109375" bestFit="1" customWidth="1"/>
    <col min="40" max="41" width="12.6640625" bestFit="1" customWidth="1"/>
    <col min="42" max="42" width="6.6640625" bestFit="1" customWidth="1"/>
    <col min="43" max="43" width="8.33203125" bestFit="1" customWidth="1"/>
    <col min="44" max="44" width="8.6640625" bestFit="1" customWidth="1"/>
    <col min="45" max="45" width="8.5546875" bestFit="1" customWidth="1"/>
    <col min="46" max="46" width="6.88671875" bestFit="1" customWidth="1"/>
    <col min="47" max="47" width="12.6640625" bestFit="1" customWidth="1"/>
    <col min="48" max="48" width="13.77734375" bestFit="1" customWidth="1"/>
    <col min="49" max="49" width="12.6640625" bestFit="1" customWidth="1"/>
    <col min="50" max="50" width="8.21875" bestFit="1" customWidth="1"/>
    <col min="51" max="51" width="13.77734375" bestFit="1" customWidth="1"/>
    <col min="52" max="52" width="6.77734375" bestFit="1" customWidth="1"/>
    <col min="53" max="53" width="8.6640625" bestFit="1" customWidth="1"/>
    <col min="54" max="54" width="9" bestFit="1" customWidth="1"/>
    <col min="56" max="56" width="7.21875" bestFit="1" customWidth="1"/>
    <col min="57" max="57" width="9.109375" bestFit="1" customWidth="1"/>
    <col min="58" max="58" width="10.109375" bestFit="1" customWidth="1"/>
    <col min="59" max="59" width="8.6640625" bestFit="1" customWidth="1"/>
    <col min="60" max="60" width="8.5546875" bestFit="1" customWidth="1"/>
    <col min="61" max="61" width="10.109375" bestFit="1" customWidth="1"/>
    <col min="62" max="62" width="7.109375" bestFit="1" customWidth="1"/>
    <col min="63" max="63" width="13.77734375" bestFit="1" customWidth="1"/>
    <col min="64" max="65" width="12.6640625" bestFit="1" customWidth="1"/>
    <col min="66" max="66" width="13.77734375" bestFit="1" customWidth="1"/>
    <col min="67" max="67" width="7" bestFit="1" customWidth="1"/>
    <col min="68" max="68" width="13.6640625" bestFit="1" customWidth="1"/>
    <col min="69" max="69" width="7" bestFit="1" customWidth="1"/>
    <col min="70" max="70" width="8.664062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2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spans="1:70" x14ac:dyDescent="0.3">
      <c r="A2">
        <v>1975</v>
      </c>
      <c r="B2" s="1">
        <v>40000</v>
      </c>
      <c r="C2" s="2">
        <v>364260.33786785428</v>
      </c>
      <c r="D2" s="3">
        <v>9.106508446696358</v>
      </c>
      <c r="E2" s="1">
        <v>24000</v>
      </c>
      <c r="F2" s="4">
        <v>0.3336805051676523</v>
      </c>
      <c r="G2" s="4">
        <v>0.2</v>
      </c>
      <c r="H2" s="4">
        <v>4.1725423456945757E-2</v>
      </c>
      <c r="I2" s="4">
        <v>0.14068696504233369</v>
      </c>
      <c r="J2" s="5">
        <v>3</v>
      </c>
      <c r="K2">
        <v>41</v>
      </c>
      <c r="L2">
        <v>3130</v>
      </c>
      <c r="M2">
        <v>6720</v>
      </c>
      <c r="N2">
        <v>9891</v>
      </c>
      <c r="O2" s="6">
        <v>307.5</v>
      </c>
      <c r="P2" s="6">
        <v>7825</v>
      </c>
      <c r="Q2" s="6">
        <v>8064</v>
      </c>
      <c r="R2" s="6">
        <f>O2+P2+Q2</f>
        <v>16196.5</v>
      </c>
      <c r="S2" s="2">
        <v>0.28000000000000003</v>
      </c>
      <c r="T2" s="2">
        <v>2.8126666666666669</v>
      </c>
      <c r="U2" s="2">
        <v>1.811533333333333</v>
      </c>
      <c r="V2" s="2">
        <v>4.9042000000000003</v>
      </c>
      <c r="W2">
        <v>4</v>
      </c>
      <c r="X2">
        <v>0</v>
      </c>
      <c r="Y2">
        <v>0</v>
      </c>
      <c r="Z2">
        <v>4</v>
      </c>
      <c r="AA2" s="2">
        <v>158302.24287469289</v>
      </c>
      <c r="AB2" s="6">
        <v>96.4</v>
      </c>
      <c r="AC2" s="6">
        <v>0</v>
      </c>
      <c r="AD2" s="6">
        <v>0</v>
      </c>
      <c r="AE2" s="6">
        <v>96.4</v>
      </c>
      <c r="AF2" s="3">
        <v>0.08</v>
      </c>
      <c r="AG2">
        <v>4</v>
      </c>
      <c r="AH2">
        <v>0</v>
      </c>
      <c r="AI2">
        <v>0</v>
      </c>
      <c r="AJ2">
        <v>4</v>
      </c>
      <c r="AK2" s="2">
        <v>71179.306357815833</v>
      </c>
      <c r="AL2" s="6">
        <v>31.36</v>
      </c>
      <c r="AM2" s="6">
        <v>0</v>
      </c>
      <c r="AN2" s="6">
        <v>0</v>
      </c>
      <c r="AO2" s="6">
        <v>31.36</v>
      </c>
      <c r="AP2" s="3">
        <v>1.666666666666667E-3</v>
      </c>
      <c r="AQ2">
        <v>11</v>
      </c>
      <c r="AR2">
        <v>0</v>
      </c>
      <c r="AS2">
        <v>0</v>
      </c>
      <c r="AT2">
        <v>11</v>
      </c>
      <c r="AU2" s="2">
        <v>105404.7214475221</v>
      </c>
      <c r="AV2" s="6">
        <v>97.68</v>
      </c>
      <c r="AW2" s="6">
        <v>0</v>
      </c>
      <c r="AX2" s="6">
        <v>0</v>
      </c>
      <c r="AY2" s="6">
        <v>97.68</v>
      </c>
      <c r="AZ2" s="3">
        <v>1</v>
      </c>
      <c r="BA2">
        <v>3</v>
      </c>
      <c r="BB2">
        <v>0</v>
      </c>
      <c r="BC2">
        <v>0</v>
      </c>
      <c r="BD2">
        <v>3</v>
      </c>
      <c r="BE2" s="2">
        <v>29374.067187823519</v>
      </c>
      <c r="BF2" s="6">
        <v>16.920000000000002</v>
      </c>
      <c r="BG2" s="6">
        <v>0</v>
      </c>
      <c r="BH2" s="6">
        <v>0</v>
      </c>
      <c r="BI2" s="6">
        <v>16.920000000000002</v>
      </c>
      <c r="BJ2" s="3">
        <v>1</v>
      </c>
      <c r="BK2" s="6">
        <v>242.36</v>
      </c>
      <c r="BL2" s="6">
        <v>0</v>
      </c>
      <c r="BM2" s="6">
        <v>0</v>
      </c>
      <c r="BN2" s="6">
        <v>242.36</v>
      </c>
      <c r="BO2" s="3">
        <v>2.081666666666667</v>
      </c>
      <c r="BP2" s="7">
        <v>16438.86</v>
      </c>
      <c r="BQ2" s="2">
        <v>2.0957599999999998</v>
      </c>
      <c r="BR2" s="2">
        <v>9.0816266666666667</v>
      </c>
    </row>
    <row r="3" spans="1:70" x14ac:dyDescent="0.3">
      <c r="A3">
        <v>1976</v>
      </c>
      <c r="B3" s="1">
        <v>40923</v>
      </c>
      <c r="C3" s="2">
        <v>598968.53655748093</v>
      </c>
      <c r="D3" s="3">
        <v>14.63647671376685</v>
      </c>
      <c r="E3" s="1">
        <v>24553</v>
      </c>
      <c r="F3" s="4">
        <v>0.4049775439064015</v>
      </c>
      <c r="G3" s="4">
        <v>0.22717655099401729</v>
      </c>
      <c r="H3" s="4">
        <v>9.0748606983328747E-2</v>
      </c>
      <c r="I3" s="4">
        <v>0.20286702965557599</v>
      </c>
      <c r="J3" s="5">
        <v>3.4076482649102591</v>
      </c>
      <c r="K3">
        <v>82</v>
      </c>
      <c r="L3">
        <v>3958</v>
      </c>
      <c r="M3">
        <v>6305</v>
      </c>
      <c r="N3">
        <v>10345</v>
      </c>
      <c r="O3" s="6">
        <v>615</v>
      </c>
      <c r="P3" s="6">
        <v>9895</v>
      </c>
      <c r="Q3" s="6">
        <v>7566</v>
      </c>
      <c r="R3" s="6">
        <v>18076</v>
      </c>
      <c r="S3" s="2">
        <v>0.54500000000000004</v>
      </c>
      <c r="T3" s="2">
        <v>3.4793333333333329</v>
      </c>
      <c r="U3" s="2">
        <v>1.662533333333333</v>
      </c>
      <c r="V3" s="2">
        <v>5.686866666666667</v>
      </c>
      <c r="W3">
        <v>7</v>
      </c>
      <c r="X3">
        <v>0</v>
      </c>
      <c r="Y3">
        <v>0</v>
      </c>
      <c r="Z3">
        <v>7</v>
      </c>
      <c r="AA3" s="2">
        <v>308427.97143472527</v>
      </c>
      <c r="AB3" s="6">
        <v>173.6</v>
      </c>
      <c r="AC3" s="6">
        <v>0</v>
      </c>
      <c r="AD3" s="6">
        <v>0</v>
      </c>
      <c r="AE3" s="6">
        <v>173.6</v>
      </c>
      <c r="AF3" s="3">
        <v>0.30451999503437849</v>
      </c>
      <c r="AG3">
        <v>7</v>
      </c>
      <c r="AH3">
        <v>0</v>
      </c>
      <c r="AI3">
        <v>0</v>
      </c>
      <c r="AJ3">
        <v>7</v>
      </c>
      <c r="AK3" s="2">
        <v>133536.8078532292</v>
      </c>
      <c r="AL3" s="6">
        <v>55.44</v>
      </c>
      <c r="AM3" s="6">
        <v>0</v>
      </c>
      <c r="AN3" s="6">
        <v>0</v>
      </c>
      <c r="AO3" s="6">
        <v>55.44</v>
      </c>
      <c r="AP3" s="3">
        <v>1.1171666459765771E-2</v>
      </c>
      <c r="AQ3">
        <v>13</v>
      </c>
      <c r="AR3">
        <v>0</v>
      </c>
      <c r="AS3">
        <v>0</v>
      </c>
      <c r="AT3">
        <v>13</v>
      </c>
      <c r="AU3" s="2">
        <v>123511.2081829637</v>
      </c>
      <c r="AV3" s="6">
        <v>109.72</v>
      </c>
      <c r="AW3" s="6">
        <v>0</v>
      </c>
      <c r="AX3" s="6">
        <v>0</v>
      </c>
      <c r="AY3" s="6">
        <v>109.72</v>
      </c>
      <c r="AZ3" s="3">
        <v>1.994937476723649</v>
      </c>
      <c r="BA3">
        <v>4</v>
      </c>
      <c r="BB3">
        <v>0</v>
      </c>
      <c r="BC3">
        <v>0</v>
      </c>
      <c r="BD3">
        <v>4</v>
      </c>
      <c r="BE3" s="2">
        <v>33492.549086562751</v>
      </c>
      <c r="BF3" s="6">
        <v>23.28</v>
      </c>
      <c r="BG3" s="6">
        <v>0</v>
      </c>
      <c r="BH3" s="6">
        <v>0</v>
      </c>
      <c r="BI3" s="6">
        <v>23.28</v>
      </c>
      <c r="BJ3" s="3">
        <v>2.8109999586198211</v>
      </c>
      <c r="BK3" s="6">
        <v>362.04</v>
      </c>
      <c r="BL3" s="6">
        <v>0</v>
      </c>
      <c r="BM3" s="6">
        <v>0</v>
      </c>
      <c r="BN3" s="6">
        <v>362.04</v>
      </c>
      <c r="BO3" s="3">
        <v>5.1216290968376148</v>
      </c>
      <c r="BP3" s="7">
        <v>18438.04</v>
      </c>
      <c r="BQ3" s="2">
        <v>3.2425487290512849</v>
      </c>
      <c r="BR3" s="2">
        <v>14.051044492555571</v>
      </c>
    </row>
    <row r="4" spans="1:70" x14ac:dyDescent="0.3">
      <c r="A4">
        <v>1977</v>
      </c>
      <c r="B4" s="1">
        <v>41881</v>
      </c>
      <c r="C4" s="2">
        <v>777227.9961555528</v>
      </c>
      <c r="D4" s="3">
        <v>18.558009506830128</v>
      </c>
      <c r="E4" s="1">
        <v>25128</v>
      </c>
      <c r="F4" s="4">
        <v>0.44055994113548319</v>
      </c>
      <c r="G4" s="4">
        <v>0.25277046286532651</v>
      </c>
      <c r="H4" s="4">
        <v>0.1523485452929724</v>
      </c>
      <c r="I4" s="4">
        <v>0.25695468882126149</v>
      </c>
      <c r="J4" s="5">
        <v>3.7915569429798981</v>
      </c>
      <c r="K4">
        <v>125</v>
      </c>
      <c r="L4">
        <v>4458</v>
      </c>
      <c r="M4">
        <v>6167</v>
      </c>
      <c r="N4">
        <v>10750</v>
      </c>
      <c r="O4" s="6">
        <v>937.5</v>
      </c>
      <c r="P4" s="6">
        <v>11145</v>
      </c>
      <c r="Q4" s="6">
        <v>7400.4</v>
      </c>
      <c r="R4" s="6">
        <v>19482.900000000001</v>
      </c>
      <c r="S4" s="2">
        <v>0.81333333333333335</v>
      </c>
      <c r="T4" s="2">
        <v>3.8593333333333328</v>
      </c>
      <c r="U4" s="2">
        <v>1.6015999999999999</v>
      </c>
      <c r="V4" s="2">
        <v>6.2742666666666658</v>
      </c>
      <c r="W4">
        <v>9</v>
      </c>
      <c r="X4">
        <v>0</v>
      </c>
      <c r="Y4">
        <v>0</v>
      </c>
      <c r="Z4">
        <v>9</v>
      </c>
      <c r="AA4" s="2">
        <v>427622.51612676593</v>
      </c>
      <c r="AB4" s="6">
        <v>217.8</v>
      </c>
      <c r="AC4" s="6">
        <v>0</v>
      </c>
      <c r="AD4" s="6">
        <v>0</v>
      </c>
      <c r="AE4" s="6">
        <v>217.8</v>
      </c>
      <c r="AF4" s="3">
        <v>0.54629321229835193</v>
      </c>
      <c r="AG4">
        <v>9</v>
      </c>
      <c r="AH4">
        <v>0</v>
      </c>
      <c r="AI4">
        <v>0</v>
      </c>
      <c r="AJ4">
        <v>9</v>
      </c>
      <c r="AK4" s="2">
        <v>172577.93333889279</v>
      </c>
      <c r="AL4" s="6">
        <v>71.28</v>
      </c>
      <c r="AM4" s="6">
        <v>0</v>
      </c>
      <c r="AN4" s="6">
        <v>0</v>
      </c>
      <c r="AO4" s="6">
        <v>71.28</v>
      </c>
      <c r="AP4" s="3">
        <v>2.1671700506224301E-2</v>
      </c>
      <c r="AQ4">
        <v>14</v>
      </c>
      <c r="AR4">
        <v>0</v>
      </c>
      <c r="AS4">
        <v>0</v>
      </c>
      <c r="AT4">
        <v>14</v>
      </c>
      <c r="AU4" s="2">
        <v>140793.51705907591</v>
      </c>
      <c r="AV4" s="6">
        <v>127.4</v>
      </c>
      <c r="AW4" s="6">
        <v>0</v>
      </c>
      <c r="AX4" s="6">
        <v>0</v>
      </c>
      <c r="AY4" s="6">
        <v>127.4</v>
      </c>
      <c r="AZ4" s="3">
        <v>3.054300683114052</v>
      </c>
      <c r="BA4">
        <v>4</v>
      </c>
      <c r="BB4">
        <v>0</v>
      </c>
      <c r="BC4">
        <v>0</v>
      </c>
      <c r="BD4">
        <v>4</v>
      </c>
      <c r="BE4" s="2">
        <v>36234.029630818259</v>
      </c>
      <c r="BF4" s="6">
        <v>22.56</v>
      </c>
      <c r="BG4" s="6">
        <v>0</v>
      </c>
      <c r="BH4" s="6">
        <v>0</v>
      </c>
      <c r="BI4" s="6">
        <v>22.56</v>
      </c>
      <c r="BJ4" s="3">
        <v>4.69693677080814</v>
      </c>
      <c r="BK4" s="6">
        <v>439.04</v>
      </c>
      <c r="BL4" s="6">
        <v>0</v>
      </c>
      <c r="BM4" s="6">
        <v>0</v>
      </c>
      <c r="BN4" s="6">
        <v>439.04</v>
      </c>
      <c r="BO4" s="3">
        <v>8.3192023667267687</v>
      </c>
      <c r="BP4" s="7">
        <v>19921.939999999999</v>
      </c>
      <c r="BQ4" s="2">
        <v>4.3780407100180314</v>
      </c>
      <c r="BR4" s="2">
        <v>18.97150974341147</v>
      </c>
    </row>
    <row r="5" spans="1:70" x14ac:dyDescent="0.3">
      <c r="A5">
        <v>1978</v>
      </c>
      <c r="B5" s="1">
        <v>42882</v>
      </c>
      <c r="C5" s="2">
        <v>945171.59413132141</v>
      </c>
      <c r="D5" s="3">
        <v>22.041219955489979</v>
      </c>
      <c r="E5" s="1">
        <v>25729</v>
      </c>
      <c r="F5" s="4">
        <v>0.46633101241891811</v>
      </c>
      <c r="G5" s="4">
        <v>0.27687390134140638</v>
      </c>
      <c r="H5" s="4">
        <v>0.23257696234410549</v>
      </c>
      <c r="I5" s="4">
        <v>0.31082385143498498</v>
      </c>
      <c r="J5" s="5">
        <v>4.153108520121096</v>
      </c>
      <c r="K5">
        <v>174</v>
      </c>
      <c r="L5">
        <v>4877</v>
      </c>
      <c r="M5">
        <v>6104</v>
      </c>
      <c r="N5">
        <v>11155</v>
      </c>
      <c r="O5" s="6">
        <v>1305</v>
      </c>
      <c r="P5" s="6">
        <v>12192.5</v>
      </c>
      <c r="Q5" s="6">
        <v>7324.8</v>
      </c>
      <c r="R5" s="6">
        <v>20822.3</v>
      </c>
      <c r="S5" s="2">
        <v>1.1166666666666669</v>
      </c>
      <c r="T5" s="2">
        <v>4.1660000000000004</v>
      </c>
      <c r="U5" s="2">
        <v>1.5642666666666669</v>
      </c>
      <c r="V5" s="2">
        <v>6.8469333333333342</v>
      </c>
      <c r="W5">
        <v>11</v>
      </c>
      <c r="X5">
        <v>0</v>
      </c>
      <c r="Y5">
        <v>0</v>
      </c>
      <c r="Z5">
        <v>11</v>
      </c>
      <c r="AA5" s="2">
        <v>540823.71078893438</v>
      </c>
      <c r="AB5" s="6">
        <v>268.39999999999998</v>
      </c>
      <c r="AC5" s="6">
        <v>0</v>
      </c>
      <c r="AD5" s="6">
        <v>0</v>
      </c>
      <c r="AE5" s="6">
        <v>268.39999999999998</v>
      </c>
      <c r="AF5" s="3">
        <v>0.80163337882545604</v>
      </c>
      <c r="AG5">
        <v>11</v>
      </c>
      <c r="AH5">
        <v>0</v>
      </c>
      <c r="AI5">
        <v>0</v>
      </c>
      <c r="AJ5">
        <v>11</v>
      </c>
      <c r="AK5" s="2">
        <v>207335.09542096991</v>
      </c>
      <c r="AL5" s="6">
        <v>84.48</v>
      </c>
      <c r="AM5" s="6">
        <v>0</v>
      </c>
      <c r="AN5" s="6">
        <v>0</v>
      </c>
      <c r="AO5" s="6">
        <v>84.48</v>
      </c>
      <c r="AP5" s="3">
        <v>3.3026456127079461E-2</v>
      </c>
      <c r="AQ5">
        <v>16</v>
      </c>
      <c r="AR5">
        <v>0</v>
      </c>
      <c r="AS5">
        <v>0</v>
      </c>
      <c r="AT5">
        <v>16</v>
      </c>
      <c r="AU5" s="2">
        <v>158484.23011608349</v>
      </c>
      <c r="AV5" s="6">
        <v>152.63999999999999</v>
      </c>
      <c r="AW5" s="6">
        <v>0</v>
      </c>
      <c r="AX5" s="6">
        <v>0</v>
      </c>
      <c r="AY5" s="6">
        <v>152.63999999999999</v>
      </c>
      <c r="AZ5" s="3">
        <v>4.1605086250196397</v>
      </c>
      <c r="BA5">
        <v>4</v>
      </c>
      <c r="BB5">
        <v>0</v>
      </c>
      <c r="BC5">
        <v>0</v>
      </c>
      <c r="BD5">
        <v>4</v>
      </c>
      <c r="BE5" s="2">
        <v>38528.557805333483</v>
      </c>
      <c r="BF5" s="6">
        <v>23.28</v>
      </c>
      <c r="BG5" s="6">
        <v>0</v>
      </c>
      <c r="BH5" s="6">
        <v>0</v>
      </c>
      <c r="BI5" s="6">
        <v>23.28</v>
      </c>
      <c r="BJ5" s="3">
        <v>6.6282244209357044</v>
      </c>
      <c r="BK5" s="6">
        <v>528.79999999999995</v>
      </c>
      <c r="BL5" s="6">
        <v>0</v>
      </c>
      <c r="BM5" s="6">
        <v>0</v>
      </c>
      <c r="BN5" s="6">
        <v>528.79999999999995</v>
      </c>
      <c r="BO5" s="3">
        <v>11.623392880907881</v>
      </c>
      <c r="BP5" s="7">
        <v>21351.1</v>
      </c>
      <c r="BQ5" s="2">
        <v>5.5410978642723636</v>
      </c>
      <c r="BR5" s="2">
        <v>24.011424078513571</v>
      </c>
    </row>
    <row r="6" spans="1:70" x14ac:dyDescent="0.3">
      <c r="A6">
        <v>1979</v>
      </c>
      <c r="B6" s="1">
        <v>43936</v>
      </c>
      <c r="C6" s="2">
        <v>1113175.3651874801</v>
      </c>
      <c r="D6" s="3">
        <v>25.336292907581019</v>
      </c>
      <c r="E6" s="1">
        <v>26361</v>
      </c>
      <c r="F6" s="4">
        <v>0.48721037762135228</v>
      </c>
      <c r="G6" s="4">
        <v>0.29957366483560838</v>
      </c>
      <c r="H6" s="4">
        <v>0.3319106615362602</v>
      </c>
      <c r="I6" s="4">
        <v>0.36454162220153641</v>
      </c>
      <c r="J6" s="5">
        <v>4.4936049725341256</v>
      </c>
      <c r="K6">
        <v>230</v>
      </c>
      <c r="L6">
        <v>5262</v>
      </c>
      <c r="M6">
        <v>6078</v>
      </c>
      <c r="N6">
        <v>11570</v>
      </c>
      <c r="O6" s="6">
        <v>1725</v>
      </c>
      <c r="P6" s="6">
        <v>13155</v>
      </c>
      <c r="Q6" s="6">
        <v>7293.6</v>
      </c>
      <c r="R6" s="6">
        <v>22173.599999999999</v>
      </c>
      <c r="S6" s="2">
        <v>1.4550000000000001</v>
      </c>
      <c r="T6" s="2">
        <v>4.4402222222222223</v>
      </c>
      <c r="U6" s="2">
        <v>1.5386666666666671</v>
      </c>
      <c r="V6" s="2">
        <v>7.4338888888888892</v>
      </c>
      <c r="W6">
        <v>13</v>
      </c>
      <c r="X6">
        <v>0</v>
      </c>
      <c r="Y6">
        <v>0</v>
      </c>
      <c r="Z6">
        <v>13</v>
      </c>
      <c r="AA6" s="2">
        <v>654394.20969808882</v>
      </c>
      <c r="AB6" s="6">
        <v>317.2</v>
      </c>
      <c r="AC6" s="6">
        <v>0</v>
      </c>
      <c r="AD6" s="6">
        <v>0</v>
      </c>
      <c r="AE6" s="6">
        <v>317.2</v>
      </c>
      <c r="AF6" s="3">
        <v>1.069207492181083</v>
      </c>
      <c r="AG6">
        <v>13</v>
      </c>
      <c r="AH6">
        <v>0</v>
      </c>
      <c r="AI6">
        <v>0</v>
      </c>
      <c r="AJ6">
        <v>13</v>
      </c>
      <c r="AK6" s="2">
        <v>241063.26699101101</v>
      </c>
      <c r="AL6" s="6">
        <v>99.84</v>
      </c>
      <c r="AM6" s="6">
        <v>0</v>
      </c>
      <c r="AN6" s="6">
        <v>0</v>
      </c>
      <c r="AO6" s="6">
        <v>99.84</v>
      </c>
      <c r="AP6" s="3">
        <v>4.5188667280148517E-2</v>
      </c>
      <c r="AQ6">
        <v>18</v>
      </c>
      <c r="AR6">
        <v>0</v>
      </c>
      <c r="AS6">
        <v>0</v>
      </c>
      <c r="AT6">
        <v>18</v>
      </c>
      <c r="AU6" s="2">
        <v>177103.13543777651</v>
      </c>
      <c r="AV6" s="6">
        <v>183.6</v>
      </c>
      <c r="AW6" s="6">
        <v>0</v>
      </c>
      <c r="AX6" s="6">
        <v>0</v>
      </c>
      <c r="AY6" s="6">
        <v>183.6</v>
      </c>
      <c r="AZ6" s="3">
        <v>5.3073809791672302</v>
      </c>
      <c r="BA6">
        <v>5</v>
      </c>
      <c r="BB6">
        <v>0</v>
      </c>
      <c r="BC6">
        <v>0</v>
      </c>
      <c r="BD6">
        <v>5</v>
      </c>
      <c r="BE6" s="2">
        <v>40614.753060603332</v>
      </c>
      <c r="BF6" s="6">
        <v>27.75</v>
      </c>
      <c r="BG6" s="6">
        <v>0</v>
      </c>
      <c r="BH6" s="6">
        <v>0</v>
      </c>
      <c r="BI6" s="6">
        <v>27.75</v>
      </c>
      <c r="BJ6" s="3">
        <v>8.5960029462184213</v>
      </c>
      <c r="BK6" s="6">
        <v>628.39</v>
      </c>
      <c r="BL6" s="6">
        <v>0</v>
      </c>
      <c r="BM6" s="6">
        <v>0</v>
      </c>
      <c r="BN6" s="6">
        <v>628.39</v>
      </c>
      <c r="BO6" s="3">
        <v>15.01778008484688</v>
      </c>
      <c r="BP6" s="7">
        <v>22801.99</v>
      </c>
      <c r="BQ6" s="2">
        <v>6.7355006921207314</v>
      </c>
      <c r="BR6" s="2">
        <v>29.187169665856501</v>
      </c>
    </row>
    <row r="7" spans="1:70" x14ac:dyDescent="0.3">
      <c r="A7">
        <v>1980</v>
      </c>
      <c r="B7" s="1">
        <v>45051</v>
      </c>
      <c r="C7" s="2">
        <v>1285896.037103727</v>
      </c>
      <c r="D7" s="3">
        <v>28.543118623420732</v>
      </c>
      <c r="E7" s="1">
        <v>27030</v>
      </c>
      <c r="F7" s="4">
        <v>0.50508200403795223</v>
      </c>
      <c r="G7" s="4">
        <v>0.32095149701519837</v>
      </c>
      <c r="H7" s="4">
        <v>0.44558333785569171</v>
      </c>
      <c r="I7" s="4">
        <v>0.41646331114358448</v>
      </c>
      <c r="J7" s="5">
        <v>4.8142724552279752</v>
      </c>
      <c r="K7">
        <v>293</v>
      </c>
      <c r="L7">
        <v>5633</v>
      </c>
      <c r="M7">
        <v>6077</v>
      </c>
      <c r="N7">
        <v>12003</v>
      </c>
      <c r="O7" s="6">
        <v>2197.5</v>
      </c>
      <c r="P7" s="6">
        <v>14082.5</v>
      </c>
      <c r="Q7" s="6">
        <v>7292.4</v>
      </c>
      <c r="R7" s="6">
        <v>23572.400000000001</v>
      </c>
      <c r="S7" s="2">
        <v>1.831666666666667</v>
      </c>
      <c r="T7" s="2">
        <v>4.6980000000000004</v>
      </c>
      <c r="U7" s="2">
        <v>1.5206</v>
      </c>
      <c r="V7" s="2">
        <v>8.0502666666666673</v>
      </c>
      <c r="W7">
        <v>15</v>
      </c>
      <c r="X7">
        <v>0</v>
      </c>
      <c r="Y7">
        <v>0</v>
      </c>
      <c r="Z7">
        <v>15</v>
      </c>
      <c r="AA7" s="2">
        <v>771252.98628104723</v>
      </c>
      <c r="AB7" s="6">
        <v>364.5</v>
      </c>
      <c r="AC7" s="6">
        <v>0</v>
      </c>
      <c r="AD7" s="6">
        <v>0</v>
      </c>
      <c r="AE7" s="6">
        <v>364.5</v>
      </c>
      <c r="AF7" s="3">
        <v>1.348289301903105</v>
      </c>
      <c r="AG7">
        <v>15</v>
      </c>
      <c r="AH7">
        <v>0</v>
      </c>
      <c r="AI7">
        <v>0</v>
      </c>
      <c r="AJ7">
        <v>15</v>
      </c>
      <c r="AK7" s="2">
        <v>275069.31225998199</v>
      </c>
      <c r="AL7" s="6">
        <v>118.2</v>
      </c>
      <c r="AM7" s="6">
        <v>0</v>
      </c>
      <c r="AN7" s="6">
        <v>0</v>
      </c>
      <c r="AO7" s="6">
        <v>118.2</v>
      </c>
      <c r="AP7" s="3">
        <v>5.8134434730614332E-2</v>
      </c>
      <c r="AQ7">
        <v>20</v>
      </c>
      <c r="AR7">
        <v>0</v>
      </c>
      <c r="AS7">
        <v>0</v>
      </c>
      <c r="AT7">
        <v>20</v>
      </c>
      <c r="AU7" s="2">
        <v>196978.51312141589</v>
      </c>
      <c r="AV7" s="6">
        <v>182</v>
      </c>
      <c r="AW7" s="6">
        <v>0</v>
      </c>
      <c r="AX7" s="6">
        <v>0</v>
      </c>
      <c r="AY7" s="6">
        <v>182</v>
      </c>
      <c r="AZ7" s="3">
        <v>6.4917010910817572</v>
      </c>
      <c r="BA7">
        <v>5</v>
      </c>
      <c r="BB7">
        <v>0</v>
      </c>
      <c r="BC7">
        <v>0</v>
      </c>
      <c r="BD7">
        <v>5</v>
      </c>
      <c r="BE7" s="2">
        <v>42595.225441282113</v>
      </c>
      <c r="BF7" s="6">
        <v>28.2</v>
      </c>
      <c r="BG7" s="6">
        <v>0</v>
      </c>
      <c r="BH7" s="6">
        <v>0</v>
      </c>
      <c r="BI7" s="6">
        <v>28.2</v>
      </c>
      <c r="BJ7" s="3">
        <v>10.59668814537063</v>
      </c>
      <c r="BK7" s="6">
        <v>692.9</v>
      </c>
      <c r="BL7" s="6">
        <v>0</v>
      </c>
      <c r="BM7" s="6">
        <v>0</v>
      </c>
      <c r="BN7" s="6">
        <v>692.9</v>
      </c>
      <c r="BO7" s="3">
        <v>18.494812973086109</v>
      </c>
      <c r="BP7" s="7">
        <v>24265.3</v>
      </c>
      <c r="BQ7" s="2">
        <v>7.9635238919258331</v>
      </c>
      <c r="BR7" s="2">
        <v>34.508603531678609</v>
      </c>
    </row>
    <row r="8" spans="1:70" x14ac:dyDescent="0.3">
      <c r="A8">
        <v>1981</v>
      </c>
      <c r="B8" s="1">
        <v>46232</v>
      </c>
      <c r="C8" s="2">
        <v>1466046.788258147</v>
      </c>
      <c r="D8" s="3">
        <v>31.710650377620411</v>
      </c>
      <c r="E8" s="1">
        <v>27739</v>
      </c>
      <c r="F8" s="4">
        <v>0.52087511578843892</v>
      </c>
      <c r="G8" s="4">
        <v>0.34108438116685219</v>
      </c>
      <c r="H8" s="4">
        <v>0.56379971268799378</v>
      </c>
      <c r="I8" s="4">
        <v>0.46441556237016968</v>
      </c>
      <c r="J8" s="5">
        <v>5.1162657175027828</v>
      </c>
      <c r="K8">
        <v>363</v>
      </c>
      <c r="L8">
        <v>6000</v>
      </c>
      <c r="M8">
        <v>6095</v>
      </c>
      <c r="N8">
        <v>12458</v>
      </c>
      <c r="O8" s="6">
        <v>2722.5</v>
      </c>
      <c r="P8" s="6">
        <v>15000</v>
      </c>
      <c r="Q8" s="6">
        <v>7314</v>
      </c>
      <c r="R8" s="6">
        <v>25036.5</v>
      </c>
      <c r="S8" s="2">
        <v>2.248333333333334</v>
      </c>
      <c r="T8" s="2">
        <v>4.9477777777777776</v>
      </c>
      <c r="U8" s="2">
        <v>1.5078</v>
      </c>
      <c r="V8" s="2">
        <v>8.7039111111111112</v>
      </c>
      <c r="W8">
        <v>18</v>
      </c>
      <c r="X8">
        <v>0</v>
      </c>
      <c r="Y8">
        <v>0</v>
      </c>
      <c r="Z8">
        <v>18</v>
      </c>
      <c r="AA8" s="2">
        <v>893116.37464715028</v>
      </c>
      <c r="AB8" s="6">
        <v>435.6</v>
      </c>
      <c r="AC8" s="6">
        <v>0</v>
      </c>
      <c r="AD8" s="6">
        <v>0</v>
      </c>
      <c r="AE8" s="6">
        <v>435.6</v>
      </c>
      <c r="AF8" s="3">
        <v>1.6383906208911709</v>
      </c>
      <c r="AG8">
        <v>18</v>
      </c>
      <c r="AH8">
        <v>0</v>
      </c>
      <c r="AI8">
        <v>0</v>
      </c>
      <c r="AJ8">
        <v>18</v>
      </c>
      <c r="AK8" s="2">
        <v>310056.09223534912</v>
      </c>
      <c r="AL8" s="6">
        <v>137.52000000000001</v>
      </c>
      <c r="AM8" s="6">
        <v>0</v>
      </c>
      <c r="AN8" s="6">
        <v>0</v>
      </c>
      <c r="AO8" s="6">
        <v>137.52000000000001</v>
      </c>
      <c r="AP8" s="3">
        <v>7.184867990128975E-2</v>
      </c>
      <c r="AQ8">
        <v>22</v>
      </c>
      <c r="AR8">
        <v>0</v>
      </c>
      <c r="AS8">
        <v>0</v>
      </c>
      <c r="AT8">
        <v>22</v>
      </c>
      <c r="AU8" s="2">
        <v>218352.57519718079</v>
      </c>
      <c r="AV8" s="6">
        <v>190.52</v>
      </c>
      <c r="AW8" s="6">
        <v>0</v>
      </c>
      <c r="AX8" s="6">
        <v>0</v>
      </c>
      <c r="AY8" s="6">
        <v>190.52</v>
      </c>
      <c r="AZ8" s="3">
        <v>7.7114213027120257</v>
      </c>
      <c r="BA8">
        <v>5</v>
      </c>
      <c r="BB8">
        <v>0</v>
      </c>
      <c r="BC8">
        <v>0</v>
      </c>
      <c r="BD8">
        <v>5</v>
      </c>
      <c r="BE8" s="2">
        <v>44521.746178466907</v>
      </c>
      <c r="BF8" s="6">
        <v>29.1</v>
      </c>
      <c r="BG8" s="6">
        <v>0</v>
      </c>
      <c r="BH8" s="6">
        <v>0</v>
      </c>
      <c r="BI8" s="6">
        <v>29.1</v>
      </c>
      <c r="BJ8" s="3">
        <v>12.628674973352339</v>
      </c>
      <c r="BK8" s="6">
        <v>792.74</v>
      </c>
      <c r="BL8" s="6">
        <v>0</v>
      </c>
      <c r="BM8" s="6">
        <v>0</v>
      </c>
      <c r="BN8" s="6">
        <v>792.74</v>
      </c>
      <c r="BO8" s="3">
        <v>22.050335576856831</v>
      </c>
      <c r="BP8" s="7">
        <v>25829.24</v>
      </c>
      <c r="BQ8" s="2">
        <v>9.2262740063903816</v>
      </c>
      <c r="BR8" s="2">
        <v>39.980520694358319</v>
      </c>
    </row>
    <row r="9" spans="1:70" x14ac:dyDescent="0.3">
      <c r="A9">
        <v>1982</v>
      </c>
      <c r="B9" s="1">
        <v>47475</v>
      </c>
      <c r="C9" s="2">
        <v>1655340.7959693531</v>
      </c>
      <c r="D9" s="3">
        <v>34.867631300039029</v>
      </c>
      <c r="E9" s="1">
        <v>28485</v>
      </c>
      <c r="F9" s="4">
        <v>0.53512889856755852</v>
      </c>
      <c r="G9" s="4">
        <v>0.36004481741964017</v>
      </c>
      <c r="H9" s="4">
        <v>0.67483702410220492</v>
      </c>
      <c r="I9" s="4">
        <v>0.50660712108224071</v>
      </c>
      <c r="J9" s="5">
        <v>5.400672261294603</v>
      </c>
      <c r="K9">
        <v>441</v>
      </c>
      <c r="L9">
        <v>6367</v>
      </c>
      <c r="M9">
        <v>6126</v>
      </c>
      <c r="N9">
        <v>12934</v>
      </c>
      <c r="O9" s="6">
        <v>3307.5</v>
      </c>
      <c r="P9" s="6">
        <v>15917.5</v>
      </c>
      <c r="Q9" s="6">
        <v>7351.2</v>
      </c>
      <c r="R9" s="6">
        <v>26576.2</v>
      </c>
      <c r="S9" s="2">
        <v>2.7016666666666671</v>
      </c>
      <c r="T9" s="2">
        <v>5.1931111111111106</v>
      </c>
      <c r="U9" s="2">
        <v>1.498933333333333</v>
      </c>
      <c r="V9" s="2">
        <v>9.3937111111111111</v>
      </c>
      <c r="W9">
        <v>20</v>
      </c>
      <c r="X9">
        <v>0</v>
      </c>
      <c r="Y9">
        <v>0</v>
      </c>
      <c r="Z9">
        <v>20</v>
      </c>
      <c r="AA9" s="2">
        <v>1021087.352962965</v>
      </c>
      <c r="AB9" s="6">
        <v>494</v>
      </c>
      <c r="AC9" s="6">
        <v>0</v>
      </c>
      <c r="AD9" s="6">
        <v>0</v>
      </c>
      <c r="AE9" s="6">
        <v>494</v>
      </c>
      <c r="AF9" s="3">
        <v>1.939161091595125</v>
      </c>
      <c r="AG9">
        <v>20</v>
      </c>
      <c r="AH9">
        <v>0</v>
      </c>
      <c r="AI9">
        <v>0</v>
      </c>
      <c r="AJ9">
        <v>20</v>
      </c>
      <c r="AK9" s="2">
        <v>346439.89754710451</v>
      </c>
      <c r="AL9" s="6">
        <v>154.4</v>
      </c>
      <c r="AM9" s="6">
        <v>0</v>
      </c>
      <c r="AN9" s="6">
        <v>0</v>
      </c>
      <c r="AO9" s="6">
        <v>154.4</v>
      </c>
      <c r="AP9" s="3">
        <v>8.6321299002477078E-2</v>
      </c>
      <c r="AQ9">
        <v>24</v>
      </c>
      <c r="AR9">
        <v>0</v>
      </c>
      <c r="AS9">
        <v>0</v>
      </c>
      <c r="AT9">
        <v>24</v>
      </c>
      <c r="AU9" s="2">
        <v>241396.71637124851</v>
      </c>
      <c r="AV9" s="6">
        <v>234.24</v>
      </c>
      <c r="AW9" s="6">
        <v>0</v>
      </c>
      <c r="AX9" s="6">
        <v>0</v>
      </c>
      <c r="AY9" s="6">
        <v>234.24</v>
      </c>
      <c r="AZ9" s="3">
        <v>8.9651665420454894</v>
      </c>
      <c r="BA9">
        <v>5</v>
      </c>
      <c r="BB9">
        <v>0</v>
      </c>
      <c r="BC9">
        <v>0</v>
      </c>
      <c r="BD9">
        <v>5</v>
      </c>
      <c r="BE9" s="2">
        <v>46416.829088034981</v>
      </c>
      <c r="BF9" s="6">
        <v>29.55</v>
      </c>
      <c r="BG9" s="6">
        <v>0</v>
      </c>
      <c r="BH9" s="6">
        <v>0</v>
      </c>
      <c r="BI9" s="6">
        <v>29.55</v>
      </c>
      <c r="BJ9" s="3">
        <v>14.69142337566231</v>
      </c>
      <c r="BK9" s="6">
        <v>912.19</v>
      </c>
      <c r="BL9" s="6">
        <v>0</v>
      </c>
      <c r="BM9" s="6">
        <v>0</v>
      </c>
      <c r="BN9" s="6">
        <v>912.19</v>
      </c>
      <c r="BO9" s="3">
        <v>25.682072308305401</v>
      </c>
      <c r="BP9" s="7">
        <v>27488.39</v>
      </c>
      <c r="BQ9" s="2">
        <v>10.52273502582495</v>
      </c>
      <c r="BR9" s="2">
        <v>45.59851844524146</v>
      </c>
    </row>
    <row r="10" spans="1:70" x14ac:dyDescent="0.3">
      <c r="A10">
        <v>1983</v>
      </c>
      <c r="B10" s="1">
        <v>48764</v>
      </c>
      <c r="C10" s="2">
        <v>1854778.755863785</v>
      </c>
      <c r="D10" s="3">
        <v>38.035820602571263</v>
      </c>
      <c r="E10" s="1">
        <v>29258</v>
      </c>
      <c r="F10" s="4">
        <v>0.54819993605974315</v>
      </c>
      <c r="G10" s="4">
        <v>0.37790108382380089</v>
      </c>
      <c r="H10" s="4">
        <v>0.76947924700392123</v>
      </c>
      <c r="I10" s="4">
        <v>0.54221476934359514</v>
      </c>
      <c r="J10" s="5">
        <v>5.6685162573570143</v>
      </c>
      <c r="K10">
        <v>527</v>
      </c>
      <c r="L10">
        <v>6737</v>
      </c>
      <c r="M10">
        <v>6167</v>
      </c>
      <c r="N10">
        <v>13431</v>
      </c>
      <c r="O10" s="6">
        <v>3952.5</v>
      </c>
      <c r="P10" s="6">
        <v>16842.5</v>
      </c>
      <c r="Q10" s="6">
        <v>7400.4</v>
      </c>
      <c r="R10" s="6">
        <v>28195.4</v>
      </c>
      <c r="S10" s="2">
        <v>3.19</v>
      </c>
      <c r="T10" s="2">
        <v>5.4353333333333333</v>
      </c>
      <c r="U10" s="2">
        <v>1.4925999999999999</v>
      </c>
      <c r="V10" s="2">
        <v>10.11793333333333</v>
      </c>
      <c r="W10">
        <v>22</v>
      </c>
      <c r="X10">
        <v>0</v>
      </c>
      <c r="Y10">
        <v>0</v>
      </c>
      <c r="Z10">
        <v>22</v>
      </c>
      <c r="AA10" s="2">
        <v>1155841.657139688</v>
      </c>
      <c r="AB10" s="6">
        <v>528</v>
      </c>
      <c r="AC10" s="6">
        <v>0</v>
      </c>
      <c r="AD10" s="6">
        <v>0</v>
      </c>
      <c r="AE10" s="6">
        <v>528</v>
      </c>
      <c r="AF10" s="3">
        <v>2.2503702791874209</v>
      </c>
      <c r="AG10">
        <v>22</v>
      </c>
      <c r="AH10">
        <v>0</v>
      </c>
      <c r="AI10">
        <v>0</v>
      </c>
      <c r="AJ10">
        <v>22</v>
      </c>
      <c r="AK10" s="2">
        <v>384448.90618080809</v>
      </c>
      <c r="AL10" s="6">
        <v>168.08</v>
      </c>
      <c r="AM10" s="6">
        <v>0</v>
      </c>
      <c r="AN10" s="6">
        <v>0</v>
      </c>
      <c r="AO10" s="6">
        <v>168.08</v>
      </c>
      <c r="AP10" s="3">
        <v>0.1015466122444029</v>
      </c>
      <c r="AQ10">
        <v>26</v>
      </c>
      <c r="AR10">
        <v>0</v>
      </c>
      <c r="AS10">
        <v>0</v>
      </c>
      <c r="AT10">
        <v>26</v>
      </c>
      <c r="AU10" s="2">
        <v>266206.41380510258</v>
      </c>
      <c r="AV10" s="6">
        <v>236.6</v>
      </c>
      <c r="AW10" s="6">
        <v>0</v>
      </c>
      <c r="AX10" s="6">
        <v>0</v>
      </c>
      <c r="AY10" s="6">
        <v>236.6</v>
      </c>
      <c r="AZ10" s="3">
        <v>10.25213534253187</v>
      </c>
      <c r="BA10">
        <v>5</v>
      </c>
      <c r="BB10">
        <v>0</v>
      </c>
      <c r="BC10">
        <v>0</v>
      </c>
      <c r="BD10">
        <v>5</v>
      </c>
      <c r="BE10" s="2">
        <v>48281.778738186273</v>
      </c>
      <c r="BF10" s="6">
        <v>28.875</v>
      </c>
      <c r="BG10" s="6">
        <v>0</v>
      </c>
      <c r="BH10" s="6">
        <v>0</v>
      </c>
      <c r="BI10" s="6">
        <v>28.875</v>
      </c>
      <c r="BJ10" s="3">
        <v>16.78527148049611</v>
      </c>
      <c r="BK10" s="6">
        <v>961.55499999999995</v>
      </c>
      <c r="BL10" s="6">
        <v>0</v>
      </c>
      <c r="BM10" s="6">
        <v>0</v>
      </c>
      <c r="BN10" s="6">
        <v>961.55499999999995</v>
      </c>
      <c r="BO10" s="3">
        <v>29.38932371445981</v>
      </c>
      <c r="BP10" s="7">
        <v>29156.955000000002</v>
      </c>
      <c r="BQ10" s="2">
        <v>11.852177114337939</v>
      </c>
      <c r="BR10" s="2">
        <v>51.35943416213108</v>
      </c>
    </row>
    <row r="11" spans="1:70" x14ac:dyDescent="0.3">
      <c r="A11">
        <v>1984</v>
      </c>
      <c r="B11" s="1">
        <v>50074</v>
      </c>
      <c r="C11" s="2">
        <v>2064860.5673916789</v>
      </c>
      <c r="D11" s="3">
        <v>41.236181798771398</v>
      </c>
      <c r="E11" s="1">
        <v>30044</v>
      </c>
      <c r="F11" s="4">
        <v>0.56034944744046078</v>
      </c>
      <c r="G11" s="4">
        <v>0.39471748222547148</v>
      </c>
      <c r="H11" s="4">
        <v>0.8436218543686238</v>
      </c>
      <c r="I11" s="4">
        <v>0.57143176338704404</v>
      </c>
      <c r="J11" s="5">
        <v>5.9207622333820726</v>
      </c>
      <c r="K11">
        <v>620</v>
      </c>
      <c r="L11">
        <v>7108</v>
      </c>
      <c r="M11">
        <v>6211</v>
      </c>
      <c r="N11">
        <v>13939</v>
      </c>
      <c r="O11" s="6">
        <v>4650</v>
      </c>
      <c r="P11" s="6">
        <v>17770</v>
      </c>
      <c r="Q11" s="6">
        <v>7453.2</v>
      </c>
      <c r="R11" s="6">
        <v>29873.200000000001</v>
      </c>
      <c r="S11" s="2">
        <v>3.7149999999999999</v>
      </c>
      <c r="T11" s="2">
        <v>5.6740000000000004</v>
      </c>
      <c r="U11" s="2">
        <v>1.4874000000000001</v>
      </c>
      <c r="V11" s="2">
        <v>10.8764</v>
      </c>
      <c r="W11">
        <v>25</v>
      </c>
      <c r="X11">
        <v>0</v>
      </c>
      <c r="Y11">
        <v>0</v>
      </c>
      <c r="Z11">
        <v>25</v>
      </c>
      <c r="AA11" s="2">
        <v>1297753.778138089</v>
      </c>
      <c r="AB11" s="6">
        <v>602.5</v>
      </c>
      <c r="AC11" s="6">
        <v>0</v>
      </c>
      <c r="AD11" s="6">
        <v>0</v>
      </c>
      <c r="AE11" s="6">
        <v>602.5</v>
      </c>
      <c r="AF11" s="3">
        <v>2.571914205736221</v>
      </c>
      <c r="AG11">
        <v>25</v>
      </c>
      <c r="AH11">
        <v>0</v>
      </c>
      <c r="AI11">
        <v>0</v>
      </c>
      <c r="AJ11">
        <v>25</v>
      </c>
      <c r="AK11" s="2">
        <v>424185.34555318352</v>
      </c>
      <c r="AL11" s="6">
        <v>190</v>
      </c>
      <c r="AM11" s="6">
        <v>0</v>
      </c>
      <c r="AN11" s="6">
        <v>0</v>
      </c>
      <c r="AO11" s="6">
        <v>190</v>
      </c>
      <c r="AP11" s="3">
        <v>0.11752380318123939</v>
      </c>
      <c r="AQ11">
        <v>28</v>
      </c>
      <c r="AR11">
        <v>0</v>
      </c>
      <c r="AS11">
        <v>0</v>
      </c>
      <c r="AT11">
        <v>28</v>
      </c>
      <c r="AU11" s="2">
        <v>292816.10169484501</v>
      </c>
      <c r="AV11" s="6">
        <v>279.44</v>
      </c>
      <c r="AW11" s="6">
        <v>0</v>
      </c>
      <c r="AX11" s="6">
        <v>0</v>
      </c>
      <c r="AY11" s="6">
        <v>279.44</v>
      </c>
      <c r="AZ11" s="3">
        <v>11.57211831184828</v>
      </c>
      <c r="BA11">
        <v>5</v>
      </c>
      <c r="BB11">
        <v>0</v>
      </c>
      <c r="BC11">
        <v>0</v>
      </c>
      <c r="BD11">
        <v>5</v>
      </c>
      <c r="BE11" s="2">
        <v>50105.342005561302</v>
      </c>
      <c r="BF11" s="6">
        <v>28.65</v>
      </c>
      <c r="BG11" s="6">
        <v>0</v>
      </c>
      <c r="BH11" s="6">
        <v>0</v>
      </c>
      <c r="BI11" s="6">
        <v>28.65</v>
      </c>
      <c r="BJ11" s="3">
        <v>18.911462193280212</v>
      </c>
      <c r="BK11" s="6">
        <v>1100.5899999999999</v>
      </c>
      <c r="BL11" s="6">
        <v>0</v>
      </c>
      <c r="BM11" s="6">
        <v>0</v>
      </c>
      <c r="BN11" s="6">
        <v>1100.5899999999999</v>
      </c>
      <c r="BO11" s="3">
        <v>33.17301851404595</v>
      </c>
      <c r="BP11" s="7">
        <v>30973.79</v>
      </c>
      <c r="BQ11" s="2">
        <v>13.214825554213791</v>
      </c>
      <c r="BR11" s="2">
        <v>57.264244068259742</v>
      </c>
    </row>
    <row r="12" spans="1:70" x14ac:dyDescent="0.3">
      <c r="A12">
        <v>1985</v>
      </c>
      <c r="B12" s="1">
        <v>51373</v>
      </c>
      <c r="C12" s="2">
        <v>2285512.8013878479</v>
      </c>
      <c r="D12" s="3">
        <v>44.488599096565281</v>
      </c>
      <c r="E12" s="1">
        <v>30823</v>
      </c>
      <c r="F12" s="4">
        <v>0.57177237628121835</v>
      </c>
      <c r="G12" s="4">
        <v>0.41055456982278771</v>
      </c>
      <c r="H12" s="4">
        <v>0.89782515797991358</v>
      </c>
      <c r="I12" s="4">
        <v>0.5951072990448123</v>
      </c>
      <c r="J12" s="5">
        <v>6.1583185473418158</v>
      </c>
      <c r="K12">
        <v>720</v>
      </c>
      <c r="L12">
        <v>7479</v>
      </c>
      <c r="M12">
        <v>6256</v>
      </c>
      <c r="N12">
        <v>14455</v>
      </c>
      <c r="O12" s="6">
        <v>5400</v>
      </c>
      <c r="P12" s="6">
        <v>18697.5</v>
      </c>
      <c r="Q12" s="6">
        <v>7507.2</v>
      </c>
      <c r="R12" s="6">
        <v>31604.7</v>
      </c>
      <c r="S12" s="2">
        <v>4.2683333333333344</v>
      </c>
      <c r="T12" s="2">
        <v>5.9064444444444444</v>
      </c>
      <c r="U12" s="2">
        <v>1.4820666666666671</v>
      </c>
      <c r="V12" s="2">
        <v>11.65684444444444</v>
      </c>
      <c r="W12">
        <v>28</v>
      </c>
      <c r="X12">
        <v>0</v>
      </c>
      <c r="Y12">
        <v>0</v>
      </c>
      <c r="Z12">
        <v>28</v>
      </c>
      <c r="AA12" s="2">
        <v>1446861.934440044</v>
      </c>
      <c r="AB12" s="6">
        <v>683.2</v>
      </c>
      <c r="AC12" s="6">
        <v>0</v>
      </c>
      <c r="AD12" s="6">
        <v>0</v>
      </c>
      <c r="AE12" s="6">
        <v>683.2</v>
      </c>
      <c r="AF12" s="3">
        <v>2.903796468472537</v>
      </c>
      <c r="AG12">
        <v>28</v>
      </c>
      <c r="AH12">
        <v>0</v>
      </c>
      <c r="AI12">
        <v>0</v>
      </c>
      <c r="AJ12">
        <v>28</v>
      </c>
      <c r="AK12" s="2">
        <v>465617.01858059142</v>
      </c>
      <c r="AL12" s="6">
        <v>215.04</v>
      </c>
      <c r="AM12" s="6">
        <v>0</v>
      </c>
      <c r="AN12" s="6">
        <v>0</v>
      </c>
      <c r="AO12" s="6">
        <v>215.04</v>
      </c>
      <c r="AP12" s="3">
        <v>0.13425630221415591</v>
      </c>
      <c r="AQ12">
        <v>31</v>
      </c>
      <c r="AR12">
        <v>0</v>
      </c>
      <c r="AS12">
        <v>0</v>
      </c>
      <c r="AT12">
        <v>31</v>
      </c>
      <c r="AU12" s="2">
        <v>321170.93229547702</v>
      </c>
      <c r="AV12" s="6">
        <v>295.74</v>
      </c>
      <c r="AW12" s="6">
        <v>0</v>
      </c>
      <c r="AX12" s="6">
        <v>0</v>
      </c>
      <c r="AY12" s="6">
        <v>295.74</v>
      </c>
      <c r="AZ12" s="3">
        <v>12.925397823840211</v>
      </c>
      <c r="BA12">
        <v>5</v>
      </c>
      <c r="BB12">
        <v>0</v>
      </c>
      <c r="BC12">
        <v>0</v>
      </c>
      <c r="BD12">
        <v>5</v>
      </c>
      <c r="BE12" s="2">
        <v>51862.916071735694</v>
      </c>
      <c r="BF12" s="6">
        <v>27.975000000000001</v>
      </c>
      <c r="BG12" s="6">
        <v>0</v>
      </c>
      <c r="BH12" s="6">
        <v>0</v>
      </c>
      <c r="BI12" s="6">
        <v>27.975000000000001</v>
      </c>
      <c r="BJ12" s="3">
        <v>21.071958599622931</v>
      </c>
      <c r="BK12" s="6">
        <v>1221.9549999999999</v>
      </c>
      <c r="BL12" s="6">
        <v>0</v>
      </c>
      <c r="BM12" s="6">
        <v>0</v>
      </c>
      <c r="BN12" s="6">
        <v>1221.9549999999999</v>
      </c>
      <c r="BO12" s="3">
        <v>37.035409194149842</v>
      </c>
      <c r="BP12" s="7">
        <v>32826.654999999999</v>
      </c>
      <c r="BQ12" s="2">
        <v>14.60767609157829</v>
      </c>
      <c r="BR12" s="2">
        <v>63.299929730172572</v>
      </c>
    </row>
    <row r="13" spans="1:70" x14ac:dyDescent="0.3">
      <c r="A13">
        <v>1986</v>
      </c>
      <c r="B13" s="1">
        <v>52626</v>
      </c>
      <c r="C13" s="2">
        <v>2516336.0659643868</v>
      </c>
      <c r="D13" s="3">
        <v>47.815453691414653</v>
      </c>
      <c r="E13" s="1">
        <v>31575</v>
      </c>
      <c r="F13" s="4">
        <v>0.58262800033502471</v>
      </c>
      <c r="G13" s="4">
        <v>0.42546937723720701</v>
      </c>
      <c r="H13" s="4">
        <v>0.93537329944737191</v>
      </c>
      <c r="I13" s="4">
        <v>0.61434860467185293</v>
      </c>
      <c r="J13" s="5">
        <v>6.3820406585581049</v>
      </c>
      <c r="K13">
        <v>827</v>
      </c>
      <c r="L13">
        <v>7846</v>
      </c>
      <c r="M13">
        <v>6294</v>
      </c>
      <c r="N13">
        <v>14967</v>
      </c>
      <c r="O13" s="6">
        <v>6202.5</v>
      </c>
      <c r="P13" s="6">
        <v>19615</v>
      </c>
      <c r="Q13" s="6">
        <v>7552.8</v>
      </c>
      <c r="R13" s="6">
        <v>33370.300000000003</v>
      </c>
      <c r="S13" s="2">
        <v>4.8483333333333336</v>
      </c>
      <c r="T13" s="2">
        <v>6.1302222222222218</v>
      </c>
      <c r="U13" s="2">
        <v>1.4752666666666669</v>
      </c>
      <c r="V13" s="2">
        <v>12.45382222222222</v>
      </c>
      <c r="W13">
        <v>30</v>
      </c>
      <c r="X13">
        <v>0</v>
      </c>
      <c r="Y13">
        <v>0</v>
      </c>
      <c r="Z13">
        <v>30</v>
      </c>
      <c r="AA13" s="2">
        <v>1603003.9560971661</v>
      </c>
      <c r="AB13" s="6">
        <v>744</v>
      </c>
      <c r="AC13" s="6">
        <v>0</v>
      </c>
      <c r="AD13" s="6">
        <v>0</v>
      </c>
      <c r="AE13" s="6">
        <v>744</v>
      </c>
      <c r="AF13" s="3">
        <v>3.2461259171141101</v>
      </c>
      <c r="AG13">
        <v>30</v>
      </c>
      <c r="AH13">
        <v>0</v>
      </c>
      <c r="AI13">
        <v>0</v>
      </c>
      <c r="AJ13">
        <v>30</v>
      </c>
      <c r="AK13" s="2">
        <v>508637.79409088782</v>
      </c>
      <c r="AL13" s="6">
        <v>232.8</v>
      </c>
      <c r="AM13" s="6">
        <v>0</v>
      </c>
      <c r="AN13" s="6">
        <v>0</v>
      </c>
      <c r="AO13" s="6">
        <v>232.8</v>
      </c>
      <c r="AP13" s="3">
        <v>0.15175183134564479</v>
      </c>
      <c r="AQ13">
        <v>33</v>
      </c>
      <c r="AR13">
        <v>0</v>
      </c>
      <c r="AS13">
        <v>0</v>
      </c>
      <c r="AT13">
        <v>33</v>
      </c>
      <c r="AU13" s="2">
        <v>351167.41445912229</v>
      </c>
      <c r="AV13" s="6">
        <v>322.08</v>
      </c>
      <c r="AW13" s="6">
        <v>0</v>
      </c>
      <c r="AX13" s="6">
        <v>0</v>
      </c>
      <c r="AY13" s="6">
        <v>322.08</v>
      </c>
      <c r="AZ13" s="3">
        <v>14.31272804519827</v>
      </c>
      <c r="BA13">
        <v>6</v>
      </c>
      <c r="BB13">
        <v>0</v>
      </c>
      <c r="BC13">
        <v>0</v>
      </c>
      <c r="BD13">
        <v>6</v>
      </c>
      <c r="BE13" s="2">
        <v>53526.901317211472</v>
      </c>
      <c r="BF13" s="6">
        <v>33.299999999999997</v>
      </c>
      <c r="BG13" s="6">
        <v>0</v>
      </c>
      <c r="BH13" s="6">
        <v>0</v>
      </c>
      <c r="BI13" s="6">
        <v>33.299999999999997</v>
      </c>
      <c r="BJ13" s="3">
        <v>23.26940637924335</v>
      </c>
      <c r="BK13" s="6">
        <v>1332.18</v>
      </c>
      <c r="BL13" s="6">
        <v>0</v>
      </c>
      <c r="BM13" s="6">
        <v>0</v>
      </c>
      <c r="BN13" s="6">
        <v>1332.18</v>
      </c>
      <c r="BO13" s="3">
        <v>40.980012172901382</v>
      </c>
      <c r="BP13" s="7">
        <v>34702.480000000003</v>
      </c>
      <c r="BQ13" s="2">
        <v>16.030150318537078</v>
      </c>
      <c r="BR13" s="2">
        <v>69.463984713660693</v>
      </c>
    </row>
    <row r="14" spans="1:70" x14ac:dyDescent="0.3">
      <c r="A14">
        <v>1987</v>
      </c>
      <c r="B14" s="1">
        <v>53800</v>
      </c>
      <c r="C14" s="2">
        <v>2756613.7357636811</v>
      </c>
      <c r="D14" s="3">
        <v>51.238173527205973</v>
      </c>
      <c r="E14" s="1">
        <v>32280</v>
      </c>
      <c r="F14" s="4">
        <v>0.59303860223082627</v>
      </c>
      <c r="G14" s="4">
        <v>0.43951561388534649</v>
      </c>
      <c r="H14" s="4">
        <v>0.96029357490339651</v>
      </c>
      <c r="I14" s="4">
        <v>0.63021262372394149</v>
      </c>
      <c r="J14" s="5">
        <v>6.5927342082801994</v>
      </c>
      <c r="K14">
        <v>939</v>
      </c>
      <c r="L14">
        <v>8204</v>
      </c>
      <c r="M14">
        <v>6322</v>
      </c>
      <c r="N14">
        <v>15465</v>
      </c>
      <c r="O14" s="6">
        <v>7042.5</v>
      </c>
      <c r="P14" s="6">
        <v>20510</v>
      </c>
      <c r="Q14" s="6">
        <v>7586.4</v>
      </c>
      <c r="R14" s="6">
        <v>35138.9</v>
      </c>
      <c r="S14" s="2">
        <v>5.4483333333333333</v>
      </c>
      <c r="T14" s="2">
        <v>6.3419999999999996</v>
      </c>
      <c r="U14" s="2">
        <v>1.466</v>
      </c>
      <c r="V14" s="2">
        <v>13.25633333333333</v>
      </c>
      <c r="W14">
        <v>33</v>
      </c>
      <c r="X14">
        <v>0</v>
      </c>
      <c r="Y14">
        <v>0</v>
      </c>
      <c r="Z14">
        <v>33</v>
      </c>
      <c r="AA14" s="2">
        <v>1765823.8036950801</v>
      </c>
      <c r="AB14" s="6">
        <v>815.1</v>
      </c>
      <c r="AC14" s="6">
        <v>0</v>
      </c>
      <c r="AD14" s="6">
        <v>0</v>
      </c>
      <c r="AE14" s="6">
        <v>815.1</v>
      </c>
      <c r="AF14" s="3">
        <v>3.599088956668445</v>
      </c>
      <c r="AG14">
        <v>33</v>
      </c>
      <c r="AH14">
        <v>0</v>
      </c>
      <c r="AI14">
        <v>0</v>
      </c>
      <c r="AJ14">
        <v>33</v>
      </c>
      <c r="AK14" s="2">
        <v>553072.66677436454</v>
      </c>
      <c r="AL14" s="6">
        <v>257.39999999999998</v>
      </c>
      <c r="AM14" s="6">
        <v>0</v>
      </c>
      <c r="AN14" s="6">
        <v>0</v>
      </c>
      <c r="AO14" s="6">
        <v>257.39999999999998</v>
      </c>
      <c r="AP14" s="3">
        <v>0.1700213845128247</v>
      </c>
      <c r="AQ14">
        <v>36</v>
      </c>
      <c r="AR14">
        <v>0</v>
      </c>
      <c r="AS14">
        <v>0</v>
      </c>
      <c r="AT14">
        <v>36</v>
      </c>
      <c r="AU14" s="2">
        <v>382649.54927667952</v>
      </c>
      <c r="AV14" s="6">
        <v>311.76</v>
      </c>
      <c r="AW14" s="6">
        <v>0</v>
      </c>
      <c r="AX14" s="6">
        <v>0</v>
      </c>
      <c r="AY14" s="6">
        <v>311.76</v>
      </c>
      <c r="AZ14" s="3">
        <v>15.7351969636817</v>
      </c>
      <c r="BA14">
        <v>6</v>
      </c>
      <c r="BB14">
        <v>0</v>
      </c>
      <c r="BC14">
        <v>0</v>
      </c>
      <c r="BD14">
        <v>6</v>
      </c>
      <c r="BE14" s="2">
        <v>55067.716017557323</v>
      </c>
      <c r="BF14" s="6">
        <v>33.840000000000003</v>
      </c>
      <c r="BG14" s="6">
        <v>0</v>
      </c>
      <c r="BH14" s="6">
        <v>0</v>
      </c>
      <c r="BI14" s="6">
        <v>33.840000000000003</v>
      </c>
      <c r="BJ14" s="3">
        <v>25.50688736282887</v>
      </c>
      <c r="BK14" s="6">
        <v>1418.1</v>
      </c>
      <c r="BL14" s="6">
        <v>0</v>
      </c>
      <c r="BM14" s="6">
        <v>0</v>
      </c>
      <c r="BN14" s="6">
        <v>1418.1</v>
      </c>
      <c r="BO14" s="3">
        <v>45.011194667691839</v>
      </c>
      <c r="BP14" s="7">
        <v>36557</v>
      </c>
      <c r="BQ14" s="2">
        <v>17.480258400307552</v>
      </c>
      <c r="BR14" s="2">
        <v>75.747786401332718</v>
      </c>
    </row>
    <row r="15" spans="1:70" x14ac:dyDescent="0.3">
      <c r="A15">
        <v>1988</v>
      </c>
      <c r="B15" s="1">
        <v>54869</v>
      </c>
      <c r="C15" s="2">
        <v>3005480.3992654439</v>
      </c>
      <c r="D15" s="3">
        <v>54.775563601768653</v>
      </c>
      <c r="E15" s="1">
        <v>32921</v>
      </c>
      <c r="F15" s="4">
        <v>0.60309409367248878</v>
      </c>
      <c r="G15" s="4">
        <v>0.45274386139089567</v>
      </c>
      <c r="H15" s="4">
        <v>0.97625459895046907</v>
      </c>
      <c r="I15" s="4">
        <v>0.64357660168760367</v>
      </c>
      <c r="J15" s="5">
        <v>6.7911579208634354</v>
      </c>
      <c r="K15">
        <v>1057</v>
      </c>
      <c r="L15">
        <v>8551</v>
      </c>
      <c r="M15">
        <v>6337</v>
      </c>
      <c r="N15">
        <v>15945</v>
      </c>
      <c r="O15" s="6">
        <v>7927.5</v>
      </c>
      <c r="P15" s="6">
        <v>21377.5</v>
      </c>
      <c r="Q15" s="6">
        <v>7604.4</v>
      </c>
      <c r="R15" s="6">
        <v>36909.4</v>
      </c>
      <c r="S15" s="2">
        <v>6.0616666666666674</v>
      </c>
      <c r="T15" s="2">
        <v>6.5391111111111124</v>
      </c>
      <c r="U15" s="2">
        <v>1.4536666666666671</v>
      </c>
      <c r="V15" s="2">
        <v>14.054444444444449</v>
      </c>
      <c r="W15">
        <v>35</v>
      </c>
      <c r="X15">
        <v>0</v>
      </c>
      <c r="Y15">
        <v>0</v>
      </c>
      <c r="Z15">
        <v>35</v>
      </c>
      <c r="AA15" s="2">
        <v>1934866.214778533</v>
      </c>
      <c r="AB15" s="6">
        <v>864.5</v>
      </c>
      <c r="AC15" s="6">
        <v>0</v>
      </c>
      <c r="AD15" s="6">
        <v>0</v>
      </c>
      <c r="AE15" s="6">
        <v>864.5</v>
      </c>
      <c r="AF15" s="3">
        <v>3.9629324207261232</v>
      </c>
      <c r="AG15">
        <v>35</v>
      </c>
      <c r="AH15">
        <v>0</v>
      </c>
      <c r="AI15">
        <v>0</v>
      </c>
      <c r="AJ15">
        <v>35</v>
      </c>
      <c r="AK15" s="2">
        <v>598717.11638064508</v>
      </c>
      <c r="AL15" s="6">
        <v>277.2</v>
      </c>
      <c r="AM15" s="6">
        <v>0</v>
      </c>
      <c r="AN15" s="6">
        <v>0</v>
      </c>
      <c r="AO15" s="6">
        <v>277.2</v>
      </c>
      <c r="AP15" s="3">
        <v>0.18907860970484761</v>
      </c>
      <c r="AQ15">
        <v>39</v>
      </c>
      <c r="AR15">
        <v>0</v>
      </c>
      <c r="AS15">
        <v>0</v>
      </c>
      <c r="AT15">
        <v>39</v>
      </c>
      <c r="AU15" s="2">
        <v>415437.94359318598</v>
      </c>
      <c r="AV15" s="6">
        <v>363.48</v>
      </c>
      <c r="AW15" s="6">
        <v>0</v>
      </c>
      <c r="AX15" s="6">
        <v>0</v>
      </c>
      <c r="AY15" s="6">
        <v>363.48</v>
      </c>
      <c r="AZ15" s="3">
        <v>17.194141213420529</v>
      </c>
      <c r="BA15">
        <v>6</v>
      </c>
      <c r="BB15">
        <v>0</v>
      </c>
      <c r="BC15">
        <v>0</v>
      </c>
      <c r="BD15">
        <v>6</v>
      </c>
      <c r="BE15" s="2">
        <v>56459.124513080547</v>
      </c>
      <c r="BF15" s="6">
        <v>33.840000000000003</v>
      </c>
      <c r="BG15" s="6">
        <v>0</v>
      </c>
      <c r="BH15" s="6">
        <v>0</v>
      </c>
      <c r="BI15" s="6">
        <v>33.840000000000003</v>
      </c>
      <c r="BJ15" s="3">
        <v>27.787771972027521</v>
      </c>
      <c r="BK15" s="6">
        <v>1539.02</v>
      </c>
      <c r="BL15" s="6">
        <v>0</v>
      </c>
      <c r="BM15" s="6">
        <v>0</v>
      </c>
      <c r="BN15" s="6">
        <v>1539.02</v>
      </c>
      <c r="BO15" s="3">
        <v>49.13392421587902</v>
      </c>
      <c r="BP15" s="7">
        <v>38448.42</v>
      </c>
      <c r="BQ15" s="2">
        <v>18.95651059809704</v>
      </c>
      <c r="BR15" s="2">
        <v>82.144879258420502</v>
      </c>
    </row>
    <row r="16" spans="1:70" x14ac:dyDescent="0.3">
      <c r="A16">
        <v>1989</v>
      </c>
      <c r="B16" s="1">
        <v>55816</v>
      </c>
      <c r="C16" s="2">
        <v>3262270.7025395562</v>
      </c>
      <c r="D16" s="3">
        <v>58.446873701797983</v>
      </c>
      <c r="E16" s="1">
        <v>33489</v>
      </c>
      <c r="F16" s="4">
        <v>0.61286782416740093</v>
      </c>
      <c r="G16" s="4">
        <v>0.46520175573309608</v>
      </c>
      <c r="H16" s="4">
        <v>0.98617057891689341</v>
      </c>
      <c r="I16" s="4">
        <v>0.65511881028006935</v>
      </c>
      <c r="J16" s="5">
        <v>6.9780263359964421</v>
      </c>
      <c r="K16">
        <v>1178</v>
      </c>
      <c r="L16">
        <v>8884</v>
      </c>
      <c r="M16">
        <v>6337</v>
      </c>
      <c r="N16">
        <v>16399</v>
      </c>
      <c r="O16" s="6">
        <v>8835</v>
      </c>
      <c r="P16" s="6">
        <v>22210</v>
      </c>
      <c r="Q16" s="6">
        <v>7604.4</v>
      </c>
      <c r="R16" s="6">
        <v>38649.4</v>
      </c>
      <c r="S16" s="2">
        <v>6.6833333333333336</v>
      </c>
      <c r="T16" s="2">
        <v>6.7195555555555559</v>
      </c>
      <c r="U16" s="2">
        <v>1.4378</v>
      </c>
      <c r="V16" s="2">
        <v>14.84068888888889</v>
      </c>
      <c r="W16">
        <v>38</v>
      </c>
      <c r="X16">
        <v>0</v>
      </c>
      <c r="Y16">
        <v>0</v>
      </c>
      <c r="Z16">
        <v>38</v>
      </c>
      <c r="AA16" s="2">
        <v>2109774.7593543818</v>
      </c>
      <c r="AB16" s="6">
        <v>927.2</v>
      </c>
      <c r="AC16" s="6">
        <v>0</v>
      </c>
      <c r="AD16" s="6">
        <v>0</v>
      </c>
      <c r="AE16" s="6">
        <v>927.2</v>
      </c>
      <c r="AF16" s="3">
        <v>4.3379500227260266</v>
      </c>
      <c r="AG16">
        <v>38</v>
      </c>
      <c r="AH16">
        <v>0</v>
      </c>
      <c r="AI16">
        <v>0</v>
      </c>
      <c r="AJ16">
        <v>38</v>
      </c>
      <c r="AK16" s="2">
        <v>645414.29070167302</v>
      </c>
      <c r="AL16" s="6">
        <v>290.32</v>
      </c>
      <c r="AM16" s="6">
        <v>0</v>
      </c>
      <c r="AN16" s="6">
        <v>0</v>
      </c>
      <c r="AO16" s="6">
        <v>290.32</v>
      </c>
      <c r="AP16" s="3">
        <v>0.20893931588218009</v>
      </c>
      <c r="AQ16">
        <v>41</v>
      </c>
      <c r="AR16">
        <v>0</v>
      </c>
      <c r="AS16">
        <v>0</v>
      </c>
      <c r="AT16">
        <v>41</v>
      </c>
      <c r="AU16" s="2">
        <v>449395.06506890198</v>
      </c>
      <c r="AV16" s="6">
        <v>382.12</v>
      </c>
      <c r="AW16" s="6">
        <v>0</v>
      </c>
      <c r="AX16" s="6">
        <v>0</v>
      </c>
      <c r="AY16" s="6">
        <v>382.12</v>
      </c>
      <c r="AZ16" s="3">
        <v>18.691079669050659</v>
      </c>
      <c r="BA16">
        <v>6</v>
      </c>
      <c r="BB16">
        <v>0</v>
      </c>
      <c r="BC16">
        <v>0</v>
      </c>
      <c r="BD16">
        <v>6</v>
      </c>
      <c r="BE16" s="2">
        <v>57686.587414598682</v>
      </c>
      <c r="BF16" s="6">
        <v>33.299999999999997</v>
      </c>
      <c r="BG16" s="6">
        <v>0</v>
      </c>
      <c r="BH16" s="6">
        <v>0</v>
      </c>
      <c r="BI16" s="6">
        <v>33.299999999999997</v>
      </c>
      <c r="BJ16" s="3">
        <v>30.115607668520351</v>
      </c>
      <c r="BK16" s="6">
        <v>1632.94</v>
      </c>
      <c r="BL16" s="6">
        <v>0</v>
      </c>
      <c r="BM16" s="6">
        <v>0</v>
      </c>
      <c r="BN16" s="6">
        <v>1632.94</v>
      </c>
      <c r="BO16" s="3">
        <v>53.353576676179223</v>
      </c>
      <c r="BP16" s="7">
        <v>40282.339999999997</v>
      </c>
      <c r="BQ16" s="2">
        <v>20.458279669520429</v>
      </c>
      <c r="BR16" s="2">
        <v>88.652545234588544</v>
      </c>
    </row>
    <row r="17" spans="1:70" x14ac:dyDescent="0.3">
      <c r="A17">
        <v>1990</v>
      </c>
      <c r="B17" s="1">
        <v>56637</v>
      </c>
      <c r="C17" s="2">
        <v>3526587.9458694761</v>
      </c>
      <c r="D17" s="3">
        <v>62.266503272939531</v>
      </c>
      <c r="E17" s="1">
        <v>33982</v>
      </c>
      <c r="F17" s="4">
        <v>0.62240704377361888</v>
      </c>
      <c r="G17" s="4">
        <v>0.47693415878772039</v>
      </c>
      <c r="H17" s="4">
        <v>0.99215478620150532</v>
      </c>
      <c r="I17" s="4">
        <v>0.66533053103658679</v>
      </c>
      <c r="J17" s="5">
        <v>7.1540123818158046</v>
      </c>
      <c r="K17">
        <v>1302</v>
      </c>
      <c r="L17">
        <v>9202</v>
      </c>
      <c r="M17">
        <v>6322</v>
      </c>
      <c r="N17">
        <v>16826</v>
      </c>
      <c r="O17" s="6">
        <v>9765</v>
      </c>
      <c r="P17" s="6">
        <v>23005</v>
      </c>
      <c r="Q17" s="6">
        <v>7586.4</v>
      </c>
      <c r="R17" s="6">
        <v>40356.400000000001</v>
      </c>
      <c r="S17" s="2">
        <v>7.3083333333333336</v>
      </c>
      <c r="T17" s="2">
        <v>6.8828888888888891</v>
      </c>
      <c r="U17" s="2">
        <v>1.418533333333333</v>
      </c>
      <c r="V17" s="2">
        <v>15.60975555555556</v>
      </c>
      <c r="W17">
        <v>40</v>
      </c>
      <c r="X17">
        <v>0</v>
      </c>
      <c r="Y17">
        <v>0</v>
      </c>
      <c r="Z17">
        <v>40</v>
      </c>
      <c r="AA17" s="2">
        <v>2290336.2116859471</v>
      </c>
      <c r="AB17" s="6">
        <v>984</v>
      </c>
      <c r="AC17" s="6">
        <v>0</v>
      </c>
      <c r="AD17" s="6">
        <v>0</v>
      </c>
      <c r="AE17" s="6">
        <v>984</v>
      </c>
      <c r="AF17" s="3">
        <v>4.7244628074833512</v>
      </c>
      <c r="AG17">
        <v>40</v>
      </c>
      <c r="AH17">
        <v>0</v>
      </c>
      <c r="AI17">
        <v>0</v>
      </c>
      <c r="AJ17">
        <v>40</v>
      </c>
      <c r="AK17" s="2">
        <v>693068.85542160505</v>
      </c>
      <c r="AL17" s="6">
        <v>308.8</v>
      </c>
      <c r="AM17" s="6">
        <v>0</v>
      </c>
      <c r="AN17" s="6">
        <v>0</v>
      </c>
      <c r="AO17" s="6">
        <v>308.8</v>
      </c>
      <c r="AP17" s="3">
        <v>0.22962071082741839</v>
      </c>
      <c r="AQ17">
        <v>44</v>
      </c>
      <c r="AR17">
        <v>0</v>
      </c>
      <c r="AS17">
        <v>0</v>
      </c>
      <c r="AT17">
        <v>44</v>
      </c>
      <c r="AU17" s="2">
        <v>484436.62734823639</v>
      </c>
      <c r="AV17" s="6">
        <v>439.12</v>
      </c>
      <c r="AW17" s="6">
        <v>0</v>
      </c>
      <c r="AX17" s="6">
        <v>0</v>
      </c>
      <c r="AY17" s="6">
        <v>439.12</v>
      </c>
      <c r="AZ17" s="3">
        <v>20.227620417968261</v>
      </c>
      <c r="BA17">
        <v>6</v>
      </c>
      <c r="BB17">
        <v>0</v>
      </c>
      <c r="BC17">
        <v>0</v>
      </c>
      <c r="BD17">
        <v>6</v>
      </c>
      <c r="BE17" s="2">
        <v>58746.251413688049</v>
      </c>
      <c r="BF17" s="6">
        <v>33.299999999999997</v>
      </c>
      <c r="BG17" s="6">
        <v>0</v>
      </c>
      <c r="BH17" s="6">
        <v>0</v>
      </c>
      <c r="BI17" s="6">
        <v>33.299999999999997</v>
      </c>
      <c r="BJ17" s="3">
        <v>32.493961786009052</v>
      </c>
      <c r="BK17" s="6">
        <v>1765.22</v>
      </c>
      <c r="BL17" s="6">
        <v>0</v>
      </c>
      <c r="BM17" s="6">
        <v>0</v>
      </c>
      <c r="BN17" s="6">
        <v>1765.22</v>
      </c>
      <c r="BO17" s="3">
        <v>57.675665722288073</v>
      </c>
      <c r="BP17" s="7">
        <v>42121.62</v>
      </c>
      <c r="BQ17" s="2">
        <v>21.98562638335309</v>
      </c>
      <c r="BR17" s="2">
        <v>95.271047661196718</v>
      </c>
    </row>
    <row r="18" spans="1:70" x14ac:dyDescent="0.3">
      <c r="A18">
        <v>1991</v>
      </c>
      <c r="B18" s="1">
        <v>57337</v>
      </c>
      <c r="C18" s="2">
        <v>3798224.6813260568</v>
      </c>
      <c r="D18" s="3">
        <v>66.243868380383645</v>
      </c>
      <c r="E18" s="1">
        <v>34402</v>
      </c>
      <c r="F18" s="4">
        <v>0.63173995273542827</v>
      </c>
      <c r="G18" s="4">
        <v>0.48798331987828097</v>
      </c>
      <c r="H18" s="4">
        <v>0.99566452955828211</v>
      </c>
      <c r="I18" s="4">
        <v>0.67455720523388163</v>
      </c>
      <c r="J18" s="5">
        <v>7.3197497981742146</v>
      </c>
      <c r="K18">
        <v>1429</v>
      </c>
      <c r="L18">
        <v>9505</v>
      </c>
      <c r="M18">
        <v>6293</v>
      </c>
      <c r="N18">
        <v>17227</v>
      </c>
      <c r="O18" s="6">
        <v>10717.5</v>
      </c>
      <c r="P18" s="6">
        <v>23762.5</v>
      </c>
      <c r="Q18" s="6">
        <v>7551.6</v>
      </c>
      <c r="R18" s="6">
        <v>42031.6</v>
      </c>
      <c r="S18" s="2">
        <v>7.93</v>
      </c>
      <c r="T18" s="2">
        <v>7.0297777777777766</v>
      </c>
      <c r="U18" s="2">
        <v>1.396266666666667</v>
      </c>
      <c r="V18" s="2">
        <v>16.356044444444439</v>
      </c>
      <c r="W18">
        <v>43</v>
      </c>
      <c r="X18">
        <v>0</v>
      </c>
      <c r="Y18">
        <v>0</v>
      </c>
      <c r="Z18">
        <v>43</v>
      </c>
      <c r="AA18" s="2">
        <v>2476441.2376439581</v>
      </c>
      <c r="AB18" s="6">
        <v>1032</v>
      </c>
      <c r="AC18" s="6">
        <v>0</v>
      </c>
      <c r="AD18" s="6">
        <v>0</v>
      </c>
      <c r="AE18" s="6">
        <v>1032</v>
      </c>
      <c r="AF18" s="3">
        <v>5.1228137734571062</v>
      </c>
      <c r="AG18">
        <v>43</v>
      </c>
      <c r="AH18">
        <v>0</v>
      </c>
      <c r="AI18">
        <v>0</v>
      </c>
      <c r="AJ18">
        <v>43</v>
      </c>
      <c r="AK18" s="2">
        <v>741628.22208700236</v>
      </c>
      <c r="AL18" s="6">
        <v>330.24</v>
      </c>
      <c r="AM18" s="6">
        <v>0</v>
      </c>
      <c r="AN18" s="6">
        <v>0</v>
      </c>
      <c r="AO18" s="6">
        <v>330.24</v>
      </c>
      <c r="AP18" s="3">
        <v>0.25114120343687729</v>
      </c>
      <c r="AQ18">
        <v>47</v>
      </c>
      <c r="AR18">
        <v>0</v>
      </c>
      <c r="AS18">
        <v>0</v>
      </c>
      <c r="AT18">
        <v>47</v>
      </c>
      <c r="AU18" s="2">
        <v>520514.61598906107</v>
      </c>
      <c r="AV18" s="6">
        <v>417.36</v>
      </c>
      <c r="AW18" s="6">
        <v>0</v>
      </c>
      <c r="AX18" s="6">
        <v>0</v>
      </c>
      <c r="AY18" s="6">
        <v>417.36</v>
      </c>
      <c r="AZ18" s="3">
        <v>21.80543610213747</v>
      </c>
      <c r="BA18">
        <v>6</v>
      </c>
      <c r="BB18">
        <v>0</v>
      </c>
      <c r="BC18">
        <v>0</v>
      </c>
      <c r="BD18">
        <v>6</v>
      </c>
      <c r="BE18" s="2">
        <v>59640.605606036472</v>
      </c>
      <c r="BF18" s="6">
        <v>35.46</v>
      </c>
      <c r="BG18" s="6">
        <v>0</v>
      </c>
      <c r="BH18" s="6">
        <v>0</v>
      </c>
      <c r="BI18" s="6">
        <v>35.46</v>
      </c>
      <c r="BJ18" s="3">
        <v>34.926388394264443</v>
      </c>
      <c r="BK18" s="6">
        <v>1815.06</v>
      </c>
      <c r="BL18" s="6">
        <v>0</v>
      </c>
      <c r="BM18" s="6">
        <v>0</v>
      </c>
      <c r="BN18" s="6">
        <v>1815.06</v>
      </c>
      <c r="BO18" s="3">
        <v>62.105779473295897</v>
      </c>
      <c r="BP18" s="7">
        <v>43846.66</v>
      </c>
      <c r="BQ18" s="2">
        <v>23.538547175322101</v>
      </c>
      <c r="BR18" s="2">
        <v>102.0003710930624</v>
      </c>
    </row>
    <row r="19" spans="1:70" x14ac:dyDescent="0.3">
      <c r="A19">
        <v>1992</v>
      </c>
      <c r="B19" s="1">
        <v>57931</v>
      </c>
      <c r="C19" s="2">
        <v>4077463.0900393212</v>
      </c>
      <c r="D19" s="3">
        <v>70.38482142616769</v>
      </c>
      <c r="E19" s="1">
        <v>34758</v>
      </c>
      <c r="F19" s="4">
        <v>0.64088040556532833</v>
      </c>
      <c r="G19" s="4">
        <v>0.49838902791923012</v>
      </c>
      <c r="H19" s="4">
        <v>0.99766573964597172</v>
      </c>
      <c r="I19" s="4">
        <v>0.68303586496152902</v>
      </c>
      <c r="J19" s="5">
        <v>7.4758354187884519</v>
      </c>
      <c r="K19">
        <v>1559</v>
      </c>
      <c r="L19">
        <v>9794</v>
      </c>
      <c r="M19">
        <v>6252</v>
      </c>
      <c r="N19">
        <v>17605</v>
      </c>
      <c r="O19" s="6">
        <v>11692.5</v>
      </c>
      <c r="P19" s="6">
        <v>24485</v>
      </c>
      <c r="Q19" s="6">
        <v>7502.4</v>
      </c>
      <c r="R19" s="6">
        <v>43679.9</v>
      </c>
      <c r="S19" s="2">
        <v>8.5500000000000007</v>
      </c>
      <c r="T19" s="2">
        <v>7.1615555555555552</v>
      </c>
      <c r="U19" s="2">
        <v>1.371533333333333</v>
      </c>
      <c r="V19" s="2">
        <v>17.083088888888891</v>
      </c>
      <c r="W19">
        <v>45</v>
      </c>
      <c r="X19">
        <v>0</v>
      </c>
      <c r="Y19">
        <v>0</v>
      </c>
      <c r="Z19">
        <v>45</v>
      </c>
      <c r="AA19" s="2">
        <v>2668258.1450760388</v>
      </c>
      <c r="AB19" s="6">
        <v>1116</v>
      </c>
      <c r="AC19" s="6">
        <v>0</v>
      </c>
      <c r="AD19" s="6">
        <v>0</v>
      </c>
      <c r="AE19" s="6">
        <v>1116</v>
      </c>
      <c r="AF19" s="3">
        <v>5.533354239269614</v>
      </c>
      <c r="AG19">
        <v>45</v>
      </c>
      <c r="AH19">
        <v>0</v>
      </c>
      <c r="AI19">
        <v>0</v>
      </c>
      <c r="AJ19">
        <v>45</v>
      </c>
      <c r="AK19" s="2">
        <v>791146.22810800653</v>
      </c>
      <c r="AL19" s="6">
        <v>345.6</v>
      </c>
      <c r="AM19" s="6">
        <v>0</v>
      </c>
      <c r="AN19" s="6">
        <v>0</v>
      </c>
      <c r="AO19" s="6">
        <v>345.6</v>
      </c>
      <c r="AP19" s="3">
        <v>0.27351985450960159</v>
      </c>
      <c r="AQ19">
        <v>50</v>
      </c>
      <c r="AR19">
        <v>0</v>
      </c>
      <c r="AS19">
        <v>0</v>
      </c>
      <c r="AT19">
        <v>50</v>
      </c>
      <c r="AU19" s="2">
        <v>557675.42167740571</v>
      </c>
      <c r="AV19" s="6">
        <v>510</v>
      </c>
      <c r="AW19" s="6">
        <v>0</v>
      </c>
      <c r="AX19" s="6">
        <v>0</v>
      </c>
      <c r="AY19" s="6">
        <v>510</v>
      </c>
      <c r="AZ19" s="3">
        <v>23.426201021247412</v>
      </c>
      <c r="BA19">
        <v>6</v>
      </c>
      <c r="BB19">
        <v>0</v>
      </c>
      <c r="BC19">
        <v>0</v>
      </c>
      <c r="BD19">
        <v>6</v>
      </c>
      <c r="BE19" s="2">
        <v>60383.295177868997</v>
      </c>
      <c r="BF19" s="6">
        <v>35.19</v>
      </c>
      <c r="BG19" s="6">
        <v>0</v>
      </c>
      <c r="BH19" s="6">
        <v>0</v>
      </c>
      <c r="BI19" s="6">
        <v>35.19</v>
      </c>
      <c r="BJ19" s="3">
        <v>37.416326990004123</v>
      </c>
      <c r="BK19" s="6">
        <v>2006.79</v>
      </c>
      <c r="BL19" s="6">
        <v>0</v>
      </c>
      <c r="BM19" s="6">
        <v>0</v>
      </c>
      <c r="BN19" s="6">
        <v>2006.79</v>
      </c>
      <c r="BO19" s="3">
        <v>66.649402105030759</v>
      </c>
      <c r="BP19" s="7">
        <v>45686.69</v>
      </c>
      <c r="BQ19" s="2">
        <v>25.119747298175891</v>
      </c>
      <c r="BR19" s="2">
        <v>108.85223829209551</v>
      </c>
    </row>
    <row r="20" spans="1:70" x14ac:dyDescent="0.3">
      <c r="A20">
        <v>1993</v>
      </c>
      <c r="B20" s="1">
        <v>58438</v>
      </c>
      <c r="C20" s="2">
        <v>4364920.4867634717</v>
      </c>
      <c r="D20" s="3">
        <v>74.693187425364854</v>
      </c>
      <c r="E20" s="1">
        <v>35062</v>
      </c>
      <c r="F20" s="4">
        <v>0.6498373471116905</v>
      </c>
      <c r="G20" s="4">
        <v>0.50818875469902847</v>
      </c>
      <c r="H20" s="4">
        <v>0.99877547637451369</v>
      </c>
      <c r="I20" s="4">
        <v>0.69092758077812411</v>
      </c>
      <c r="J20" s="5">
        <v>7.6228313204854263</v>
      </c>
      <c r="K20">
        <v>1690</v>
      </c>
      <c r="L20">
        <v>10072</v>
      </c>
      <c r="M20">
        <v>6202</v>
      </c>
      <c r="N20">
        <v>17964</v>
      </c>
      <c r="O20" s="6">
        <v>12675</v>
      </c>
      <c r="P20" s="6">
        <v>25180</v>
      </c>
      <c r="Q20" s="6">
        <v>7442.4</v>
      </c>
      <c r="R20" s="6">
        <v>45297.4</v>
      </c>
      <c r="S20" s="2">
        <v>9.163333333333334</v>
      </c>
      <c r="T20" s="2">
        <v>7.2806666666666668</v>
      </c>
      <c r="U20" s="2">
        <v>1.345</v>
      </c>
      <c r="V20" s="2">
        <v>17.789000000000001</v>
      </c>
      <c r="W20">
        <v>47</v>
      </c>
      <c r="X20">
        <v>0</v>
      </c>
      <c r="Y20">
        <v>0</v>
      </c>
      <c r="Z20">
        <v>47</v>
      </c>
      <c r="AA20" s="2">
        <v>2866151.6671719998</v>
      </c>
      <c r="AB20" s="6">
        <v>1137.4000000000001</v>
      </c>
      <c r="AC20" s="6">
        <v>0</v>
      </c>
      <c r="AD20" s="6">
        <v>0</v>
      </c>
      <c r="AE20" s="6">
        <v>1137.4000000000001</v>
      </c>
      <c r="AF20" s="3">
        <v>5.9564516808399119</v>
      </c>
      <c r="AG20">
        <v>47</v>
      </c>
      <c r="AH20">
        <v>0</v>
      </c>
      <c r="AI20">
        <v>0</v>
      </c>
      <c r="AJ20">
        <v>47</v>
      </c>
      <c r="AK20" s="2">
        <v>841747.19252544839</v>
      </c>
      <c r="AL20" s="6">
        <v>359.08</v>
      </c>
      <c r="AM20" s="6">
        <v>0</v>
      </c>
      <c r="AN20" s="6">
        <v>0</v>
      </c>
      <c r="AO20" s="6">
        <v>359.08</v>
      </c>
      <c r="AP20" s="3">
        <v>0.2967767045379166</v>
      </c>
      <c r="AQ20">
        <v>52</v>
      </c>
      <c r="AR20">
        <v>0</v>
      </c>
      <c r="AS20">
        <v>0</v>
      </c>
      <c r="AT20">
        <v>52</v>
      </c>
      <c r="AU20" s="2">
        <v>596028.66381796426</v>
      </c>
      <c r="AV20" s="6">
        <v>496.08</v>
      </c>
      <c r="AW20" s="6">
        <v>0</v>
      </c>
      <c r="AX20" s="6">
        <v>0</v>
      </c>
      <c r="AY20" s="6">
        <v>496.08</v>
      </c>
      <c r="AZ20" s="3">
        <v>25.09163007670297</v>
      </c>
      <c r="BA20">
        <v>6</v>
      </c>
      <c r="BB20">
        <v>0</v>
      </c>
      <c r="BC20">
        <v>0</v>
      </c>
      <c r="BD20">
        <v>6</v>
      </c>
      <c r="BE20" s="2">
        <v>60992.963248059488</v>
      </c>
      <c r="BF20" s="6">
        <v>34.92</v>
      </c>
      <c r="BG20" s="6">
        <v>0</v>
      </c>
      <c r="BH20" s="6">
        <v>0</v>
      </c>
      <c r="BI20" s="6">
        <v>34.92</v>
      </c>
      <c r="BJ20" s="3">
        <v>39.967183423724329</v>
      </c>
      <c r="BK20" s="6">
        <v>2027.48</v>
      </c>
      <c r="BL20" s="6">
        <v>0</v>
      </c>
      <c r="BM20" s="6">
        <v>0</v>
      </c>
      <c r="BN20" s="6">
        <v>2027.48</v>
      </c>
      <c r="BO20" s="3">
        <v>71.312041885805129</v>
      </c>
      <c r="BP20" s="7">
        <v>47324.88</v>
      </c>
      <c r="BQ20" s="2">
        <v>26.730312565741539</v>
      </c>
      <c r="BR20" s="2">
        <v>115.8313544515467</v>
      </c>
    </row>
    <row r="21" spans="1:70" x14ac:dyDescent="0.3">
      <c r="A21">
        <v>1994</v>
      </c>
      <c r="B21" s="1">
        <v>58879</v>
      </c>
      <c r="C21" s="2">
        <v>4661462.2204282386</v>
      </c>
      <c r="D21" s="3">
        <v>79.170200248445767</v>
      </c>
      <c r="E21" s="1">
        <v>35327</v>
      </c>
      <c r="F21" s="4">
        <v>0.65861400761899291</v>
      </c>
      <c r="G21" s="4">
        <v>0.51741778981905817</v>
      </c>
      <c r="H21" s="4">
        <v>0.99937399752660494</v>
      </c>
      <c r="I21" s="4">
        <v>0.69833979066220075</v>
      </c>
      <c r="J21" s="5">
        <v>7.7612668472858726</v>
      </c>
      <c r="K21">
        <v>1823</v>
      </c>
      <c r="L21">
        <v>10341</v>
      </c>
      <c r="M21">
        <v>6145</v>
      </c>
      <c r="N21">
        <v>18309</v>
      </c>
      <c r="O21" s="6">
        <v>13672.5</v>
      </c>
      <c r="P21" s="6">
        <v>25852.5</v>
      </c>
      <c r="Q21" s="6">
        <v>7374</v>
      </c>
      <c r="R21" s="6">
        <v>46899</v>
      </c>
      <c r="S21" s="2">
        <v>9.7716666666666665</v>
      </c>
      <c r="T21" s="2">
        <v>7.3897777777777778</v>
      </c>
      <c r="U21" s="2">
        <v>1.3173999999999999</v>
      </c>
      <c r="V21" s="2">
        <v>18.478844444444441</v>
      </c>
      <c r="W21">
        <v>49</v>
      </c>
      <c r="X21">
        <v>0</v>
      </c>
      <c r="Y21">
        <v>0</v>
      </c>
      <c r="Z21">
        <v>49</v>
      </c>
      <c r="AA21" s="2">
        <v>3070635.5880755149</v>
      </c>
      <c r="AB21" s="6">
        <v>1205.4000000000001</v>
      </c>
      <c r="AC21" s="6">
        <v>0</v>
      </c>
      <c r="AD21" s="6">
        <v>0</v>
      </c>
      <c r="AE21" s="6">
        <v>1205.4000000000001</v>
      </c>
      <c r="AF21" s="3">
        <v>6.3924745724705669</v>
      </c>
      <c r="AG21">
        <v>49</v>
      </c>
      <c r="AH21">
        <v>0</v>
      </c>
      <c r="AI21">
        <v>0</v>
      </c>
      <c r="AJ21">
        <v>49</v>
      </c>
      <c r="AK21" s="2">
        <v>893606.01306573628</v>
      </c>
      <c r="AL21" s="6">
        <v>382.2</v>
      </c>
      <c r="AM21" s="6">
        <v>0</v>
      </c>
      <c r="AN21" s="6">
        <v>0</v>
      </c>
      <c r="AO21" s="6">
        <v>382.2</v>
      </c>
      <c r="AP21" s="3">
        <v>0.32093215308848949</v>
      </c>
      <c r="AQ21">
        <v>55</v>
      </c>
      <c r="AR21">
        <v>0</v>
      </c>
      <c r="AS21">
        <v>0</v>
      </c>
      <c r="AT21">
        <v>55</v>
      </c>
      <c r="AU21" s="2">
        <v>635730.57653211057</v>
      </c>
      <c r="AV21" s="6">
        <v>488.4</v>
      </c>
      <c r="AW21" s="6">
        <v>0</v>
      </c>
      <c r="AX21" s="6">
        <v>0</v>
      </c>
      <c r="AY21" s="6">
        <v>488.4</v>
      </c>
      <c r="AZ21" s="3">
        <v>26.803409010321651</v>
      </c>
      <c r="BA21">
        <v>5</v>
      </c>
      <c r="BB21">
        <v>0</v>
      </c>
      <c r="BC21">
        <v>0</v>
      </c>
      <c r="BD21">
        <v>5</v>
      </c>
      <c r="BE21" s="2">
        <v>61490.04275487658</v>
      </c>
      <c r="BF21" s="6">
        <v>28.65</v>
      </c>
      <c r="BG21" s="6">
        <v>0</v>
      </c>
      <c r="BH21" s="6">
        <v>0</v>
      </c>
      <c r="BI21" s="6">
        <v>28.65</v>
      </c>
      <c r="BJ21" s="3">
        <v>42.582215018693987</v>
      </c>
      <c r="BK21" s="6">
        <v>2104.65</v>
      </c>
      <c r="BL21" s="6">
        <v>0</v>
      </c>
      <c r="BM21" s="6">
        <v>0</v>
      </c>
      <c r="BN21" s="6">
        <v>2104.65</v>
      </c>
      <c r="BO21" s="3">
        <v>76.099030754574699</v>
      </c>
      <c r="BP21" s="7">
        <v>49003.65</v>
      </c>
      <c r="BQ21" s="2">
        <v>28.37336255970574</v>
      </c>
      <c r="BR21" s="2">
        <v>122.9512377587249</v>
      </c>
    </row>
    <row r="22" spans="1:70" x14ac:dyDescent="0.3">
      <c r="A22">
        <v>1995</v>
      </c>
      <c r="B22" s="1">
        <v>59272</v>
      </c>
      <c r="C22" s="2">
        <v>4967892.975701211</v>
      </c>
      <c r="D22" s="3">
        <v>83.815173702611872</v>
      </c>
      <c r="E22" s="1">
        <v>35563</v>
      </c>
      <c r="F22" s="4">
        <v>0.66721053938719233</v>
      </c>
      <c r="G22" s="4">
        <v>0.52610936777430561</v>
      </c>
      <c r="H22" s="4">
        <v>0.99968802518010802</v>
      </c>
      <c r="I22" s="4">
        <v>0.70534426715944987</v>
      </c>
      <c r="J22" s="5">
        <v>7.8916405166145847</v>
      </c>
      <c r="K22">
        <v>1958</v>
      </c>
      <c r="L22">
        <v>10605</v>
      </c>
      <c r="M22">
        <v>6084</v>
      </c>
      <c r="N22">
        <v>18647</v>
      </c>
      <c r="O22" s="6">
        <v>14685</v>
      </c>
      <c r="P22" s="6">
        <v>26512.5</v>
      </c>
      <c r="Q22" s="6">
        <v>7300.8</v>
      </c>
      <c r="R22" s="6">
        <v>48498.3</v>
      </c>
      <c r="S22" s="2">
        <v>10.375</v>
      </c>
      <c r="T22" s="2">
        <v>7.4906666666666668</v>
      </c>
      <c r="U22" s="2">
        <v>1.2891999999999999</v>
      </c>
      <c r="V22" s="2">
        <v>19.15486666666667</v>
      </c>
      <c r="W22">
        <v>51</v>
      </c>
      <c r="X22">
        <v>0</v>
      </c>
      <c r="Y22">
        <v>0</v>
      </c>
      <c r="Z22">
        <v>51</v>
      </c>
      <c r="AA22" s="2">
        <v>3282196.852945942</v>
      </c>
      <c r="AB22" s="6">
        <v>1234.2</v>
      </c>
      <c r="AC22" s="6">
        <v>0</v>
      </c>
      <c r="AD22" s="6">
        <v>0</v>
      </c>
      <c r="AE22" s="6">
        <v>1234.2</v>
      </c>
      <c r="AF22" s="3">
        <v>6.8417917660107124</v>
      </c>
      <c r="AG22">
        <v>51</v>
      </c>
      <c r="AH22">
        <v>0</v>
      </c>
      <c r="AI22">
        <v>0</v>
      </c>
      <c r="AJ22">
        <v>51</v>
      </c>
      <c r="AK22" s="2">
        <v>946881.77037423907</v>
      </c>
      <c r="AL22" s="6">
        <v>397.8</v>
      </c>
      <c r="AM22" s="6">
        <v>0</v>
      </c>
      <c r="AN22" s="6">
        <v>0</v>
      </c>
      <c r="AO22" s="6">
        <v>397.8</v>
      </c>
      <c r="AP22" s="3">
        <v>0.34600692465785071</v>
      </c>
      <c r="AQ22">
        <v>58</v>
      </c>
      <c r="AR22">
        <v>0</v>
      </c>
      <c r="AS22">
        <v>0</v>
      </c>
      <c r="AT22">
        <v>58</v>
      </c>
      <c r="AU22" s="2">
        <v>676923.96831852035</v>
      </c>
      <c r="AV22" s="6">
        <v>578.84</v>
      </c>
      <c r="AW22" s="6">
        <v>0</v>
      </c>
      <c r="AX22" s="6">
        <v>0</v>
      </c>
      <c r="AY22" s="6">
        <v>578.84</v>
      </c>
      <c r="AZ22" s="3">
        <v>28.563194107722701</v>
      </c>
      <c r="BA22">
        <v>5</v>
      </c>
      <c r="BB22">
        <v>0</v>
      </c>
      <c r="BC22">
        <v>0</v>
      </c>
      <c r="BD22">
        <v>5</v>
      </c>
      <c r="BE22" s="2">
        <v>61890.384062510202</v>
      </c>
      <c r="BF22" s="6">
        <v>27.975000000000001</v>
      </c>
      <c r="BG22" s="6">
        <v>0</v>
      </c>
      <c r="BH22" s="6">
        <v>0</v>
      </c>
      <c r="BI22" s="6">
        <v>27.975000000000001</v>
      </c>
      <c r="BJ22" s="3">
        <v>45.264540749227763</v>
      </c>
      <c r="BK22" s="6">
        <v>2238.8150000000001</v>
      </c>
      <c r="BL22" s="6">
        <v>0</v>
      </c>
      <c r="BM22" s="6">
        <v>0</v>
      </c>
      <c r="BN22" s="6">
        <v>2238.8150000000001</v>
      </c>
      <c r="BO22" s="3">
        <v>81.015533547619015</v>
      </c>
      <c r="BP22" s="7">
        <v>50737.114999999998</v>
      </c>
      <c r="BQ22" s="2">
        <v>30.051120064285701</v>
      </c>
      <c r="BR22" s="2">
        <v>130.2215202785714</v>
      </c>
    </row>
    <row r="23" spans="1:70" x14ac:dyDescent="0.3">
      <c r="A23">
        <v>1996</v>
      </c>
      <c r="B23" s="1">
        <v>59632</v>
      </c>
      <c r="C23" s="2">
        <v>5285092.440731138</v>
      </c>
      <c r="D23" s="3">
        <v>88.628461911912026</v>
      </c>
      <c r="E23" s="1">
        <v>35779</v>
      </c>
      <c r="F23" s="4">
        <v>0.67562991815708195</v>
      </c>
      <c r="G23" s="4">
        <v>0.53429478763344052</v>
      </c>
      <c r="H23" s="4">
        <v>0.99984842361590986</v>
      </c>
      <c r="I23" s="4">
        <v>0.71199125386218243</v>
      </c>
      <c r="J23" s="5">
        <v>8.014421814501608</v>
      </c>
      <c r="K23">
        <v>2095</v>
      </c>
      <c r="L23">
        <v>10863</v>
      </c>
      <c r="M23">
        <v>6019</v>
      </c>
      <c r="N23">
        <v>18977</v>
      </c>
      <c r="O23" s="6">
        <v>15712.5</v>
      </c>
      <c r="P23" s="6">
        <v>27157.5</v>
      </c>
      <c r="Q23" s="6">
        <v>7222.8</v>
      </c>
      <c r="R23" s="6">
        <v>50092.800000000003</v>
      </c>
      <c r="S23" s="2">
        <v>10.971666666666669</v>
      </c>
      <c r="T23" s="2">
        <v>7.5853333333333337</v>
      </c>
      <c r="U23" s="2">
        <v>1.260933333333333</v>
      </c>
      <c r="V23" s="2">
        <v>19.817933333333329</v>
      </c>
      <c r="W23">
        <v>53</v>
      </c>
      <c r="X23">
        <v>0</v>
      </c>
      <c r="Y23">
        <v>0</v>
      </c>
      <c r="Z23">
        <v>53</v>
      </c>
      <c r="AA23" s="2">
        <v>3501373.1023413972</v>
      </c>
      <c r="AB23" s="6">
        <v>1272</v>
      </c>
      <c r="AC23" s="6">
        <v>0</v>
      </c>
      <c r="AD23" s="6">
        <v>0</v>
      </c>
      <c r="AE23" s="6">
        <v>1272</v>
      </c>
      <c r="AF23" s="3">
        <v>7.3047812932095963</v>
      </c>
      <c r="AG23">
        <v>53</v>
      </c>
      <c r="AH23">
        <v>0</v>
      </c>
      <c r="AI23">
        <v>0</v>
      </c>
      <c r="AJ23">
        <v>53</v>
      </c>
      <c r="AK23" s="2">
        <v>1001746.708413429</v>
      </c>
      <c r="AL23" s="6">
        <v>419.76</v>
      </c>
      <c r="AM23" s="6">
        <v>0</v>
      </c>
      <c r="AN23" s="6">
        <v>0</v>
      </c>
      <c r="AO23" s="6">
        <v>419.76</v>
      </c>
      <c r="AP23" s="3">
        <v>0.37202242663309543</v>
      </c>
      <c r="AQ23">
        <v>61</v>
      </c>
      <c r="AR23">
        <v>0</v>
      </c>
      <c r="AS23">
        <v>0</v>
      </c>
      <c r="AT23">
        <v>61</v>
      </c>
      <c r="AU23" s="2">
        <v>719764.33731383574</v>
      </c>
      <c r="AV23" s="6">
        <v>541.67999999999995</v>
      </c>
      <c r="AW23" s="6">
        <v>0</v>
      </c>
      <c r="AX23" s="6">
        <v>0</v>
      </c>
      <c r="AY23" s="6">
        <v>541.67999999999995</v>
      </c>
      <c r="AZ23" s="3">
        <v>30.37265592204017</v>
      </c>
      <c r="BA23">
        <v>5</v>
      </c>
      <c r="BB23">
        <v>0</v>
      </c>
      <c r="BC23">
        <v>0</v>
      </c>
      <c r="BD23">
        <v>5</v>
      </c>
      <c r="BE23" s="2">
        <v>62208.292662477441</v>
      </c>
      <c r="BF23" s="6">
        <v>28.65</v>
      </c>
      <c r="BG23" s="6">
        <v>0</v>
      </c>
      <c r="BH23" s="6">
        <v>0</v>
      </c>
      <c r="BI23" s="6">
        <v>28.65</v>
      </c>
      <c r="BJ23" s="3">
        <v>48.017228617301043</v>
      </c>
      <c r="BK23" s="6">
        <v>2262.09</v>
      </c>
      <c r="BL23" s="6">
        <v>0</v>
      </c>
      <c r="BM23" s="6">
        <v>0</v>
      </c>
      <c r="BN23" s="6">
        <v>2262.09</v>
      </c>
      <c r="BO23" s="3">
        <v>86.066688259183906</v>
      </c>
      <c r="BP23" s="7">
        <v>52354.89</v>
      </c>
      <c r="BQ23" s="2">
        <v>31.765386477755172</v>
      </c>
      <c r="BR23" s="2">
        <v>137.65000807027241</v>
      </c>
    </row>
    <row r="24" spans="1:70" x14ac:dyDescent="0.3">
      <c r="A24">
        <v>1997</v>
      </c>
      <c r="B24" s="1">
        <v>59970</v>
      </c>
      <c r="C24" s="2">
        <v>5613905.0599675858</v>
      </c>
      <c r="D24" s="3">
        <v>93.611890277932062</v>
      </c>
      <c r="E24" s="1">
        <v>35982</v>
      </c>
      <c r="F24" s="4">
        <v>0.68387791702301848</v>
      </c>
      <c r="G24" s="4">
        <v>0.5420035257492698</v>
      </c>
      <c r="H24" s="4">
        <v>0.99992821645796892</v>
      </c>
      <c r="I24" s="4">
        <v>0.71831759615207003</v>
      </c>
      <c r="J24" s="5">
        <v>8.1300528862390475</v>
      </c>
      <c r="K24">
        <v>2234</v>
      </c>
      <c r="L24">
        <v>11121</v>
      </c>
      <c r="M24">
        <v>5953</v>
      </c>
      <c r="N24">
        <v>19308</v>
      </c>
      <c r="O24" s="6">
        <v>16755</v>
      </c>
      <c r="P24" s="6">
        <v>27802.5</v>
      </c>
      <c r="Q24" s="6">
        <v>7143.6</v>
      </c>
      <c r="R24" s="6">
        <v>51701.1</v>
      </c>
      <c r="S24" s="2">
        <v>11.565</v>
      </c>
      <c r="T24" s="2">
        <v>7.6753333333333336</v>
      </c>
      <c r="U24" s="2">
        <v>1.232733333333333</v>
      </c>
      <c r="V24" s="2">
        <v>20.473066666666661</v>
      </c>
      <c r="W24">
        <v>54</v>
      </c>
      <c r="X24">
        <v>0</v>
      </c>
      <c r="Y24">
        <v>0</v>
      </c>
      <c r="Z24">
        <v>54</v>
      </c>
      <c r="AA24" s="2">
        <v>3728687.903701616</v>
      </c>
      <c r="AB24" s="6">
        <v>1339.2</v>
      </c>
      <c r="AC24" s="6">
        <v>0</v>
      </c>
      <c r="AD24" s="6">
        <v>0</v>
      </c>
      <c r="AE24" s="6">
        <v>1339.2</v>
      </c>
      <c r="AF24" s="3">
        <v>7.781817194334705</v>
      </c>
      <c r="AG24">
        <v>54</v>
      </c>
      <c r="AH24">
        <v>0</v>
      </c>
      <c r="AI24">
        <v>0</v>
      </c>
      <c r="AJ24">
        <v>54</v>
      </c>
      <c r="AK24" s="2">
        <v>1058363.31518401</v>
      </c>
      <c r="AL24" s="6">
        <v>419.04</v>
      </c>
      <c r="AM24" s="6">
        <v>0</v>
      </c>
      <c r="AN24" s="6">
        <v>0</v>
      </c>
      <c r="AO24" s="6">
        <v>419.04</v>
      </c>
      <c r="AP24" s="3">
        <v>0.3990002029473394</v>
      </c>
      <c r="AQ24">
        <v>64</v>
      </c>
      <c r="AR24">
        <v>0</v>
      </c>
      <c r="AS24">
        <v>0</v>
      </c>
      <c r="AT24">
        <v>64</v>
      </c>
      <c r="AU24" s="2">
        <v>764398.97031694045</v>
      </c>
      <c r="AV24" s="6">
        <v>554.24</v>
      </c>
      <c r="AW24" s="6">
        <v>0</v>
      </c>
      <c r="AX24" s="6">
        <v>0</v>
      </c>
      <c r="AY24" s="6">
        <v>554.24</v>
      </c>
      <c r="AZ24" s="3">
        <v>32.233418973516102</v>
      </c>
      <c r="BA24">
        <v>5</v>
      </c>
      <c r="BB24">
        <v>0</v>
      </c>
      <c r="BC24">
        <v>0</v>
      </c>
      <c r="BD24">
        <v>5</v>
      </c>
      <c r="BE24" s="2">
        <v>62454.870765019798</v>
      </c>
      <c r="BF24" s="6">
        <v>29.55</v>
      </c>
      <c r="BG24" s="6">
        <v>0</v>
      </c>
      <c r="BH24" s="6">
        <v>0</v>
      </c>
      <c r="BI24" s="6">
        <v>29.55</v>
      </c>
      <c r="BJ24" s="3">
        <v>50.843195578218307</v>
      </c>
      <c r="BK24" s="6">
        <v>2342.0300000000002</v>
      </c>
      <c r="BL24" s="6">
        <v>0</v>
      </c>
      <c r="BM24" s="6">
        <v>0</v>
      </c>
      <c r="BN24" s="6">
        <v>2342.0300000000002</v>
      </c>
      <c r="BO24" s="3">
        <v>91.25743194901645</v>
      </c>
      <c r="BP24" s="7">
        <v>54043.13</v>
      </c>
      <c r="BQ24" s="2">
        <v>33.519149584704927</v>
      </c>
      <c r="BR24" s="2">
        <v>145.24964820038801</v>
      </c>
    </row>
    <row r="25" spans="1:70" x14ac:dyDescent="0.3">
      <c r="A25">
        <v>1998</v>
      </c>
      <c r="B25" s="1">
        <v>60294</v>
      </c>
      <c r="C25" s="2">
        <v>5954999.9792888891</v>
      </c>
      <c r="D25" s="3">
        <v>98.766046029271394</v>
      </c>
      <c r="E25" s="1">
        <v>36176</v>
      </c>
      <c r="F25" s="4">
        <v>0.69195822241299532</v>
      </c>
      <c r="G25" s="4">
        <v>0.54926334190544701</v>
      </c>
      <c r="H25" s="4">
        <v>0.99996686564966708</v>
      </c>
      <c r="I25" s="4">
        <v>0.72435039230405263</v>
      </c>
      <c r="J25" s="5">
        <v>8.2389501285817044</v>
      </c>
      <c r="K25">
        <v>2374</v>
      </c>
      <c r="L25">
        <v>11375</v>
      </c>
      <c r="M25">
        <v>5886</v>
      </c>
      <c r="N25">
        <v>19635</v>
      </c>
      <c r="O25" s="6">
        <v>17805</v>
      </c>
      <c r="P25" s="6">
        <v>28437.5</v>
      </c>
      <c r="Q25" s="6">
        <v>7063.2</v>
      </c>
      <c r="R25" s="6">
        <v>53305.7</v>
      </c>
      <c r="S25" s="2">
        <v>12.151666666666671</v>
      </c>
      <c r="T25" s="2">
        <v>7.7617777777777777</v>
      </c>
      <c r="U25" s="2">
        <v>1.204866666666667</v>
      </c>
      <c r="V25" s="2">
        <v>21.118311111111112</v>
      </c>
      <c r="W25">
        <v>56</v>
      </c>
      <c r="X25">
        <v>0</v>
      </c>
      <c r="Y25">
        <v>0</v>
      </c>
      <c r="Z25">
        <v>56</v>
      </c>
      <c r="AA25" s="2">
        <v>3964568.6313728588</v>
      </c>
      <c r="AB25" s="6">
        <v>1360.8</v>
      </c>
      <c r="AC25" s="6">
        <v>0</v>
      </c>
      <c r="AD25" s="6">
        <v>0</v>
      </c>
      <c r="AE25" s="6">
        <v>1360.8</v>
      </c>
      <c r="AF25" s="3">
        <v>8.2732738003269102</v>
      </c>
      <c r="AG25">
        <v>56</v>
      </c>
      <c r="AH25">
        <v>0</v>
      </c>
      <c r="AI25">
        <v>0</v>
      </c>
      <c r="AJ25">
        <v>56</v>
      </c>
      <c r="AK25" s="2">
        <v>1116855.4795394449</v>
      </c>
      <c r="AL25" s="6">
        <v>430.08</v>
      </c>
      <c r="AM25" s="6">
        <v>0</v>
      </c>
      <c r="AN25" s="6">
        <v>0</v>
      </c>
      <c r="AO25" s="6">
        <v>430.08</v>
      </c>
      <c r="AP25" s="3">
        <v>0.42696209842776461</v>
      </c>
      <c r="AQ25">
        <v>67</v>
      </c>
      <c r="AR25">
        <v>0</v>
      </c>
      <c r="AS25">
        <v>0</v>
      </c>
      <c r="AT25">
        <v>67</v>
      </c>
      <c r="AU25" s="2">
        <v>810939.45086826023</v>
      </c>
      <c r="AV25" s="6">
        <v>609.70000000000005</v>
      </c>
      <c r="AW25" s="6">
        <v>0</v>
      </c>
      <c r="AX25" s="6">
        <v>0</v>
      </c>
      <c r="AY25" s="6">
        <v>609.70000000000005</v>
      </c>
      <c r="AZ25" s="3">
        <v>34.147084382129911</v>
      </c>
      <c r="BA25">
        <v>5</v>
      </c>
      <c r="BB25">
        <v>0</v>
      </c>
      <c r="BC25">
        <v>0</v>
      </c>
      <c r="BD25">
        <v>5</v>
      </c>
      <c r="BE25" s="2">
        <v>62636.417508324179</v>
      </c>
      <c r="BF25" s="6">
        <v>28.425000000000001</v>
      </c>
      <c r="BG25" s="6">
        <v>0</v>
      </c>
      <c r="BH25" s="6">
        <v>0</v>
      </c>
      <c r="BI25" s="6">
        <v>28.425000000000001</v>
      </c>
      <c r="BJ25" s="3">
        <v>53.745256334165553</v>
      </c>
      <c r="BK25" s="6">
        <v>2429.0050000000001</v>
      </c>
      <c r="BL25" s="6">
        <v>0</v>
      </c>
      <c r="BM25" s="6">
        <v>0</v>
      </c>
      <c r="BN25" s="6">
        <v>2429.0050000000001</v>
      </c>
      <c r="BO25" s="3">
        <v>96.592576615050135</v>
      </c>
      <c r="BP25" s="7">
        <v>55734.705000000002</v>
      </c>
      <c r="BQ25" s="2">
        <v>35.313266317848367</v>
      </c>
      <c r="BR25" s="2">
        <v>153.02415404400961</v>
      </c>
    </row>
    <row r="26" spans="1:70" x14ac:dyDescent="0.3">
      <c r="A26">
        <v>1999</v>
      </c>
      <c r="B26" s="1">
        <v>60610</v>
      </c>
      <c r="C26" s="2">
        <v>6309238.7140339771</v>
      </c>
      <c r="D26" s="3">
        <v>104.095672562844</v>
      </c>
      <c r="E26" s="1">
        <v>36366</v>
      </c>
      <c r="F26" s="4">
        <v>0.69988077100507884</v>
      </c>
      <c r="G26" s="4">
        <v>0.55610037928167655</v>
      </c>
      <c r="H26" s="4">
        <v>0.99998510322455181</v>
      </c>
      <c r="I26" s="4">
        <v>0.73011330218835202</v>
      </c>
      <c r="J26" s="5">
        <v>8.3415056892251478</v>
      </c>
      <c r="K26">
        <v>2517</v>
      </c>
      <c r="L26">
        <v>11630</v>
      </c>
      <c r="M26">
        <v>5818</v>
      </c>
      <c r="N26">
        <v>19965</v>
      </c>
      <c r="O26" s="6">
        <v>18877.5</v>
      </c>
      <c r="P26" s="6">
        <v>29075</v>
      </c>
      <c r="Q26" s="6">
        <v>6981.6</v>
      </c>
      <c r="R26" s="6">
        <v>54934.1</v>
      </c>
      <c r="S26" s="2">
        <v>12.734999999999999</v>
      </c>
      <c r="T26" s="2">
        <v>7.8457777777777782</v>
      </c>
      <c r="U26" s="2">
        <v>1.1774666666666671</v>
      </c>
      <c r="V26" s="2">
        <v>21.75824444444444</v>
      </c>
      <c r="W26">
        <v>57</v>
      </c>
      <c r="X26">
        <v>0</v>
      </c>
      <c r="Y26">
        <v>0</v>
      </c>
      <c r="Z26">
        <v>57</v>
      </c>
      <c r="AA26" s="2">
        <v>4209559.4175620098</v>
      </c>
      <c r="AB26" s="6">
        <v>1373.7</v>
      </c>
      <c r="AC26" s="6">
        <v>0</v>
      </c>
      <c r="AD26" s="6">
        <v>0</v>
      </c>
      <c r="AE26" s="6">
        <v>1373.7</v>
      </c>
      <c r="AF26" s="3">
        <v>8.7795310355522957</v>
      </c>
      <c r="AG26">
        <v>57</v>
      </c>
      <c r="AH26">
        <v>0</v>
      </c>
      <c r="AI26">
        <v>0</v>
      </c>
      <c r="AJ26">
        <v>57</v>
      </c>
      <c r="AK26" s="2">
        <v>1177385.809440064</v>
      </c>
      <c r="AL26" s="6">
        <v>444.6</v>
      </c>
      <c r="AM26" s="6">
        <v>0</v>
      </c>
      <c r="AN26" s="6">
        <v>0</v>
      </c>
      <c r="AO26" s="6">
        <v>444.6</v>
      </c>
      <c r="AP26" s="3">
        <v>0.45593047144347332</v>
      </c>
      <c r="AQ26">
        <v>70</v>
      </c>
      <c r="AR26">
        <v>1</v>
      </c>
      <c r="AS26">
        <v>0</v>
      </c>
      <c r="AT26">
        <v>71</v>
      </c>
      <c r="AU26" s="2">
        <v>859532.83007462532</v>
      </c>
      <c r="AV26" s="6">
        <v>637</v>
      </c>
      <c r="AW26" s="6">
        <v>128</v>
      </c>
      <c r="AX26" s="6">
        <v>0</v>
      </c>
      <c r="AY26" s="6">
        <v>765</v>
      </c>
      <c r="AZ26" s="3">
        <v>36.115256678020458</v>
      </c>
      <c r="BA26">
        <v>5</v>
      </c>
      <c r="BB26">
        <v>0</v>
      </c>
      <c r="BC26">
        <v>0</v>
      </c>
      <c r="BD26">
        <v>5</v>
      </c>
      <c r="BE26" s="2">
        <v>62760.656957278858</v>
      </c>
      <c r="BF26" s="6">
        <v>29.55</v>
      </c>
      <c r="BG26" s="6">
        <v>0</v>
      </c>
      <c r="BH26" s="6">
        <v>0</v>
      </c>
      <c r="BI26" s="6">
        <v>29.55</v>
      </c>
      <c r="BJ26" s="3">
        <v>56.726177894457329</v>
      </c>
      <c r="BK26" s="6">
        <v>2484.85</v>
      </c>
      <c r="BL26" s="6">
        <v>128</v>
      </c>
      <c r="BM26" s="6">
        <v>0</v>
      </c>
      <c r="BN26" s="6">
        <v>2612.85</v>
      </c>
      <c r="BO26" s="3">
        <v>102.0768960794736</v>
      </c>
      <c r="BP26" s="7">
        <v>57546.95</v>
      </c>
      <c r="BQ26" s="2">
        <v>37.150542157175401</v>
      </c>
      <c r="BR26" s="2">
        <v>160.98568268109341</v>
      </c>
    </row>
    <row r="27" spans="1:70" x14ac:dyDescent="0.3">
      <c r="A27">
        <v>2000</v>
      </c>
      <c r="B27" s="1">
        <v>60921</v>
      </c>
      <c r="C27" s="2">
        <v>7769301.6799662933</v>
      </c>
      <c r="D27" s="3">
        <v>127.53076410377859</v>
      </c>
      <c r="E27" s="1">
        <v>36552</v>
      </c>
      <c r="F27" s="4">
        <v>0.73053480383730052</v>
      </c>
      <c r="G27" s="4">
        <v>0.56253925859739939</v>
      </c>
      <c r="H27" s="4">
        <v>0.9999995569641118</v>
      </c>
      <c r="I27" s="4">
        <v>0.7434718310195656</v>
      </c>
      <c r="J27" s="5">
        <v>8.4380888789609916</v>
      </c>
      <c r="K27">
        <v>2907</v>
      </c>
      <c r="L27">
        <v>12578</v>
      </c>
      <c r="M27">
        <v>5500</v>
      </c>
      <c r="N27">
        <v>20985</v>
      </c>
      <c r="O27" s="6">
        <v>21802.5</v>
      </c>
      <c r="P27" s="6">
        <v>31445</v>
      </c>
      <c r="Q27" s="6">
        <v>6600</v>
      </c>
      <c r="R27" s="6">
        <v>59847.5</v>
      </c>
      <c r="S27" s="2">
        <v>14.06666666666667</v>
      </c>
      <c r="T27" s="2">
        <v>8.1137777777777771</v>
      </c>
      <c r="U27" s="2">
        <v>1.0644666666666669</v>
      </c>
      <c r="V27" s="2">
        <v>23.244911111111112</v>
      </c>
      <c r="W27">
        <v>58</v>
      </c>
      <c r="X27">
        <v>0</v>
      </c>
      <c r="Y27">
        <v>0</v>
      </c>
      <c r="Z27">
        <v>58</v>
      </c>
      <c r="AA27" s="2">
        <v>4463939.4911613939</v>
      </c>
      <c r="AB27" s="6">
        <v>1438.4</v>
      </c>
      <c r="AC27" s="6">
        <v>0</v>
      </c>
      <c r="AD27" s="6">
        <v>0</v>
      </c>
      <c r="AE27" s="6">
        <v>1438.4</v>
      </c>
      <c r="AF27" s="3">
        <v>9.3009698903535956</v>
      </c>
      <c r="AG27">
        <v>58</v>
      </c>
      <c r="AH27">
        <v>0</v>
      </c>
      <c r="AI27">
        <v>0</v>
      </c>
      <c r="AJ27">
        <v>58</v>
      </c>
      <c r="AK27" s="2">
        <v>1240019.8068142971</v>
      </c>
      <c r="AL27" s="6">
        <v>457.04</v>
      </c>
      <c r="AM27" s="6">
        <v>0</v>
      </c>
      <c r="AN27" s="6">
        <v>0</v>
      </c>
      <c r="AO27" s="6">
        <v>457.04</v>
      </c>
      <c r="AP27" s="3">
        <v>0.48592800383910401</v>
      </c>
      <c r="AQ27">
        <v>160</v>
      </c>
      <c r="AR27">
        <v>2</v>
      </c>
      <c r="AS27">
        <v>0</v>
      </c>
      <c r="AT27">
        <v>162</v>
      </c>
      <c r="AU27" s="2">
        <v>2002514.9953577761</v>
      </c>
      <c r="AV27" s="6">
        <v>1456</v>
      </c>
      <c r="AW27" s="6">
        <v>452</v>
      </c>
      <c r="AX27" s="6">
        <v>0</v>
      </c>
      <c r="AY27" s="6">
        <v>1908</v>
      </c>
      <c r="AZ27" s="3">
        <v>38.139523879408998</v>
      </c>
      <c r="BA27">
        <v>5</v>
      </c>
      <c r="BB27">
        <v>0</v>
      </c>
      <c r="BC27">
        <v>0</v>
      </c>
      <c r="BD27">
        <v>5</v>
      </c>
      <c r="BE27" s="2">
        <v>62827.386632826318</v>
      </c>
      <c r="BF27" s="6">
        <v>27.75</v>
      </c>
      <c r="BG27" s="6">
        <v>0</v>
      </c>
      <c r="BH27" s="6">
        <v>0</v>
      </c>
      <c r="BI27" s="6">
        <v>27.75</v>
      </c>
      <c r="BJ27" s="3">
        <v>59.788649412798577</v>
      </c>
      <c r="BK27" s="6">
        <v>3379.19</v>
      </c>
      <c r="BL27" s="6">
        <v>452</v>
      </c>
      <c r="BM27" s="6">
        <v>0</v>
      </c>
      <c r="BN27" s="6">
        <v>3831.19</v>
      </c>
      <c r="BO27" s="3">
        <v>107.71507118640029</v>
      </c>
      <c r="BP27" s="7">
        <v>63678.69</v>
      </c>
      <c r="BQ27" s="2">
        <v>39.287994689253424</v>
      </c>
      <c r="BR27" s="2">
        <v>170.2479769867648</v>
      </c>
    </row>
    <row r="28" spans="1:70" x14ac:dyDescent="0.3">
      <c r="A28">
        <v>2001</v>
      </c>
      <c r="B28" s="1">
        <v>61226</v>
      </c>
      <c r="C28" s="2">
        <v>8367787.5102520362</v>
      </c>
      <c r="D28" s="3">
        <v>136.67049146199389</v>
      </c>
      <c r="E28" s="1">
        <v>36735</v>
      </c>
      <c r="F28" s="4">
        <v>0.74064593119085198</v>
      </c>
      <c r="G28" s="4">
        <v>0.56860316677297651</v>
      </c>
      <c r="H28" s="4">
        <v>0.99999988752938296</v>
      </c>
      <c r="I28" s="4">
        <v>0.74956037914241347</v>
      </c>
      <c r="J28" s="5">
        <v>8.529047501594647</v>
      </c>
      <c r="K28">
        <v>3094</v>
      </c>
      <c r="L28">
        <v>12923</v>
      </c>
      <c r="M28">
        <v>5397</v>
      </c>
      <c r="N28">
        <v>21414</v>
      </c>
      <c r="O28" s="6">
        <v>23205</v>
      </c>
      <c r="P28" s="6">
        <v>32307.5</v>
      </c>
      <c r="Q28" s="6">
        <v>6476.4</v>
      </c>
      <c r="R28" s="6">
        <v>61988.9</v>
      </c>
      <c r="S28" s="2">
        <v>14.744999999999999</v>
      </c>
      <c r="T28" s="2">
        <v>8.2102222222222228</v>
      </c>
      <c r="U28" s="2">
        <v>1.0287333333333331</v>
      </c>
      <c r="V28" s="2">
        <v>23.98395555555555</v>
      </c>
      <c r="W28">
        <v>60</v>
      </c>
      <c r="X28">
        <v>0</v>
      </c>
      <c r="Y28">
        <v>0</v>
      </c>
      <c r="Z28">
        <v>60</v>
      </c>
      <c r="AA28" s="2">
        <v>4795069.1758388337</v>
      </c>
      <c r="AB28" s="6">
        <v>1476</v>
      </c>
      <c r="AC28" s="6">
        <v>0</v>
      </c>
      <c r="AD28" s="6">
        <v>0</v>
      </c>
      <c r="AE28" s="6">
        <v>1476</v>
      </c>
      <c r="AF28" s="3">
        <v>9.8379613575536169</v>
      </c>
      <c r="AG28">
        <v>60</v>
      </c>
      <c r="AH28">
        <v>0</v>
      </c>
      <c r="AI28">
        <v>0</v>
      </c>
      <c r="AJ28">
        <v>60</v>
      </c>
      <c r="AK28" s="2">
        <v>1312914.4888611529</v>
      </c>
      <c r="AL28" s="6">
        <v>468</v>
      </c>
      <c r="AM28" s="6">
        <v>0</v>
      </c>
      <c r="AN28" s="6">
        <v>0</v>
      </c>
      <c r="AO28" s="6">
        <v>468</v>
      </c>
      <c r="AP28" s="3">
        <v>0.49416369832020662</v>
      </c>
      <c r="AQ28">
        <v>174</v>
      </c>
      <c r="AR28">
        <v>3</v>
      </c>
      <c r="AS28">
        <v>0</v>
      </c>
      <c r="AT28">
        <v>177</v>
      </c>
      <c r="AU28" s="2">
        <v>2196091.7414119262</v>
      </c>
      <c r="AV28" s="6">
        <v>1698.24</v>
      </c>
      <c r="AW28" s="6">
        <v>636</v>
      </c>
      <c r="AX28" s="6">
        <v>0</v>
      </c>
      <c r="AY28" s="6">
        <v>2334.2399999999998</v>
      </c>
      <c r="AZ28" s="3">
        <v>43.643437442659689</v>
      </c>
      <c r="BA28">
        <v>5</v>
      </c>
      <c r="BB28">
        <v>0</v>
      </c>
      <c r="BC28">
        <v>0</v>
      </c>
      <c r="BD28">
        <v>5</v>
      </c>
      <c r="BE28" s="2">
        <v>63712.104140123382</v>
      </c>
      <c r="BF28" s="6">
        <v>29.55</v>
      </c>
      <c r="BG28" s="6">
        <v>0</v>
      </c>
      <c r="BH28" s="6">
        <v>0</v>
      </c>
      <c r="BI28" s="6">
        <v>29.55</v>
      </c>
      <c r="BJ28" s="3">
        <v>62.935198310029023</v>
      </c>
      <c r="BK28" s="6">
        <v>3671.79</v>
      </c>
      <c r="BL28" s="6">
        <v>636</v>
      </c>
      <c r="BM28" s="6">
        <v>0</v>
      </c>
      <c r="BN28" s="6">
        <v>4307.79</v>
      </c>
      <c r="BO28" s="3">
        <v>116.9107608085625</v>
      </c>
      <c r="BP28" s="7">
        <v>66296.69</v>
      </c>
      <c r="BQ28" s="2">
        <v>42.268414909235418</v>
      </c>
      <c r="BR28" s="2">
        <v>183.16313127335351</v>
      </c>
    </row>
    <row r="29" spans="1:70" x14ac:dyDescent="0.3">
      <c r="A29">
        <v>2002</v>
      </c>
      <c r="B29" s="1">
        <v>61532</v>
      </c>
      <c r="C29" s="2">
        <v>9006286.7557978909</v>
      </c>
      <c r="D29" s="3">
        <v>146.36752837219481</v>
      </c>
      <c r="E29" s="1">
        <v>36919</v>
      </c>
      <c r="F29" s="4">
        <v>0.75063276694914371</v>
      </c>
      <c r="G29" s="4">
        <v>0.5743139404276465</v>
      </c>
      <c r="H29" s="4">
        <v>0.99999997373764471</v>
      </c>
      <c r="I29" s="4">
        <v>0.75542662663803928</v>
      </c>
      <c r="J29" s="5">
        <v>8.614709106414697</v>
      </c>
      <c r="K29">
        <v>3285</v>
      </c>
      <c r="L29">
        <v>13269</v>
      </c>
      <c r="M29">
        <v>5292</v>
      </c>
      <c r="N29">
        <v>21846</v>
      </c>
      <c r="O29" s="6">
        <v>24637.5</v>
      </c>
      <c r="P29" s="6">
        <v>33172.5</v>
      </c>
      <c r="Q29" s="6">
        <v>6350.4</v>
      </c>
      <c r="R29" s="6">
        <v>64160.4</v>
      </c>
      <c r="S29" s="2">
        <v>15.42166666666667</v>
      </c>
      <c r="T29" s="2">
        <v>8.3051111111111116</v>
      </c>
      <c r="U29" s="2">
        <v>0.9936666666666667</v>
      </c>
      <c r="V29" s="2">
        <v>24.720444444444439</v>
      </c>
      <c r="W29">
        <v>61</v>
      </c>
      <c r="X29">
        <v>0</v>
      </c>
      <c r="Y29">
        <v>0</v>
      </c>
      <c r="Z29">
        <v>61</v>
      </c>
      <c r="AA29" s="2">
        <v>5146779.017590289</v>
      </c>
      <c r="AB29" s="6">
        <v>1500.6</v>
      </c>
      <c r="AC29" s="6">
        <v>0</v>
      </c>
      <c r="AD29" s="6">
        <v>0</v>
      </c>
      <c r="AE29" s="6">
        <v>1500.6</v>
      </c>
      <c r="AF29" s="3">
        <v>10.39089467193028</v>
      </c>
      <c r="AG29">
        <v>61</v>
      </c>
      <c r="AH29">
        <v>0</v>
      </c>
      <c r="AI29">
        <v>0</v>
      </c>
      <c r="AJ29">
        <v>61</v>
      </c>
      <c r="AK29" s="2">
        <v>1390813.5000198551</v>
      </c>
      <c r="AL29" s="6">
        <v>478.24</v>
      </c>
      <c r="AM29" s="6">
        <v>0</v>
      </c>
      <c r="AN29" s="6">
        <v>0</v>
      </c>
      <c r="AO29" s="6">
        <v>478.24</v>
      </c>
      <c r="AP29" s="3">
        <v>0.50315568311705627</v>
      </c>
      <c r="AQ29">
        <v>188</v>
      </c>
      <c r="AR29">
        <v>3</v>
      </c>
      <c r="AS29">
        <v>0</v>
      </c>
      <c r="AT29">
        <v>191</v>
      </c>
      <c r="AU29" s="2">
        <v>2404118.9974305178</v>
      </c>
      <c r="AV29" s="6">
        <v>1752.16</v>
      </c>
      <c r="AW29" s="6">
        <v>594</v>
      </c>
      <c r="AX29" s="6">
        <v>0</v>
      </c>
      <c r="AY29" s="6">
        <v>2346.16</v>
      </c>
      <c r="AZ29" s="3">
        <v>49.083298352167887</v>
      </c>
      <c r="BA29">
        <v>4</v>
      </c>
      <c r="BB29">
        <v>0</v>
      </c>
      <c r="BC29">
        <v>0</v>
      </c>
      <c r="BD29">
        <v>4</v>
      </c>
      <c r="BE29" s="2">
        <v>64575.24075722845</v>
      </c>
      <c r="BF29" s="6">
        <v>22.2</v>
      </c>
      <c r="BG29" s="6">
        <v>0</v>
      </c>
      <c r="BH29" s="6">
        <v>0</v>
      </c>
      <c r="BI29" s="6">
        <v>22.2</v>
      </c>
      <c r="BJ29" s="3">
        <v>66.168436777608491</v>
      </c>
      <c r="BK29" s="6">
        <v>3753.2</v>
      </c>
      <c r="BL29" s="6">
        <v>594</v>
      </c>
      <c r="BM29" s="6">
        <v>0</v>
      </c>
      <c r="BN29" s="6">
        <v>4347.2</v>
      </c>
      <c r="BO29" s="3">
        <v>126.1457854848237</v>
      </c>
      <c r="BP29" s="7">
        <v>68507.600000000006</v>
      </c>
      <c r="BQ29" s="2">
        <v>45.259868978780453</v>
      </c>
      <c r="BR29" s="2">
        <v>196.12609890804859</v>
      </c>
    </row>
    <row r="30" spans="1:70" x14ac:dyDescent="0.3">
      <c r="A30">
        <v>2003</v>
      </c>
      <c r="B30" s="1">
        <v>61839</v>
      </c>
      <c r="C30" s="2">
        <v>9687670.3959304113</v>
      </c>
      <c r="D30" s="3">
        <v>156.65955781837371</v>
      </c>
      <c r="E30" s="1">
        <v>37103</v>
      </c>
      <c r="F30" s="4">
        <v>0.76050586774205597</v>
      </c>
      <c r="G30" s="4">
        <v>0.579692144514942</v>
      </c>
      <c r="H30" s="4">
        <v>0.999999994391226</v>
      </c>
      <c r="I30" s="4">
        <v>0.76108528862845826</v>
      </c>
      <c r="J30" s="5">
        <v>8.6953821677241301</v>
      </c>
      <c r="K30">
        <v>3479</v>
      </c>
      <c r="L30">
        <v>13615</v>
      </c>
      <c r="M30">
        <v>5182</v>
      </c>
      <c r="N30">
        <v>22276</v>
      </c>
      <c r="O30" s="6">
        <v>26092.5</v>
      </c>
      <c r="P30" s="6">
        <v>34037.5</v>
      </c>
      <c r="Q30" s="6">
        <v>6218.4</v>
      </c>
      <c r="R30" s="6">
        <v>66348.399999999994</v>
      </c>
      <c r="S30" s="2">
        <v>16.096666666666671</v>
      </c>
      <c r="T30" s="2">
        <v>8.3984444444444453</v>
      </c>
      <c r="U30" s="2">
        <v>0.95906666666666662</v>
      </c>
      <c r="V30" s="2">
        <v>25.45417777777778</v>
      </c>
      <c r="W30">
        <v>63</v>
      </c>
      <c r="X30">
        <v>0</v>
      </c>
      <c r="Y30">
        <v>0</v>
      </c>
      <c r="Z30">
        <v>63</v>
      </c>
      <c r="AA30" s="2">
        <v>5520159.2502362235</v>
      </c>
      <c r="AB30" s="6">
        <v>1543.5</v>
      </c>
      <c r="AC30" s="6">
        <v>0</v>
      </c>
      <c r="AD30" s="6">
        <v>0</v>
      </c>
      <c r="AE30" s="6">
        <v>1543.5</v>
      </c>
      <c r="AF30" s="3">
        <v>10.960149317992469</v>
      </c>
      <c r="AG30">
        <v>63</v>
      </c>
      <c r="AH30">
        <v>0</v>
      </c>
      <c r="AI30">
        <v>0</v>
      </c>
      <c r="AJ30">
        <v>63</v>
      </c>
      <c r="AK30" s="2">
        <v>1474009.7247573531</v>
      </c>
      <c r="AL30" s="6">
        <v>486.36</v>
      </c>
      <c r="AM30" s="6">
        <v>0</v>
      </c>
      <c r="AN30" s="6">
        <v>0</v>
      </c>
      <c r="AO30" s="6">
        <v>486.36</v>
      </c>
      <c r="AP30" s="3">
        <v>0.51290910275641954</v>
      </c>
      <c r="AQ30">
        <v>203</v>
      </c>
      <c r="AR30">
        <v>4</v>
      </c>
      <c r="AS30">
        <v>0</v>
      </c>
      <c r="AT30">
        <v>207</v>
      </c>
      <c r="AU30" s="2">
        <v>2628089.7317584339</v>
      </c>
      <c r="AV30" s="6">
        <v>2070.6</v>
      </c>
      <c r="AW30" s="6">
        <v>960</v>
      </c>
      <c r="AX30" s="6">
        <v>0</v>
      </c>
      <c r="AY30" s="6">
        <v>3030.6</v>
      </c>
      <c r="AZ30" s="3">
        <v>54.474668283822581</v>
      </c>
      <c r="BA30">
        <v>4</v>
      </c>
      <c r="BB30">
        <v>0</v>
      </c>
      <c r="BC30">
        <v>0</v>
      </c>
      <c r="BD30">
        <v>4</v>
      </c>
      <c r="BE30" s="2">
        <v>65411.689178401037</v>
      </c>
      <c r="BF30" s="6">
        <v>23.28</v>
      </c>
      <c r="BG30" s="6">
        <v>0</v>
      </c>
      <c r="BH30" s="6">
        <v>0</v>
      </c>
      <c r="BI30" s="6">
        <v>23.28</v>
      </c>
      <c r="BJ30" s="3">
        <v>69.490829152997648</v>
      </c>
      <c r="BK30" s="6">
        <v>4123.74</v>
      </c>
      <c r="BL30" s="6">
        <v>960</v>
      </c>
      <c r="BM30" s="6">
        <v>0</v>
      </c>
      <c r="BN30" s="6">
        <v>5083.74</v>
      </c>
      <c r="BO30" s="3">
        <v>135.4385558575691</v>
      </c>
      <c r="BP30" s="7">
        <v>71432.14</v>
      </c>
      <c r="BQ30" s="2">
        <v>48.267820090604062</v>
      </c>
      <c r="BR30" s="2">
        <v>209.1605537259509</v>
      </c>
    </row>
    <row r="31" spans="1:70" x14ac:dyDescent="0.3">
      <c r="A31">
        <v>2004</v>
      </c>
      <c r="B31" s="1">
        <v>62148</v>
      </c>
      <c r="C31" s="2">
        <v>10415181.085508181</v>
      </c>
      <c r="D31" s="3">
        <v>167.58674592115889</v>
      </c>
      <c r="E31" s="1">
        <v>37288</v>
      </c>
      <c r="F31" s="4">
        <v>0.77027443469720325</v>
      </c>
      <c r="G31" s="4">
        <v>0.58475714637873477</v>
      </c>
      <c r="H31" s="4">
        <v>0.99999999891100633</v>
      </c>
      <c r="I31" s="4">
        <v>0.76654973970906148</v>
      </c>
      <c r="J31" s="5">
        <v>8.7713571956810217</v>
      </c>
      <c r="K31">
        <v>3677</v>
      </c>
      <c r="L31">
        <v>13960</v>
      </c>
      <c r="M31">
        <v>5069</v>
      </c>
      <c r="N31">
        <v>22706</v>
      </c>
      <c r="O31" s="6">
        <v>27577.5</v>
      </c>
      <c r="P31" s="6">
        <v>34900</v>
      </c>
      <c r="Q31" s="6">
        <v>6082.8</v>
      </c>
      <c r="R31" s="6">
        <v>68560.3</v>
      </c>
      <c r="S31" s="2">
        <v>16.771666666666668</v>
      </c>
      <c r="T31" s="2">
        <v>8.4906666666666659</v>
      </c>
      <c r="U31" s="2">
        <v>0.92500000000000004</v>
      </c>
      <c r="V31" s="2">
        <v>26.187333333333331</v>
      </c>
      <c r="W31">
        <v>64</v>
      </c>
      <c r="X31">
        <v>0</v>
      </c>
      <c r="Y31">
        <v>0</v>
      </c>
      <c r="Z31">
        <v>64</v>
      </c>
      <c r="AA31" s="2">
        <v>5916509.614098575</v>
      </c>
      <c r="AB31" s="6">
        <v>1542.4</v>
      </c>
      <c r="AC31" s="6">
        <v>0</v>
      </c>
      <c r="AD31" s="6">
        <v>0</v>
      </c>
      <c r="AE31" s="6">
        <v>1542.4</v>
      </c>
      <c r="AF31" s="3">
        <v>11.546106584752399</v>
      </c>
      <c r="AG31">
        <v>64</v>
      </c>
      <c r="AH31">
        <v>0</v>
      </c>
      <c r="AI31">
        <v>0</v>
      </c>
      <c r="AJ31">
        <v>64</v>
      </c>
      <c r="AK31" s="2">
        <v>1562868.0049147489</v>
      </c>
      <c r="AL31" s="6">
        <v>494.08</v>
      </c>
      <c r="AM31" s="6">
        <v>0</v>
      </c>
      <c r="AN31" s="6">
        <v>0</v>
      </c>
      <c r="AO31" s="6">
        <v>494.08</v>
      </c>
      <c r="AP31" s="3">
        <v>0.52342945937871621</v>
      </c>
      <c r="AQ31">
        <v>219</v>
      </c>
      <c r="AR31">
        <v>4</v>
      </c>
      <c r="AS31">
        <v>0</v>
      </c>
      <c r="AT31">
        <v>223</v>
      </c>
      <c r="AU31" s="2">
        <v>2869584.1865372951</v>
      </c>
      <c r="AV31" s="6">
        <v>2041.08</v>
      </c>
      <c r="AW31" s="6">
        <v>736</v>
      </c>
      <c r="AX31" s="6">
        <v>0</v>
      </c>
      <c r="AY31" s="6">
        <v>2777.08</v>
      </c>
      <c r="AZ31" s="3">
        <v>59.832055960487772</v>
      </c>
      <c r="BA31">
        <v>4</v>
      </c>
      <c r="BB31">
        <v>0</v>
      </c>
      <c r="BC31">
        <v>0</v>
      </c>
      <c r="BD31">
        <v>4</v>
      </c>
      <c r="BE31" s="2">
        <v>66219.279957565232</v>
      </c>
      <c r="BF31" s="6">
        <v>22.74</v>
      </c>
      <c r="BG31" s="6">
        <v>0</v>
      </c>
      <c r="BH31" s="6">
        <v>0</v>
      </c>
      <c r="BI31" s="6">
        <v>22.74</v>
      </c>
      <c r="BJ31" s="3">
        <v>72.904798119693609</v>
      </c>
      <c r="BK31" s="6">
        <v>4100.3</v>
      </c>
      <c r="BL31" s="6">
        <v>736</v>
      </c>
      <c r="BM31" s="6">
        <v>0</v>
      </c>
      <c r="BN31" s="6">
        <v>4836.3</v>
      </c>
      <c r="BO31" s="3">
        <v>144.80639012431249</v>
      </c>
      <c r="BP31" s="7">
        <v>73396.600000000006</v>
      </c>
      <c r="BQ31" s="2">
        <v>51.298117037293743</v>
      </c>
      <c r="BR31" s="2">
        <v>222.29184049493949</v>
      </c>
    </row>
    <row r="32" spans="1:70" x14ac:dyDescent="0.3">
      <c r="A32">
        <v>2005</v>
      </c>
      <c r="B32" s="1">
        <v>62458</v>
      </c>
      <c r="C32" s="2">
        <v>11192005.764868069</v>
      </c>
      <c r="D32" s="3">
        <v>179.1925096043432</v>
      </c>
      <c r="E32" s="1">
        <v>37474</v>
      </c>
      <c r="F32" s="4">
        <v>0.77994700735256062</v>
      </c>
      <c r="G32" s="4">
        <v>0.58952718549659289</v>
      </c>
      <c r="H32" s="4">
        <v>0.99999999980902454</v>
      </c>
      <c r="I32" s="4">
        <v>0.77183235059089939</v>
      </c>
      <c r="J32" s="5">
        <v>8.8429077824488935</v>
      </c>
      <c r="K32">
        <v>3877</v>
      </c>
      <c r="L32">
        <v>14303</v>
      </c>
      <c r="M32">
        <v>4952</v>
      </c>
      <c r="N32">
        <v>23132</v>
      </c>
      <c r="O32" s="6">
        <v>29077.5</v>
      </c>
      <c r="P32" s="6">
        <v>35757.5</v>
      </c>
      <c r="Q32" s="6">
        <v>5942.4</v>
      </c>
      <c r="R32" s="6">
        <v>70777.399999999994</v>
      </c>
      <c r="S32" s="2">
        <v>17.446666666666669</v>
      </c>
      <c r="T32" s="2">
        <v>8.5817777777777771</v>
      </c>
      <c r="U32" s="2">
        <v>0.89139999999999997</v>
      </c>
      <c r="V32" s="2">
        <v>26.91984444444444</v>
      </c>
      <c r="W32">
        <v>66</v>
      </c>
      <c r="X32">
        <v>0</v>
      </c>
      <c r="Y32">
        <v>0</v>
      </c>
      <c r="Z32">
        <v>66</v>
      </c>
      <c r="AA32" s="2">
        <v>6337120.9069117894</v>
      </c>
      <c r="AB32" s="6">
        <v>1630.2</v>
      </c>
      <c r="AC32" s="6">
        <v>0</v>
      </c>
      <c r="AD32" s="6">
        <v>0</v>
      </c>
      <c r="AE32" s="6">
        <v>1630.2</v>
      </c>
      <c r="AF32" s="3">
        <v>12.149163180087831</v>
      </c>
      <c r="AG32">
        <v>66</v>
      </c>
      <c r="AH32">
        <v>0</v>
      </c>
      <c r="AI32">
        <v>0</v>
      </c>
      <c r="AJ32">
        <v>66</v>
      </c>
      <c r="AK32" s="2">
        <v>1657748.856657933</v>
      </c>
      <c r="AL32" s="6">
        <v>504.24</v>
      </c>
      <c r="AM32" s="6">
        <v>0</v>
      </c>
      <c r="AN32" s="6">
        <v>0</v>
      </c>
      <c r="AO32" s="6">
        <v>504.24</v>
      </c>
      <c r="AP32" s="3">
        <v>0.53472288789778322</v>
      </c>
      <c r="AQ32">
        <v>236</v>
      </c>
      <c r="AR32">
        <v>5</v>
      </c>
      <c r="AS32">
        <v>0</v>
      </c>
      <c r="AT32">
        <v>241</v>
      </c>
      <c r="AU32" s="2">
        <v>3130141.927856368</v>
      </c>
      <c r="AV32" s="6">
        <v>2303.36</v>
      </c>
      <c r="AW32" s="6">
        <v>1200</v>
      </c>
      <c r="AX32" s="6">
        <v>0</v>
      </c>
      <c r="AY32" s="6">
        <v>3503.36</v>
      </c>
      <c r="AZ32" s="3">
        <v>65.169108596309442</v>
      </c>
      <c r="BA32">
        <v>4</v>
      </c>
      <c r="BB32">
        <v>0</v>
      </c>
      <c r="BC32">
        <v>0</v>
      </c>
      <c r="BD32">
        <v>4</v>
      </c>
      <c r="BE32" s="2">
        <v>66994.073441977816</v>
      </c>
      <c r="BF32" s="6">
        <v>23.28</v>
      </c>
      <c r="BG32" s="6">
        <v>0</v>
      </c>
      <c r="BH32" s="6">
        <v>0</v>
      </c>
      <c r="BI32" s="6">
        <v>23.28</v>
      </c>
      <c r="BJ32" s="3">
        <v>76.41284322789565</v>
      </c>
      <c r="BK32" s="6">
        <v>4461.08</v>
      </c>
      <c r="BL32" s="6">
        <v>1200</v>
      </c>
      <c r="BM32" s="6">
        <v>0</v>
      </c>
      <c r="BN32" s="6">
        <v>5661.08</v>
      </c>
      <c r="BO32" s="3">
        <v>154.26583789219069</v>
      </c>
      <c r="BP32" s="7">
        <v>76438.48</v>
      </c>
      <c r="BQ32" s="2">
        <v>54.355704700990543</v>
      </c>
      <c r="BR32" s="2">
        <v>235.5413870376257</v>
      </c>
    </row>
    <row r="33" spans="1:70" x14ac:dyDescent="0.3">
      <c r="A33">
        <v>2006</v>
      </c>
      <c r="B33" s="1">
        <v>62770</v>
      </c>
      <c r="C33" s="2">
        <v>12021662.45032887</v>
      </c>
      <c r="D33" s="3">
        <v>191.51923610528709</v>
      </c>
      <c r="E33" s="1">
        <v>37662</v>
      </c>
      <c r="F33" s="4">
        <v>0.78952794699853968</v>
      </c>
      <c r="G33" s="4">
        <v>0.59401943916160127</v>
      </c>
      <c r="H33" s="4">
        <v>0.99999999996994182</v>
      </c>
      <c r="I33" s="4">
        <v>0.77694341158595193</v>
      </c>
      <c r="J33" s="5">
        <v>8.9102915874240196</v>
      </c>
      <c r="K33">
        <v>4079</v>
      </c>
      <c r="L33">
        <v>14642</v>
      </c>
      <c r="M33">
        <v>4830</v>
      </c>
      <c r="N33">
        <v>23551</v>
      </c>
      <c r="O33" s="6">
        <v>30592.5</v>
      </c>
      <c r="P33" s="6">
        <v>36605</v>
      </c>
      <c r="Q33" s="6">
        <v>5796</v>
      </c>
      <c r="R33" s="6">
        <v>72993.5</v>
      </c>
      <c r="S33" s="2">
        <v>18.118333333333329</v>
      </c>
      <c r="T33" s="2">
        <v>8.6717777777777769</v>
      </c>
      <c r="U33" s="2">
        <v>0.85826666666666662</v>
      </c>
      <c r="V33" s="2">
        <v>27.648377777777771</v>
      </c>
      <c r="W33">
        <v>67</v>
      </c>
      <c r="X33">
        <v>1</v>
      </c>
      <c r="Y33">
        <v>0</v>
      </c>
      <c r="Z33">
        <v>68</v>
      </c>
      <c r="AA33" s="2">
        <v>6783441.4875499057</v>
      </c>
      <c r="AB33" s="6">
        <v>1628.1</v>
      </c>
      <c r="AC33" s="6">
        <v>241</v>
      </c>
      <c r="AD33" s="6">
        <v>0</v>
      </c>
      <c r="AE33" s="6">
        <v>1869.1</v>
      </c>
      <c r="AF33" s="3">
        <v>12.76969892087244</v>
      </c>
      <c r="AG33">
        <v>67</v>
      </c>
      <c r="AH33">
        <v>1</v>
      </c>
      <c r="AI33">
        <v>0</v>
      </c>
      <c r="AJ33">
        <v>68</v>
      </c>
      <c r="AK33" s="2">
        <v>1759066.711452323</v>
      </c>
      <c r="AL33" s="6">
        <v>514.55999999999995</v>
      </c>
      <c r="AM33" s="6">
        <v>97</v>
      </c>
      <c r="AN33" s="6">
        <v>0</v>
      </c>
      <c r="AO33" s="6">
        <v>611.55999999999995</v>
      </c>
      <c r="AP33" s="3">
        <v>0.54679548316897242</v>
      </c>
      <c r="AQ33">
        <v>255</v>
      </c>
      <c r="AR33">
        <v>5</v>
      </c>
      <c r="AS33">
        <v>0</v>
      </c>
      <c r="AT33">
        <v>260</v>
      </c>
      <c r="AU33" s="2">
        <v>3411420.74572059</v>
      </c>
      <c r="AV33" s="6">
        <v>2432.6999999999998</v>
      </c>
      <c r="AW33" s="6">
        <v>780</v>
      </c>
      <c r="AX33" s="6">
        <v>0</v>
      </c>
      <c r="AY33" s="6">
        <v>3212.7</v>
      </c>
      <c r="AZ33" s="3">
        <v>70.498435624150702</v>
      </c>
      <c r="BA33">
        <v>4</v>
      </c>
      <c r="BB33">
        <v>0</v>
      </c>
      <c r="BC33">
        <v>0</v>
      </c>
      <c r="BD33">
        <v>4</v>
      </c>
      <c r="BE33" s="2">
        <v>67733.505606054139</v>
      </c>
      <c r="BF33" s="6">
        <v>22.56</v>
      </c>
      <c r="BG33" s="6">
        <v>0</v>
      </c>
      <c r="BH33" s="6">
        <v>0</v>
      </c>
      <c r="BI33" s="6">
        <v>22.56</v>
      </c>
      <c r="BJ33" s="3">
        <v>80.017271668355164</v>
      </c>
      <c r="BK33" s="6">
        <v>4597.92</v>
      </c>
      <c r="BL33" s="6">
        <v>1118</v>
      </c>
      <c r="BM33" s="6">
        <v>0</v>
      </c>
      <c r="BN33" s="6">
        <v>5715.92</v>
      </c>
      <c r="BO33" s="3">
        <v>163.83220169654729</v>
      </c>
      <c r="BP33" s="7">
        <v>78709.42</v>
      </c>
      <c r="BQ33" s="2">
        <v>57.444173842297523</v>
      </c>
      <c r="BR33" s="2">
        <v>248.9247533166226</v>
      </c>
    </row>
    <row r="34" spans="1:70" x14ac:dyDescent="0.3">
      <c r="A34">
        <v>2007</v>
      </c>
      <c r="B34" s="1">
        <v>63083</v>
      </c>
      <c r="C34" s="2">
        <v>12906957.38294067</v>
      </c>
      <c r="D34" s="3">
        <v>204.60278336383291</v>
      </c>
      <c r="E34" s="1">
        <v>37849</v>
      </c>
      <c r="F34" s="4">
        <v>0.79901436517776292</v>
      </c>
      <c r="G34" s="4">
        <v>0.59825008433916993</v>
      </c>
      <c r="H34" s="4">
        <v>0.99999999999577682</v>
      </c>
      <c r="I34" s="4">
        <v>0.78189022784932116</v>
      </c>
      <c r="J34" s="5">
        <v>8.9737512650875484</v>
      </c>
      <c r="K34">
        <v>4282</v>
      </c>
      <c r="L34">
        <v>14975</v>
      </c>
      <c r="M34">
        <v>4704</v>
      </c>
      <c r="N34">
        <v>23961</v>
      </c>
      <c r="O34" s="6">
        <v>32115</v>
      </c>
      <c r="P34" s="6">
        <v>37437.5</v>
      </c>
      <c r="Q34" s="6">
        <v>5644.8</v>
      </c>
      <c r="R34" s="6">
        <v>75197.3</v>
      </c>
      <c r="S34" s="2">
        <v>18.79</v>
      </c>
      <c r="T34" s="2">
        <v>8.7608888888888892</v>
      </c>
      <c r="U34" s="2">
        <v>0.8256</v>
      </c>
      <c r="V34" s="2">
        <v>28.37648888888889</v>
      </c>
      <c r="W34">
        <v>69</v>
      </c>
      <c r="X34">
        <v>1</v>
      </c>
      <c r="Y34">
        <v>0</v>
      </c>
      <c r="Z34">
        <v>70</v>
      </c>
      <c r="AA34" s="2">
        <v>7256594.6713661887</v>
      </c>
      <c r="AB34" s="6">
        <v>1669.8</v>
      </c>
      <c r="AC34" s="6">
        <v>240</v>
      </c>
      <c r="AD34" s="6">
        <v>0</v>
      </c>
      <c r="AE34" s="6">
        <v>1909.8</v>
      </c>
      <c r="AF34" s="3">
        <v>13.408117450328721</v>
      </c>
      <c r="AG34">
        <v>69</v>
      </c>
      <c r="AH34">
        <v>1</v>
      </c>
      <c r="AI34">
        <v>0</v>
      </c>
      <c r="AJ34">
        <v>70</v>
      </c>
      <c r="AK34" s="2">
        <v>1867128.4075060331</v>
      </c>
      <c r="AL34" s="6">
        <v>532.67999999999995</v>
      </c>
      <c r="AM34" s="6">
        <v>99</v>
      </c>
      <c r="AN34" s="6">
        <v>0</v>
      </c>
      <c r="AO34" s="6">
        <v>631.67999999999995</v>
      </c>
      <c r="AP34" s="3">
        <v>0.55965412835533268</v>
      </c>
      <c r="AQ34">
        <v>275</v>
      </c>
      <c r="AR34">
        <v>6</v>
      </c>
      <c r="AS34">
        <v>0</v>
      </c>
      <c r="AT34">
        <v>281</v>
      </c>
      <c r="AU34" s="2">
        <v>3714805.9886035142</v>
      </c>
      <c r="AV34" s="6">
        <v>2563</v>
      </c>
      <c r="AW34" s="6">
        <v>852</v>
      </c>
      <c r="AX34" s="6">
        <v>0</v>
      </c>
      <c r="AY34" s="6">
        <v>3415</v>
      </c>
      <c r="AZ34" s="3">
        <v>75.832001904754719</v>
      </c>
      <c r="BA34">
        <v>4</v>
      </c>
      <c r="BB34">
        <v>0</v>
      </c>
      <c r="BC34">
        <v>0</v>
      </c>
      <c r="BD34">
        <v>4</v>
      </c>
      <c r="BE34" s="2">
        <v>68428.31546493221</v>
      </c>
      <c r="BF34" s="6">
        <v>22.92</v>
      </c>
      <c r="BG34" s="6">
        <v>0</v>
      </c>
      <c r="BH34" s="6">
        <v>0</v>
      </c>
      <c r="BI34" s="6">
        <v>22.92</v>
      </c>
      <c r="BJ34" s="3">
        <v>83.720548374091464</v>
      </c>
      <c r="BK34" s="6">
        <v>4788.3999999999996</v>
      </c>
      <c r="BL34" s="6">
        <v>1191</v>
      </c>
      <c r="BM34" s="6">
        <v>0</v>
      </c>
      <c r="BN34" s="6">
        <v>5979.4</v>
      </c>
      <c r="BO34" s="3">
        <v>173.52032185753021</v>
      </c>
      <c r="BP34" s="7">
        <v>81176.7</v>
      </c>
      <c r="BQ34" s="2">
        <v>60.569043223925739</v>
      </c>
      <c r="BR34" s="2">
        <v>262.46585397034488</v>
      </c>
    </row>
    <row r="35" spans="1:70" x14ac:dyDescent="0.3">
      <c r="A35">
        <v>2008</v>
      </c>
      <c r="B35" s="1">
        <v>63398</v>
      </c>
      <c r="C35" s="2">
        <v>13852138.4561741</v>
      </c>
      <c r="D35" s="3">
        <v>218.49488085072241</v>
      </c>
      <c r="E35" s="1">
        <v>38038</v>
      </c>
      <c r="F35" s="4">
        <v>0.80841376691326361</v>
      </c>
      <c r="G35" s="4">
        <v>0.60223435592158336</v>
      </c>
      <c r="H35" s="4">
        <v>0.99999999999947442</v>
      </c>
      <c r="I35" s="4">
        <v>0.78668295902813945</v>
      </c>
      <c r="J35" s="5">
        <v>9.0335153388237508</v>
      </c>
      <c r="K35">
        <v>4486</v>
      </c>
      <c r="L35">
        <v>15301</v>
      </c>
      <c r="M35">
        <v>4572</v>
      </c>
      <c r="N35">
        <v>24359</v>
      </c>
      <c r="O35" s="6">
        <v>33645</v>
      </c>
      <c r="P35" s="6">
        <v>38252.5</v>
      </c>
      <c r="Q35" s="6">
        <v>5486.4</v>
      </c>
      <c r="R35" s="6">
        <v>77383.899999999994</v>
      </c>
      <c r="S35" s="2">
        <v>19.458333333333329</v>
      </c>
      <c r="T35" s="2">
        <v>8.8491111111111103</v>
      </c>
      <c r="U35" s="2">
        <v>0.79333333333333333</v>
      </c>
      <c r="V35" s="2">
        <v>29.100777777777779</v>
      </c>
      <c r="W35">
        <v>70</v>
      </c>
      <c r="X35">
        <v>1</v>
      </c>
      <c r="Y35">
        <v>0</v>
      </c>
      <c r="Z35">
        <v>71</v>
      </c>
      <c r="AA35" s="2">
        <v>7758364.7331060618</v>
      </c>
      <c r="AB35" s="6">
        <v>1701</v>
      </c>
      <c r="AC35" s="6">
        <v>243</v>
      </c>
      <c r="AD35" s="6">
        <v>0</v>
      </c>
      <c r="AE35" s="6">
        <v>1944</v>
      </c>
      <c r="AF35" s="3">
        <v>14.064812207565691</v>
      </c>
      <c r="AG35">
        <v>70</v>
      </c>
      <c r="AH35">
        <v>1</v>
      </c>
      <c r="AI35">
        <v>0</v>
      </c>
      <c r="AJ35">
        <v>71</v>
      </c>
      <c r="AK35" s="2">
        <v>1982460.771701863</v>
      </c>
      <c r="AL35" s="6">
        <v>548.79999999999995</v>
      </c>
      <c r="AM35" s="6">
        <v>95</v>
      </c>
      <c r="AN35" s="6">
        <v>0</v>
      </c>
      <c r="AO35" s="6">
        <v>643.79999999999995</v>
      </c>
      <c r="AP35" s="3">
        <v>0.57330579209335397</v>
      </c>
      <c r="AQ35">
        <v>297</v>
      </c>
      <c r="AR35">
        <v>7</v>
      </c>
      <c r="AS35">
        <v>0</v>
      </c>
      <c r="AT35">
        <v>304</v>
      </c>
      <c r="AU35" s="2">
        <v>4042234.2574528572</v>
      </c>
      <c r="AV35" s="6">
        <v>2768.04</v>
      </c>
      <c r="AW35" s="6">
        <v>1582</v>
      </c>
      <c r="AX35" s="6">
        <v>0</v>
      </c>
      <c r="AY35" s="6">
        <v>4350.04</v>
      </c>
      <c r="AZ35" s="3">
        <v>81.180924598129806</v>
      </c>
      <c r="BA35">
        <v>4</v>
      </c>
      <c r="BB35">
        <v>0</v>
      </c>
      <c r="BC35">
        <v>0</v>
      </c>
      <c r="BD35">
        <v>4</v>
      </c>
      <c r="BE35" s="2">
        <v>69078.693913315117</v>
      </c>
      <c r="BF35" s="6">
        <v>23.46</v>
      </c>
      <c r="BG35" s="6">
        <v>0</v>
      </c>
      <c r="BH35" s="6">
        <v>0</v>
      </c>
      <c r="BI35" s="6">
        <v>23.46</v>
      </c>
      <c r="BJ35" s="3">
        <v>87.525008572154817</v>
      </c>
      <c r="BK35" s="6">
        <v>5041.3</v>
      </c>
      <c r="BL35" s="6">
        <v>1920</v>
      </c>
      <c r="BM35" s="6">
        <v>0</v>
      </c>
      <c r="BN35" s="6">
        <v>6961.3</v>
      </c>
      <c r="BO35" s="3">
        <v>183.3440511699437</v>
      </c>
      <c r="BP35" s="7">
        <v>84345.2</v>
      </c>
      <c r="BQ35" s="2">
        <v>63.733448684316429</v>
      </c>
      <c r="BR35" s="2">
        <v>276.17827763203792</v>
      </c>
    </row>
    <row r="36" spans="1:70" x14ac:dyDescent="0.3">
      <c r="A36">
        <v>2009</v>
      </c>
      <c r="B36" s="1">
        <v>63714</v>
      </c>
      <c r="C36" s="2">
        <v>14860761.168755019</v>
      </c>
      <c r="D36" s="3">
        <v>233.24169207324951</v>
      </c>
      <c r="E36" s="1">
        <v>38228</v>
      </c>
      <c r="F36" s="4">
        <v>0.81772685459621719</v>
      </c>
      <c r="G36" s="4">
        <v>0.6059866015900679</v>
      </c>
      <c r="H36" s="4">
        <v>0.99999999999994249</v>
      </c>
      <c r="I36" s="4">
        <v>0.79132902268021688</v>
      </c>
      <c r="J36" s="5">
        <v>9.0897990238510182</v>
      </c>
      <c r="K36">
        <v>4690</v>
      </c>
      <c r="L36">
        <v>15619</v>
      </c>
      <c r="M36">
        <v>4436</v>
      </c>
      <c r="N36">
        <v>24745</v>
      </c>
      <c r="O36" s="6">
        <v>35175</v>
      </c>
      <c r="P36" s="6">
        <v>39047.5</v>
      </c>
      <c r="Q36" s="6">
        <v>5323.2</v>
      </c>
      <c r="R36" s="6">
        <v>79545.7</v>
      </c>
      <c r="S36" s="2">
        <v>20.125</v>
      </c>
      <c r="T36" s="2">
        <v>8.9366666666666674</v>
      </c>
      <c r="U36" s="2">
        <v>0.76146666666666663</v>
      </c>
      <c r="V36" s="2">
        <v>29.823133333333331</v>
      </c>
      <c r="W36">
        <v>72</v>
      </c>
      <c r="X36">
        <v>1</v>
      </c>
      <c r="Y36">
        <v>0</v>
      </c>
      <c r="Z36">
        <v>73</v>
      </c>
      <c r="AA36" s="2">
        <v>8290213.0192220891</v>
      </c>
      <c r="AB36" s="6">
        <v>1771.2</v>
      </c>
      <c r="AC36" s="6">
        <v>243</v>
      </c>
      <c r="AD36" s="6">
        <v>0</v>
      </c>
      <c r="AE36" s="6">
        <v>2014.2</v>
      </c>
      <c r="AF36" s="3">
        <v>14.740180492914311</v>
      </c>
      <c r="AG36">
        <v>72</v>
      </c>
      <c r="AH36">
        <v>1</v>
      </c>
      <c r="AI36">
        <v>0</v>
      </c>
      <c r="AJ36">
        <v>73</v>
      </c>
      <c r="AK36" s="2">
        <v>2105485.2905164221</v>
      </c>
      <c r="AL36" s="6">
        <v>564.48</v>
      </c>
      <c r="AM36" s="6">
        <v>97</v>
      </c>
      <c r="AN36" s="6">
        <v>0</v>
      </c>
      <c r="AO36" s="6">
        <v>661.48</v>
      </c>
      <c r="AP36" s="3">
        <v>0.58775780620144003</v>
      </c>
      <c r="AQ36">
        <v>320</v>
      </c>
      <c r="AR36">
        <v>8</v>
      </c>
      <c r="AS36">
        <v>0</v>
      </c>
      <c r="AT36">
        <v>328</v>
      </c>
      <c r="AU36" s="2">
        <v>4395384.7636230392</v>
      </c>
      <c r="AV36" s="6">
        <v>3123.2</v>
      </c>
      <c r="AW36" s="6">
        <v>1248</v>
      </c>
      <c r="AX36" s="6">
        <v>0</v>
      </c>
      <c r="AY36" s="6">
        <v>4371.2</v>
      </c>
      <c r="AZ36" s="3">
        <v>86.555646081861909</v>
      </c>
      <c r="BA36">
        <v>4</v>
      </c>
      <c r="BB36">
        <v>0</v>
      </c>
      <c r="BC36">
        <v>0</v>
      </c>
      <c r="BD36">
        <v>4</v>
      </c>
      <c r="BE36" s="2">
        <v>69678.095393468437</v>
      </c>
      <c r="BF36" s="6">
        <v>23.64</v>
      </c>
      <c r="BG36" s="6">
        <v>0</v>
      </c>
      <c r="BH36" s="6">
        <v>0</v>
      </c>
      <c r="BI36" s="6">
        <v>23.64</v>
      </c>
      <c r="BJ36" s="3">
        <v>91.432982863294015</v>
      </c>
      <c r="BK36" s="6">
        <v>5482.52</v>
      </c>
      <c r="BL36" s="6">
        <v>1588</v>
      </c>
      <c r="BM36" s="6">
        <v>0</v>
      </c>
      <c r="BN36" s="6">
        <v>7070.52</v>
      </c>
      <c r="BO36" s="3">
        <v>193.31656724427171</v>
      </c>
      <c r="BP36" s="7">
        <v>86616.22</v>
      </c>
      <c r="BQ36" s="2">
        <v>66.941910173281499</v>
      </c>
      <c r="BR36" s="2">
        <v>290.08161075088651</v>
      </c>
    </row>
    <row r="37" spans="1:70" x14ac:dyDescent="0.3">
      <c r="A37">
        <v>2010</v>
      </c>
      <c r="B37" s="1">
        <v>64032</v>
      </c>
      <c r="C37" s="2">
        <v>15936776.754979391</v>
      </c>
      <c r="D37" s="3">
        <v>248.88769295007791</v>
      </c>
      <c r="E37" s="1">
        <v>38419</v>
      </c>
      <c r="F37" s="4">
        <v>0.82695177048273194</v>
      </c>
      <c r="G37" s="4">
        <v>0.60952033348194179</v>
      </c>
      <c r="H37" s="4">
        <v>0.99999999999999456</v>
      </c>
      <c r="I37" s="4">
        <v>0.79583455676602621</v>
      </c>
      <c r="J37" s="5">
        <v>9.1428050022291263</v>
      </c>
      <c r="K37">
        <v>4893</v>
      </c>
      <c r="L37">
        <v>15926</v>
      </c>
      <c r="M37">
        <v>4295</v>
      </c>
      <c r="N37">
        <v>25114</v>
      </c>
      <c r="O37" s="6">
        <v>36697.5</v>
      </c>
      <c r="P37" s="6">
        <v>39815</v>
      </c>
      <c r="Q37" s="6">
        <v>5154</v>
      </c>
      <c r="R37" s="6">
        <v>81666.5</v>
      </c>
      <c r="S37" s="2">
        <v>20.79</v>
      </c>
      <c r="T37" s="2">
        <v>9.0233333333333334</v>
      </c>
      <c r="U37" s="2">
        <v>0.7301333333333333</v>
      </c>
      <c r="V37" s="2">
        <v>30.543466666666671</v>
      </c>
      <c r="W37">
        <v>74</v>
      </c>
      <c r="X37">
        <v>1</v>
      </c>
      <c r="Y37">
        <v>0</v>
      </c>
      <c r="Z37">
        <v>75</v>
      </c>
      <c r="AA37" s="2">
        <v>8853781.1167068277</v>
      </c>
      <c r="AB37" s="6">
        <v>1776</v>
      </c>
      <c r="AC37" s="6">
        <v>241</v>
      </c>
      <c r="AD37" s="6">
        <v>0</v>
      </c>
      <c r="AE37" s="6">
        <v>2017</v>
      </c>
      <c r="AF37" s="3">
        <v>15.434639760608521</v>
      </c>
      <c r="AG37">
        <v>74</v>
      </c>
      <c r="AH37">
        <v>1</v>
      </c>
      <c r="AI37">
        <v>0</v>
      </c>
      <c r="AJ37">
        <v>75</v>
      </c>
      <c r="AK37" s="2">
        <v>2236683.4127303069</v>
      </c>
      <c r="AL37" s="6">
        <v>577.20000000000005</v>
      </c>
      <c r="AM37" s="6">
        <v>96.5</v>
      </c>
      <c r="AN37" s="6">
        <v>0</v>
      </c>
      <c r="AO37" s="6">
        <v>673.7</v>
      </c>
      <c r="AP37" s="3">
        <v>0.60301819904183573</v>
      </c>
      <c r="AQ37">
        <v>345</v>
      </c>
      <c r="AR37">
        <v>8</v>
      </c>
      <c r="AS37">
        <v>0</v>
      </c>
      <c r="AT37">
        <v>353</v>
      </c>
      <c r="AU37" s="2">
        <v>4776090.8992585</v>
      </c>
      <c r="AV37" s="6">
        <v>2911.8</v>
      </c>
      <c r="AW37" s="6">
        <v>1360</v>
      </c>
      <c r="AX37" s="6">
        <v>0</v>
      </c>
      <c r="AY37" s="6">
        <v>4271.8</v>
      </c>
      <c r="AZ37" s="3">
        <v>91.966117030227551</v>
      </c>
      <c r="BA37">
        <v>4</v>
      </c>
      <c r="BB37">
        <v>0</v>
      </c>
      <c r="BC37">
        <v>0</v>
      </c>
      <c r="BD37">
        <v>4</v>
      </c>
      <c r="BE37" s="2">
        <v>70221.326283752569</v>
      </c>
      <c r="BF37" s="6">
        <v>23.28</v>
      </c>
      <c r="BG37" s="6">
        <v>0</v>
      </c>
      <c r="BH37" s="6">
        <v>0</v>
      </c>
      <c r="BI37" s="6">
        <v>23.28</v>
      </c>
      <c r="BJ37" s="3">
        <v>95.446935387540179</v>
      </c>
      <c r="BK37" s="6">
        <v>5288.28</v>
      </c>
      <c r="BL37" s="6">
        <v>1697.5</v>
      </c>
      <c r="BM37" s="6">
        <v>0</v>
      </c>
      <c r="BN37" s="6">
        <v>6985.78</v>
      </c>
      <c r="BO37" s="3">
        <v>203.45071037741809</v>
      </c>
      <c r="BP37" s="7">
        <v>88652.28</v>
      </c>
      <c r="BQ37" s="2">
        <v>70.198253113225419</v>
      </c>
      <c r="BR37" s="2">
        <v>304.19243015731018</v>
      </c>
    </row>
    <row r="38" spans="1:70" x14ac:dyDescent="0.3">
      <c r="A38">
        <v>2011</v>
      </c>
      <c r="B38" s="1">
        <v>64352</v>
      </c>
      <c r="C38" s="2">
        <v>17056362.197112359</v>
      </c>
      <c r="D38" s="3">
        <v>265.04789590241728</v>
      </c>
      <c r="E38" s="1">
        <v>38611</v>
      </c>
      <c r="F38" s="4">
        <v>0.83567625893837472</v>
      </c>
      <c r="G38" s="4">
        <v>0.61284827684890419</v>
      </c>
      <c r="H38" s="4">
        <v>0.99999999999999956</v>
      </c>
      <c r="I38" s="4">
        <v>0.80007434480643225</v>
      </c>
      <c r="J38" s="5">
        <v>9.1927241527335628</v>
      </c>
      <c r="K38">
        <v>5089</v>
      </c>
      <c r="L38">
        <v>16216</v>
      </c>
      <c r="M38">
        <v>4158</v>
      </c>
      <c r="N38">
        <v>25463</v>
      </c>
      <c r="O38" s="6">
        <v>38167.5</v>
      </c>
      <c r="P38" s="6">
        <v>40540</v>
      </c>
      <c r="Q38" s="6">
        <v>4989.6000000000004</v>
      </c>
      <c r="R38" s="6">
        <v>83697.100000000006</v>
      </c>
      <c r="S38" s="2">
        <v>21.436666666666671</v>
      </c>
      <c r="T38" s="2">
        <v>9.1064444444444437</v>
      </c>
      <c r="U38" s="2">
        <v>0.7006</v>
      </c>
      <c r="V38" s="2">
        <v>31.243711111111111</v>
      </c>
      <c r="W38">
        <v>76</v>
      </c>
      <c r="X38">
        <v>1</v>
      </c>
      <c r="Y38">
        <v>0</v>
      </c>
      <c r="Z38">
        <v>77</v>
      </c>
      <c r="AA38" s="2">
        <v>9450787.9336828254</v>
      </c>
      <c r="AB38" s="6">
        <v>1862</v>
      </c>
      <c r="AC38" s="6">
        <v>247</v>
      </c>
      <c r="AD38" s="6">
        <v>0</v>
      </c>
      <c r="AE38" s="6">
        <v>2109</v>
      </c>
      <c r="AF38" s="3">
        <v>16.14859691546706</v>
      </c>
      <c r="AG38">
        <v>76</v>
      </c>
      <c r="AH38">
        <v>1</v>
      </c>
      <c r="AI38">
        <v>0</v>
      </c>
      <c r="AJ38">
        <v>77</v>
      </c>
      <c r="AK38" s="2">
        <v>2376564.7372130682</v>
      </c>
      <c r="AL38" s="6">
        <v>589.76</v>
      </c>
      <c r="AM38" s="6">
        <v>96.5</v>
      </c>
      <c r="AN38" s="6">
        <v>0</v>
      </c>
      <c r="AO38" s="6">
        <v>686.26</v>
      </c>
      <c r="AP38" s="3">
        <v>0.61909506016422744</v>
      </c>
      <c r="AQ38">
        <v>370</v>
      </c>
      <c r="AR38">
        <v>9</v>
      </c>
      <c r="AS38">
        <v>0</v>
      </c>
      <c r="AT38">
        <v>379</v>
      </c>
      <c r="AU38" s="2">
        <v>5158306.6363100894</v>
      </c>
      <c r="AV38" s="6">
        <v>3285.6</v>
      </c>
      <c r="AW38" s="6">
        <v>2034</v>
      </c>
      <c r="AX38" s="6">
        <v>0</v>
      </c>
      <c r="AY38" s="6">
        <v>5319.6</v>
      </c>
      <c r="AZ38" s="3">
        <v>92.296494263879922</v>
      </c>
      <c r="BA38">
        <v>3</v>
      </c>
      <c r="BB38">
        <v>0</v>
      </c>
      <c r="BC38">
        <v>0</v>
      </c>
      <c r="BD38">
        <v>3</v>
      </c>
      <c r="BE38" s="2">
        <v>70702.889906374607</v>
      </c>
      <c r="BF38" s="6">
        <v>17.190000000000001</v>
      </c>
      <c r="BG38" s="6">
        <v>0</v>
      </c>
      <c r="BH38" s="6">
        <v>0</v>
      </c>
      <c r="BI38" s="6">
        <v>17.190000000000001</v>
      </c>
      <c r="BJ38" s="3">
        <v>99.569204686244944</v>
      </c>
      <c r="BK38" s="6">
        <v>5754.55</v>
      </c>
      <c r="BL38" s="6">
        <v>2377.5</v>
      </c>
      <c r="BM38" s="6">
        <v>0</v>
      </c>
      <c r="BN38" s="6">
        <v>8132.05</v>
      </c>
      <c r="BO38" s="3">
        <v>208.63339092575609</v>
      </c>
      <c r="BP38" s="7">
        <v>91829.15</v>
      </c>
      <c r="BQ38" s="2">
        <v>71.96313061106018</v>
      </c>
      <c r="BR38" s="2">
        <v>311.84023264792751</v>
      </c>
    </row>
    <row r="39" spans="1:70" x14ac:dyDescent="0.3">
      <c r="A39">
        <v>2012</v>
      </c>
      <c r="B39" s="1">
        <v>64673</v>
      </c>
      <c r="C39" s="2">
        <v>18249927.292948689</v>
      </c>
      <c r="D39" s="3">
        <v>282.18773356653759</v>
      </c>
      <c r="E39" s="1">
        <v>38803</v>
      </c>
      <c r="F39" s="4">
        <v>0.8443417100272238</v>
      </c>
      <c r="G39" s="4">
        <v>0.61598241588168634</v>
      </c>
      <c r="H39" s="4">
        <v>1</v>
      </c>
      <c r="I39" s="4">
        <v>0.80419651391607261</v>
      </c>
      <c r="J39" s="5">
        <v>9.2397362382252943</v>
      </c>
      <c r="K39">
        <v>5284</v>
      </c>
      <c r="L39">
        <v>16494</v>
      </c>
      <c r="M39">
        <v>4017</v>
      </c>
      <c r="N39">
        <v>25795</v>
      </c>
      <c r="O39" s="6">
        <v>39630</v>
      </c>
      <c r="P39" s="6">
        <v>41235</v>
      </c>
      <c r="Q39" s="6">
        <v>4820.3999999999996</v>
      </c>
      <c r="R39" s="6">
        <v>85685.4</v>
      </c>
      <c r="S39" s="2">
        <v>22.08</v>
      </c>
      <c r="T39" s="2">
        <v>9.1893333333333338</v>
      </c>
      <c r="U39" s="2">
        <v>0.67146666666666666</v>
      </c>
      <c r="V39" s="2">
        <v>31.940799999999999</v>
      </c>
      <c r="W39">
        <v>78</v>
      </c>
      <c r="X39">
        <v>2</v>
      </c>
      <c r="Y39">
        <v>1</v>
      </c>
      <c r="Z39">
        <v>81</v>
      </c>
      <c r="AA39" s="2">
        <v>10082894.605012931</v>
      </c>
      <c r="AB39" s="6">
        <v>1872</v>
      </c>
      <c r="AC39" s="6">
        <v>492</v>
      </c>
      <c r="AD39" s="6">
        <v>2865</v>
      </c>
      <c r="AE39" s="6">
        <v>5229</v>
      </c>
      <c r="AF39" s="3">
        <v>16.882463983285469</v>
      </c>
      <c r="AG39">
        <v>78</v>
      </c>
      <c r="AH39">
        <v>2</v>
      </c>
      <c r="AI39">
        <v>1</v>
      </c>
      <c r="AJ39">
        <v>81</v>
      </c>
      <c r="AK39" s="2">
        <v>2525623.410629184</v>
      </c>
      <c r="AL39" s="6">
        <v>614.64</v>
      </c>
      <c r="AM39" s="6">
        <v>195</v>
      </c>
      <c r="AN39" s="6">
        <v>1188</v>
      </c>
      <c r="AO39" s="6">
        <v>1997.64</v>
      </c>
      <c r="AP39" s="3">
        <v>0.63599685174985132</v>
      </c>
      <c r="AQ39">
        <v>397</v>
      </c>
      <c r="AR39">
        <v>10</v>
      </c>
      <c r="AS39">
        <v>0</v>
      </c>
      <c r="AT39">
        <v>407</v>
      </c>
      <c r="AU39" s="2">
        <v>5570293.946849836</v>
      </c>
      <c r="AV39" s="6">
        <v>3700.04</v>
      </c>
      <c r="AW39" s="6">
        <v>1700</v>
      </c>
      <c r="AX39" s="6">
        <v>0</v>
      </c>
      <c r="AY39" s="6">
        <v>5400.04</v>
      </c>
      <c r="AZ39" s="3">
        <v>92.89456948564343</v>
      </c>
      <c r="BA39">
        <v>3</v>
      </c>
      <c r="BB39">
        <v>0</v>
      </c>
      <c r="BC39">
        <v>0</v>
      </c>
      <c r="BD39">
        <v>3</v>
      </c>
      <c r="BE39" s="2">
        <v>71115.330456737167</v>
      </c>
      <c r="BF39" s="6">
        <v>16.920000000000002</v>
      </c>
      <c r="BG39" s="6">
        <v>0</v>
      </c>
      <c r="BH39" s="6">
        <v>0</v>
      </c>
      <c r="BI39" s="6">
        <v>16.920000000000002</v>
      </c>
      <c r="BJ39" s="3">
        <v>103.8021415738408</v>
      </c>
      <c r="BK39" s="6">
        <v>6203.6</v>
      </c>
      <c r="BL39" s="6">
        <v>2387</v>
      </c>
      <c r="BM39" s="6">
        <v>4053</v>
      </c>
      <c r="BN39" s="6">
        <v>12643.6</v>
      </c>
      <c r="BO39" s="3">
        <v>214.2151718945195</v>
      </c>
      <c r="BP39" s="7">
        <v>98329</v>
      </c>
      <c r="BQ39" s="2">
        <v>73.846791568355854</v>
      </c>
      <c r="BR39" s="2">
        <v>320.00276346287541</v>
      </c>
    </row>
    <row r="40" spans="1:70" x14ac:dyDescent="0.3">
      <c r="A40">
        <v>2013</v>
      </c>
      <c r="B40" s="1">
        <v>64996</v>
      </c>
      <c r="C40" s="2">
        <v>19522508.14374749</v>
      </c>
      <c r="D40" s="3">
        <v>300.36476311999962</v>
      </c>
      <c r="E40" s="1">
        <v>38997</v>
      </c>
      <c r="F40" s="4">
        <v>0.85294819362528229</v>
      </c>
      <c r="G40" s="4">
        <v>0.6189340368660825</v>
      </c>
      <c r="H40" s="4">
        <v>1</v>
      </c>
      <c r="I40" s="4">
        <v>0.80820650209048961</v>
      </c>
      <c r="J40" s="5">
        <v>9.2840105529912371</v>
      </c>
      <c r="K40">
        <v>5476</v>
      </c>
      <c r="L40">
        <v>16761</v>
      </c>
      <c r="M40">
        <v>3872</v>
      </c>
      <c r="N40">
        <v>26109</v>
      </c>
      <c r="O40" s="6">
        <v>41070</v>
      </c>
      <c r="P40" s="6">
        <v>41902.5</v>
      </c>
      <c r="Q40" s="6">
        <v>4646.3999999999996</v>
      </c>
      <c r="R40" s="6">
        <v>87618.9</v>
      </c>
      <c r="S40" s="2">
        <v>22.721666666666671</v>
      </c>
      <c r="T40" s="2">
        <v>9.2717777777777783</v>
      </c>
      <c r="U40" s="2">
        <v>0.64259999999999995</v>
      </c>
      <c r="V40" s="2">
        <v>32.636044444444437</v>
      </c>
      <c r="W40">
        <v>81</v>
      </c>
      <c r="X40">
        <v>2</v>
      </c>
      <c r="Y40">
        <v>1</v>
      </c>
      <c r="Z40">
        <v>84</v>
      </c>
      <c r="AA40" s="2">
        <v>10752274.134286391</v>
      </c>
      <c r="AB40" s="6">
        <v>1992.6</v>
      </c>
      <c r="AC40" s="6">
        <v>480</v>
      </c>
      <c r="AD40" s="6">
        <v>2880</v>
      </c>
      <c r="AE40" s="6">
        <v>5352.6</v>
      </c>
      <c r="AF40" s="3">
        <v>17.636667316346429</v>
      </c>
      <c r="AG40">
        <v>81</v>
      </c>
      <c r="AH40">
        <v>2</v>
      </c>
      <c r="AI40">
        <v>1</v>
      </c>
      <c r="AJ40">
        <v>84</v>
      </c>
      <c r="AK40" s="2">
        <v>2684519.7274506469</v>
      </c>
      <c r="AL40" s="6">
        <v>635.04</v>
      </c>
      <c r="AM40" s="6">
        <v>193</v>
      </c>
      <c r="AN40" s="6">
        <v>1188</v>
      </c>
      <c r="AO40" s="6">
        <v>2016.04</v>
      </c>
      <c r="AP40" s="3">
        <v>0.65373259561523256</v>
      </c>
      <c r="AQ40">
        <v>426</v>
      </c>
      <c r="AR40">
        <v>11</v>
      </c>
      <c r="AS40">
        <v>0</v>
      </c>
      <c r="AT40">
        <v>437</v>
      </c>
      <c r="AU40" s="2">
        <v>6014258.4651435278</v>
      </c>
      <c r="AV40" s="6">
        <v>3782.88</v>
      </c>
      <c r="AW40" s="6">
        <v>2024</v>
      </c>
      <c r="AX40" s="6">
        <v>0</v>
      </c>
      <c r="AY40" s="6">
        <v>5806.88</v>
      </c>
      <c r="AZ40" s="3">
        <v>93.746525045814238</v>
      </c>
      <c r="BA40">
        <v>3</v>
      </c>
      <c r="BB40">
        <v>0</v>
      </c>
      <c r="BC40">
        <v>0</v>
      </c>
      <c r="BD40">
        <v>3</v>
      </c>
      <c r="BE40" s="2">
        <v>71455.816866936046</v>
      </c>
      <c r="BF40" s="6">
        <v>17.055</v>
      </c>
      <c r="BG40" s="6">
        <v>0</v>
      </c>
      <c r="BH40" s="6">
        <v>0</v>
      </c>
      <c r="BI40" s="6">
        <v>17.055</v>
      </c>
      <c r="BJ40" s="3">
        <v>108.1481871836074</v>
      </c>
      <c r="BK40" s="6">
        <v>6427.5749999999998</v>
      </c>
      <c r="BL40" s="6">
        <v>2697</v>
      </c>
      <c r="BM40" s="6">
        <v>4068</v>
      </c>
      <c r="BN40" s="6">
        <v>13192.575000000001</v>
      </c>
      <c r="BO40" s="3">
        <v>220.18511214138331</v>
      </c>
      <c r="BP40" s="7">
        <v>100811.47500000001</v>
      </c>
      <c r="BQ40" s="2">
        <v>75.846346975748318</v>
      </c>
      <c r="BR40" s="2">
        <v>328.66750356157598</v>
      </c>
    </row>
    <row r="41" spans="1:70" x14ac:dyDescent="0.3">
      <c r="A41">
        <v>2014</v>
      </c>
      <c r="B41" s="1">
        <v>65320</v>
      </c>
      <c r="C41" s="2">
        <v>20878413.253246799</v>
      </c>
      <c r="D41" s="3">
        <v>319.63278097438462</v>
      </c>
      <c r="E41" s="1">
        <v>39192</v>
      </c>
      <c r="F41" s="4">
        <v>0.86149244871752462</v>
      </c>
      <c r="G41" s="4">
        <v>0.62171376882577001</v>
      </c>
      <c r="H41" s="4">
        <v>1</v>
      </c>
      <c r="I41" s="4">
        <v>0.81210837059107543</v>
      </c>
      <c r="J41" s="5">
        <v>9.3257065323865493</v>
      </c>
      <c r="K41">
        <v>5666</v>
      </c>
      <c r="L41">
        <v>17016</v>
      </c>
      <c r="M41">
        <v>3723</v>
      </c>
      <c r="N41">
        <v>26405</v>
      </c>
      <c r="O41" s="6">
        <v>42495</v>
      </c>
      <c r="P41" s="6">
        <v>42540</v>
      </c>
      <c r="Q41" s="6">
        <v>4467.6000000000004</v>
      </c>
      <c r="R41" s="6">
        <v>89502.6</v>
      </c>
      <c r="S41" s="2">
        <v>23.36</v>
      </c>
      <c r="T41" s="2">
        <v>9.3537777777777773</v>
      </c>
      <c r="U41" s="2">
        <v>0.61399999999999999</v>
      </c>
      <c r="V41" s="2">
        <v>33.327777777777783</v>
      </c>
      <c r="W41">
        <v>83</v>
      </c>
      <c r="X41">
        <v>2</v>
      </c>
      <c r="Y41">
        <v>1</v>
      </c>
      <c r="Z41">
        <v>86</v>
      </c>
      <c r="AA41" s="2">
        <v>11460782.08318167</v>
      </c>
      <c r="AB41" s="6">
        <v>2041.8</v>
      </c>
      <c r="AC41" s="6">
        <v>482</v>
      </c>
      <c r="AD41" s="6">
        <v>2925</v>
      </c>
      <c r="AE41" s="6">
        <v>5448.8</v>
      </c>
      <c r="AF41" s="3">
        <v>18.411639801448342</v>
      </c>
      <c r="AG41">
        <v>83</v>
      </c>
      <c r="AH41">
        <v>2</v>
      </c>
      <c r="AI41">
        <v>1</v>
      </c>
      <c r="AJ41">
        <v>86</v>
      </c>
      <c r="AK41" s="2">
        <v>2853816.165786759</v>
      </c>
      <c r="AL41" s="6">
        <v>647.4</v>
      </c>
      <c r="AM41" s="6">
        <v>195</v>
      </c>
      <c r="AN41" s="6">
        <v>1140</v>
      </c>
      <c r="AO41" s="6">
        <v>1982.4</v>
      </c>
      <c r="AP41" s="3">
        <v>0.67231171199849848</v>
      </c>
      <c r="AQ41">
        <v>457</v>
      </c>
      <c r="AR41">
        <v>12</v>
      </c>
      <c r="AS41">
        <v>0</v>
      </c>
      <c r="AT41">
        <v>469</v>
      </c>
      <c r="AU41" s="2">
        <v>6492098.7837171452</v>
      </c>
      <c r="AV41" s="6">
        <v>3857.08</v>
      </c>
      <c r="AW41" s="6">
        <v>1536</v>
      </c>
      <c r="AX41" s="6">
        <v>0</v>
      </c>
      <c r="AY41" s="6">
        <v>5393.08</v>
      </c>
      <c r="AZ41" s="3">
        <v>94.839799248786719</v>
      </c>
      <c r="BA41">
        <v>3</v>
      </c>
      <c r="BB41">
        <v>0</v>
      </c>
      <c r="BC41">
        <v>0</v>
      </c>
      <c r="BD41">
        <v>3</v>
      </c>
      <c r="BE41" s="2">
        <v>71716.220561220383</v>
      </c>
      <c r="BF41" s="6">
        <v>17.594999999999999</v>
      </c>
      <c r="BG41" s="6">
        <v>0</v>
      </c>
      <c r="BH41" s="6">
        <v>0</v>
      </c>
      <c r="BI41" s="6">
        <v>17.594999999999999</v>
      </c>
      <c r="BJ41" s="3">
        <v>112.60980616593579</v>
      </c>
      <c r="BK41" s="6">
        <v>6563.875</v>
      </c>
      <c r="BL41" s="6">
        <v>2213</v>
      </c>
      <c r="BM41" s="6">
        <v>4065</v>
      </c>
      <c r="BN41" s="6">
        <v>12841.875</v>
      </c>
      <c r="BO41" s="3">
        <v>226.5335569281693</v>
      </c>
      <c r="BP41" s="7">
        <v>102344.47500000001</v>
      </c>
      <c r="BQ41" s="2">
        <v>77.958400411784126</v>
      </c>
      <c r="BR41" s="2">
        <v>337.81973511773123</v>
      </c>
    </row>
    <row r="42" spans="1:70" x14ac:dyDescent="0.3">
      <c r="A42">
        <v>2015</v>
      </c>
      <c r="B42" s="1">
        <v>65646</v>
      </c>
      <c r="C42" s="2">
        <v>22322049.22715101</v>
      </c>
      <c r="D42" s="3">
        <v>340.03670028868493</v>
      </c>
      <c r="E42" s="1">
        <v>39387</v>
      </c>
      <c r="F42" s="4">
        <v>0.86996658375091984</v>
      </c>
      <c r="G42" s="4">
        <v>0.62433162179827417</v>
      </c>
      <c r="H42" s="4">
        <v>1</v>
      </c>
      <c r="I42" s="4">
        <v>0.81590444870664058</v>
      </c>
      <c r="J42" s="5">
        <v>9.3649743269741119</v>
      </c>
      <c r="K42">
        <v>5852</v>
      </c>
      <c r="L42">
        <v>17260</v>
      </c>
      <c r="M42">
        <v>3571</v>
      </c>
      <c r="N42">
        <v>26683</v>
      </c>
      <c r="O42" s="6">
        <v>43890</v>
      </c>
      <c r="P42" s="6">
        <v>43150</v>
      </c>
      <c r="Q42" s="6">
        <v>4285.2</v>
      </c>
      <c r="R42" s="6">
        <v>91325.2</v>
      </c>
      <c r="S42" s="2">
        <v>23.99666666666667</v>
      </c>
      <c r="T42" s="2">
        <v>9.4355555555555561</v>
      </c>
      <c r="U42" s="2">
        <v>0.58573333333333333</v>
      </c>
      <c r="V42" s="2">
        <v>34.017955555555552</v>
      </c>
      <c r="W42">
        <v>86</v>
      </c>
      <c r="X42">
        <v>2</v>
      </c>
      <c r="Y42">
        <v>1</v>
      </c>
      <c r="Z42">
        <v>89</v>
      </c>
      <c r="AA42" s="2">
        <v>12210334.484114969</v>
      </c>
      <c r="AB42" s="6">
        <v>2115.6</v>
      </c>
      <c r="AC42" s="6">
        <v>494</v>
      </c>
      <c r="AD42" s="6">
        <v>2970</v>
      </c>
      <c r="AE42" s="6">
        <v>5579.6</v>
      </c>
      <c r="AF42" s="3">
        <v>19.20781184397768</v>
      </c>
      <c r="AG42">
        <v>86</v>
      </c>
      <c r="AH42">
        <v>2</v>
      </c>
      <c r="AI42">
        <v>1</v>
      </c>
      <c r="AJ42">
        <v>89</v>
      </c>
      <c r="AK42" s="2">
        <v>3034099.862895573</v>
      </c>
      <c r="AL42" s="6">
        <v>667.36</v>
      </c>
      <c r="AM42" s="6">
        <v>191</v>
      </c>
      <c r="AN42" s="6">
        <v>1158</v>
      </c>
      <c r="AO42" s="6">
        <v>2016.36</v>
      </c>
      <c r="AP42" s="3">
        <v>0.69174382794304867</v>
      </c>
      <c r="AQ42">
        <v>491</v>
      </c>
      <c r="AR42">
        <v>14</v>
      </c>
      <c r="AS42">
        <v>0</v>
      </c>
      <c r="AT42">
        <v>505</v>
      </c>
      <c r="AU42" s="2">
        <v>7005726.8398571964</v>
      </c>
      <c r="AV42" s="6">
        <v>4468.1000000000004</v>
      </c>
      <c r="AW42" s="6">
        <v>2380</v>
      </c>
      <c r="AX42" s="6">
        <v>0</v>
      </c>
      <c r="AY42" s="6">
        <v>6848.1</v>
      </c>
      <c r="AZ42" s="3">
        <v>96.162945452397423</v>
      </c>
      <c r="BA42">
        <v>3</v>
      </c>
      <c r="BB42">
        <v>0</v>
      </c>
      <c r="BC42">
        <v>0</v>
      </c>
      <c r="BD42">
        <v>3</v>
      </c>
      <c r="BE42" s="2">
        <v>71888.040283270529</v>
      </c>
      <c r="BF42" s="6">
        <v>17.46</v>
      </c>
      <c r="BG42" s="6">
        <v>0</v>
      </c>
      <c r="BH42" s="6">
        <v>0</v>
      </c>
      <c r="BI42" s="6">
        <v>17.46</v>
      </c>
      <c r="BJ42" s="3">
        <v>117.18941247114429</v>
      </c>
      <c r="BK42" s="6">
        <v>7268.52</v>
      </c>
      <c r="BL42" s="6">
        <v>3065</v>
      </c>
      <c r="BM42" s="6">
        <v>4128</v>
      </c>
      <c r="BN42" s="6">
        <v>14461.52</v>
      </c>
      <c r="BO42" s="3">
        <v>233.25191359546241</v>
      </c>
      <c r="BP42" s="7">
        <v>105786.72</v>
      </c>
      <c r="BQ42" s="2">
        <v>80.18096074530537</v>
      </c>
      <c r="BR42" s="2">
        <v>347.45082989632328</v>
      </c>
    </row>
    <row r="43" spans="1:70" x14ac:dyDescent="0.3">
      <c r="A43">
        <v>2016</v>
      </c>
      <c r="B43" s="1">
        <v>65974</v>
      </c>
      <c r="C43" s="2">
        <v>23859143.093855061</v>
      </c>
      <c r="D43" s="3">
        <v>361.64463415671418</v>
      </c>
      <c r="E43" s="1">
        <v>39584</v>
      </c>
      <c r="F43" s="4">
        <v>0.87839828551045329</v>
      </c>
      <c r="G43" s="4">
        <v>0.62679702288191674</v>
      </c>
      <c r="H43" s="4">
        <v>1</v>
      </c>
      <c r="I43" s="4">
        <v>0.81960789813250245</v>
      </c>
      <c r="J43" s="5">
        <v>9.4019553432287513</v>
      </c>
      <c r="K43">
        <v>6036</v>
      </c>
      <c r="L43">
        <v>17492</v>
      </c>
      <c r="M43">
        <v>3417</v>
      </c>
      <c r="N43">
        <v>26945</v>
      </c>
      <c r="O43" s="6">
        <v>45270</v>
      </c>
      <c r="P43" s="6">
        <v>43730</v>
      </c>
      <c r="Q43" s="6">
        <v>4100.3999999999996</v>
      </c>
      <c r="R43" s="6">
        <v>93100.4</v>
      </c>
      <c r="S43" s="2">
        <v>24.631666666666671</v>
      </c>
      <c r="T43" s="2">
        <v>9.5171111111111113</v>
      </c>
      <c r="U43" s="2">
        <v>0.5577333333333333</v>
      </c>
      <c r="V43" s="2">
        <v>34.706511111111112</v>
      </c>
      <c r="W43">
        <v>90</v>
      </c>
      <c r="X43">
        <v>2</v>
      </c>
      <c r="Y43">
        <v>1</v>
      </c>
      <c r="Z43">
        <v>93</v>
      </c>
      <c r="AA43" s="2">
        <v>13003455.14127581</v>
      </c>
      <c r="AB43" s="6">
        <v>2160</v>
      </c>
      <c r="AC43" s="6">
        <v>494</v>
      </c>
      <c r="AD43" s="6">
        <v>2880</v>
      </c>
      <c r="AE43" s="6">
        <v>5534</v>
      </c>
      <c r="AF43" s="3">
        <v>20.025630257095401</v>
      </c>
      <c r="AG43">
        <v>90</v>
      </c>
      <c r="AH43">
        <v>2</v>
      </c>
      <c r="AI43">
        <v>1</v>
      </c>
      <c r="AJ43">
        <v>93</v>
      </c>
      <c r="AK43" s="2">
        <v>3226154.662810415</v>
      </c>
      <c r="AL43" s="6">
        <v>691.2</v>
      </c>
      <c r="AM43" s="6">
        <v>194</v>
      </c>
      <c r="AN43" s="6">
        <v>1182</v>
      </c>
      <c r="AO43" s="6">
        <v>2067.1999999999998</v>
      </c>
      <c r="AP43" s="3">
        <v>0.71203916151634838</v>
      </c>
      <c r="AQ43">
        <v>527</v>
      </c>
      <c r="AR43">
        <v>15</v>
      </c>
      <c r="AS43">
        <v>0</v>
      </c>
      <c r="AT43">
        <v>542</v>
      </c>
      <c r="AU43" s="2">
        <v>7557565.973718876</v>
      </c>
      <c r="AV43" s="6">
        <v>4795.7</v>
      </c>
      <c r="AW43" s="6">
        <v>2550</v>
      </c>
      <c r="AX43" s="6">
        <v>0</v>
      </c>
      <c r="AY43" s="6">
        <v>7345.7</v>
      </c>
      <c r="AZ43" s="3">
        <v>97.705630708813644</v>
      </c>
      <c r="BA43">
        <v>3</v>
      </c>
      <c r="BB43">
        <v>0</v>
      </c>
      <c r="BC43">
        <v>0</v>
      </c>
      <c r="BD43">
        <v>3</v>
      </c>
      <c r="BE43" s="2">
        <v>71967.316049967631</v>
      </c>
      <c r="BF43" s="6">
        <v>17.190000000000001</v>
      </c>
      <c r="BG43" s="6">
        <v>0</v>
      </c>
      <c r="BH43" s="6">
        <v>0</v>
      </c>
      <c r="BI43" s="6">
        <v>17.190000000000001</v>
      </c>
      <c r="BJ43" s="3">
        <v>121.8895305886663</v>
      </c>
      <c r="BK43" s="6">
        <v>7664.09</v>
      </c>
      <c r="BL43" s="6">
        <v>3238</v>
      </c>
      <c r="BM43" s="6">
        <v>4062</v>
      </c>
      <c r="BN43" s="6">
        <v>14964.09</v>
      </c>
      <c r="BO43" s="3">
        <v>240.33283071609171</v>
      </c>
      <c r="BP43" s="7">
        <v>108064.49</v>
      </c>
      <c r="BQ43" s="2">
        <v>82.511802548160844</v>
      </c>
      <c r="BR43" s="2">
        <v>357.55114437536372</v>
      </c>
    </row>
    <row r="44" spans="1:70" x14ac:dyDescent="0.3">
      <c r="A44">
        <v>2017</v>
      </c>
      <c r="B44" s="1">
        <v>66303</v>
      </c>
      <c r="C44" s="2">
        <v>25494052.072160989</v>
      </c>
      <c r="D44" s="3">
        <v>384.50827371553311</v>
      </c>
      <c r="E44" s="1">
        <v>39781</v>
      </c>
      <c r="F44" s="4">
        <v>0.88675834803871378</v>
      </c>
      <c r="G44" s="4">
        <v>0.62911885018355151</v>
      </c>
      <c r="H44" s="4">
        <v>1</v>
      </c>
      <c r="I44" s="4">
        <v>0.82321383621139987</v>
      </c>
      <c r="J44" s="5">
        <v>9.4367827527532722</v>
      </c>
      <c r="K44">
        <v>6216</v>
      </c>
      <c r="L44">
        <v>17712</v>
      </c>
      <c r="M44">
        <v>3260</v>
      </c>
      <c r="N44">
        <v>27188</v>
      </c>
      <c r="O44" s="6">
        <v>46620</v>
      </c>
      <c r="P44" s="6">
        <v>44280</v>
      </c>
      <c r="Q44" s="6">
        <v>3912</v>
      </c>
      <c r="R44" s="6">
        <v>94812</v>
      </c>
      <c r="S44" s="2">
        <v>25.265000000000001</v>
      </c>
      <c r="T44" s="2">
        <v>9.5982222222222227</v>
      </c>
      <c r="U44" s="2">
        <v>0.53006666666666669</v>
      </c>
      <c r="V44" s="2">
        <v>35.39328888888889</v>
      </c>
      <c r="W44">
        <v>93</v>
      </c>
      <c r="X44">
        <v>3</v>
      </c>
      <c r="Y44">
        <v>1</v>
      </c>
      <c r="Z44">
        <v>97</v>
      </c>
      <c r="AA44" s="2">
        <v>13842093.964306271</v>
      </c>
      <c r="AB44" s="6">
        <v>2287.8000000000002</v>
      </c>
      <c r="AC44" s="6">
        <v>726</v>
      </c>
      <c r="AD44" s="6">
        <v>2880</v>
      </c>
      <c r="AE44" s="6">
        <v>5893.8</v>
      </c>
      <c r="AF44" s="3">
        <v>20.86554952822231</v>
      </c>
      <c r="AG44">
        <v>93</v>
      </c>
      <c r="AH44">
        <v>3</v>
      </c>
      <c r="AI44">
        <v>1</v>
      </c>
      <c r="AJ44">
        <v>97</v>
      </c>
      <c r="AK44" s="2">
        <v>3430588.4124187999</v>
      </c>
      <c r="AL44" s="6">
        <v>725.4</v>
      </c>
      <c r="AM44" s="6">
        <v>289.5</v>
      </c>
      <c r="AN44" s="6">
        <v>1140</v>
      </c>
      <c r="AO44" s="6">
        <v>2154.9</v>
      </c>
      <c r="AP44" s="3">
        <v>0.73320834264070445</v>
      </c>
      <c r="AQ44">
        <v>566</v>
      </c>
      <c r="AR44">
        <v>16</v>
      </c>
      <c r="AS44">
        <v>0</v>
      </c>
      <c r="AT44">
        <v>582</v>
      </c>
      <c r="AU44" s="2">
        <v>8149426.5997846052</v>
      </c>
      <c r="AV44" s="6">
        <v>5026.08</v>
      </c>
      <c r="AW44" s="6">
        <v>2944</v>
      </c>
      <c r="AX44" s="6">
        <v>0</v>
      </c>
      <c r="AY44" s="6">
        <v>7970.08</v>
      </c>
      <c r="AZ44" s="3">
        <v>99.458510345324029</v>
      </c>
      <c r="BA44">
        <v>3</v>
      </c>
      <c r="BB44">
        <v>0</v>
      </c>
      <c r="BC44">
        <v>0</v>
      </c>
      <c r="BD44">
        <v>3</v>
      </c>
      <c r="BE44" s="2">
        <v>71943.095651315205</v>
      </c>
      <c r="BF44" s="6">
        <v>17.594999999999999</v>
      </c>
      <c r="BG44" s="6">
        <v>0</v>
      </c>
      <c r="BH44" s="6">
        <v>0</v>
      </c>
      <c r="BI44" s="6">
        <v>17.594999999999999</v>
      </c>
      <c r="BJ44" s="3">
        <v>126.7127199177383</v>
      </c>
      <c r="BK44" s="6">
        <v>8056.875</v>
      </c>
      <c r="BL44" s="6">
        <v>3959.5</v>
      </c>
      <c r="BM44" s="6">
        <v>4020</v>
      </c>
      <c r="BN44" s="6">
        <v>16036.375</v>
      </c>
      <c r="BO44" s="3">
        <v>247.7699881339253</v>
      </c>
      <c r="BP44" s="7">
        <v>110848.375</v>
      </c>
      <c r="BQ44" s="2">
        <v>84.948983106844267</v>
      </c>
      <c r="BR44" s="2">
        <v>368.11226012965852</v>
      </c>
    </row>
    <row r="45" spans="1:70" x14ac:dyDescent="0.3">
      <c r="A45">
        <v>2018</v>
      </c>
      <c r="B45" s="1">
        <v>66634</v>
      </c>
      <c r="C45" s="2">
        <v>27232945.676032219</v>
      </c>
      <c r="D45" s="3">
        <v>408.6944454187385</v>
      </c>
      <c r="E45" s="1">
        <v>39980</v>
      </c>
      <c r="F45" s="4">
        <v>0.89504691346065302</v>
      </c>
      <c r="G45" s="4">
        <v>0.6313054647893388</v>
      </c>
      <c r="H45" s="4">
        <v>1</v>
      </c>
      <c r="I45" s="4">
        <v>0.82672635509921422</v>
      </c>
      <c r="J45" s="5">
        <v>9.469581971840082</v>
      </c>
      <c r="K45">
        <v>6393</v>
      </c>
      <c r="L45">
        <v>17922</v>
      </c>
      <c r="M45">
        <v>3102</v>
      </c>
      <c r="N45">
        <v>27417</v>
      </c>
      <c r="O45" s="6">
        <v>47947.5</v>
      </c>
      <c r="P45" s="6">
        <v>44805</v>
      </c>
      <c r="Q45" s="6">
        <v>3722.4</v>
      </c>
      <c r="R45" s="6">
        <v>96474.9</v>
      </c>
      <c r="S45" s="2">
        <v>25.895</v>
      </c>
      <c r="T45" s="2">
        <v>9.6791111111111103</v>
      </c>
      <c r="U45" s="2">
        <v>0.50266666666666671</v>
      </c>
      <c r="V45" s="2">
        <v>36.076777777777778</v>
      </c>
      <c r="W45">
        <v>97</v>
      </c>
      <c r="X45">
        <v>3</v>
      </c>
      <c r="Y45">
        <v>1</v>
      </c>
      <c r="Z45">
        <v>101</v>
      </c>
      <c r="AA45" s="2">
        <v>14729036.02172317</v>
      </c>
      <c r="AB45" s="6">
        <v>2337.6999999999998</v>
      </c>
      <c r="AC45" s="6">
        <v>738</v>
      </c>
      <c r="AD45" s="6">
        <v>2910</v>
      </c>
      <c r="AE45" s="6">
        <v>5985.7</v>
      </c>
      <c r="AF45" s="3">
        <v>21.728021795019728</v>
      </c>
      <c r="AG45">
        <v>97</v>
      </c>
      <c r="AH45">
        <v>3</v>
      </c>
      <c r="AI45">
        <v>1</v>
      </c>
      <c r="AJ45">
        <v>101</v>
      </c>
      <c r="AK45" s="2">
        <v>3648279.621374364</v>
      </c>
      <c r="AL45" s="6">
        <v>748.84</v>
      </c>
      <c r="AM45" s="6">
        <v>294</v>
      </c>
      <c r="AN45" s="6">
        <v>1164</v>
      </c>
      <c r="AO45" s="6">
        <v>2206.84</v>
      </c>
      <c r="AP45" s="3">
        <v>0.75526220149670742</v>
      </c>
      <c r="AQ45">
        <v>608</v>
      </c>
      <c r="AR45">
        <v>18</v>
      </c>
      <c r="AS45">
        <v>0</v>
      </c>
      <c r="AT45">
        <v>626</v>
      </c>
      <c r="AU45" s="2">
        <v>8783819.5266615693</v>
      </c>
      <c r="AV45" s="6">
        <v>5131.5200000000004</v>
      </c>
      <c r="AW45" s="6">
        <v>3816</v>
      </c>
      <c r="AX45" s="6">
        <v>0</v>
      </c>
      <c r="AY45" s="6">
        <v>8947.52</v>
      </c>
      <c r="AZ45" s="3">
        <v>101.41310407312361</v>
      </c>
      <c r="BA45">
        <v>3</v>
      </c>
      <c r="BB45">
        <v>0</v>
      </c>
      <c r="BC45">
        <v>0</v>
      </c>
      <c r="BD45">
        <v>3</v>
      </c>
      <c r="BE45" s="2">
        <v>71810.506273118983</v>
      </c>
      <c r="BF45" s="6">
        <v>17.73</v>
      </c>
      <c r="BG45" s="6">
        <v>0</v>
      </c>
      <c r="BH45" s="6">
        <v>0</v>
      </c>
      <c r="BI45" s="6">
        <v>17.73</v>
      </c>
      <c r="BJ45" s="3">
        <v>131.6614915800541</v>
      </c>
      <c r="BK45" s="6">
        <v>8235.7900000000009</v>
      </c>
      <c r="BL45" s="6">
        <v>4848</v>
      </c>
      <c r="BM45" s="6">
        <v>4074</v>
      </c>
      <c r="BN45" s="6">
        <v>17157.79</v>
      </c>
      <c r="BO45" s="3">
        <v>255.55787964969409</v>
      </c>
      <c r="BP45" s="7">
        <v>113632.69</v>
      </c>
      <c r="BQ45" s="2">
        <v>87.490397228241562</v>
      </c>
      <c r="BR45" s="2">
        <v>379.12505465571348</v>
      </c>
    </row>
    <row r="46" spans="1:70" x14ac:dyDescent="0.3">
      <c r="A46">
        <v>2019</v>
      </c>
      <c r="B46" s="1">
        <v>66967</v>
      </c>
      <c r="C46" s="2">
        <v>29080894.01465692</v>
      </c>
      <c r="D46" s="3">
        <v>434.25708206515031</v>
      </c>
      <c r="E46" s="1">
        <v>40180</v>
      </c>
      <c r="F46" s="4">
        <v>0.9032586628804411</v>
      </c>
      <c r="G46" s="4">
        <v>0.63336474087368644</v>
      </c>
      <c r="H46" s="4">
        <v>1</v>
      </c>
      <c r="I46" s="4">
        <v>0.83014764342937775</v>
      </c>
      <c r="J46" s="5">
        <v>9.5004711131052968</v>
      </c>
      <c r="K46">
        <v>6566</v>
      </c>
      <c r="L46">
        <v>18122</v>
      </c>
      <c r="M46">
        <v>2944</v>
      </c>
      <c r="N46">
        <v>27632</v>
      </c>
      <c r="O46" s="6">
        <v>49245</v>
      </c>
      <c r="P46" s="6">
        <v>45305</v>
      </c>
      <c r="Q46" s="6">
        <v>3532.8</v>
      </c>
      <c r="R46" s="6">
        <v>98082.8</v>
      </c>
      <c r="S46" s="2">
        <v>26.521666666666668</v>
      </c>
      <c r="T46" s="2">
        <v>9.759555555555556</v>
      </c>
      <c r="U46" s="2">
        <v>0.47560000000000002</v>
      </c>
      <c r="V46" s="2">
        <v>36.756822222222233</v>
      </c>
      <c r="W46">
        <v>101</v>
      </c>
      <c r="X46">
        <v>3</v>
      </c>
      <c r="Y46">
        <v>1</v>
      </c>
      <c r="Z46">
        <v>105</v>
      </c>
      <c r="AA46" s="2">
        <v>15666637.33276372</v>
      </c>
      <c r="AB46" s="6">
        <v>2484.6</v>
      </c>
      <c r="AC46" s="6">
        <v>729</v>
      </c>
      <c r="AD46" s="6">
        <v>2940</v>
      </c>
      <c r="AE46" s="6">
        <v>6153.6</v>
      </c>
      <c r="AF46" s="3">
        <v>22.613517610151121</v>
      </c>
      <c r="AG46">
        <v>101</v>
      </c>
      <c r="AH46">
        <v>3</v>
      </c>
      <c r="AI46">
        <v>1</v>
      </c>
      <c r="AJ46">
        <v>105</v>
      </c>
      <c r="AK46" s="2">
        <v>3879977.68827092</v>
      </c>
      <c r="AL46" s="6">
        <v>791.84</v>
      </c>
      <c r="AM46" s="6">
        <v>297</v>
      </c>
      <c r="AN46" s="6">
        <v>1176</v>
      </c>
      <c r="AO46" s="6">
        <v>2264.84</v>
      </c>
      <c r="AP46" s="3">
        <v>0.77821219217748483</v>
      </c>
      <c r="AQ46">
        <v>653</v>
      </c>
      <c r="AR46">
        <v>19</v>
      </c>
      <c r="AS46">
        <v>0</v>
      </c>
      <c r="AT46">
        <v>672</v>
      </c>
      <c r="AU46" s="2">
        <v>9462719.706302749</v>
      </c>
      <c r="AV46" s="6">
        <v>6085.96</v>
      </c>
      <c r="AW46" s="6">
        <v>4560</v>
      </c>
      <c r="AX46" s="6">
        <v>0</v>
      </c>
      <c r="AY46" s="6">
        <v>10645.96</v>
      </c>
      <c r="AZ46" s="3">
        <v>103.56182351055141</v>
      </c>
      <c r="BA46">
        <v>3</v>
      </c>
      <c r="BB46">
        <v>0</v>
      </c>
      <c r="BC46">
        <v>0</v>
      </c>
      <c r="BD46">
        <v>3</v>
      </c>
      <c r="BE46" s="2">
        <v>71559.287319532334</v>
      </c>
      <c r="BF46" s="6">
        <v>16.649999999999999</v>
      </c>
      <c r="BG46" s="6">
        <v>0</v>
      </c>
      <c r="BH46" s="6">
        <v>0</v>
      </c>
      <c r="BI46" s="6">
        <v>16.649999999999999</v>
      </c>
      <c r="BJ46" s="3">
        <v>136.73848511232021</v>
      </c>
      <c r="BK46" s="6">
        <v>9379.0499999999993</v>
      </c>
      <c r="BL46" s="6">
        <v>5586</v>
      </c>
      <c r="BM46" s="6">
        <v>4116</v>
      </c>
      <c r="BN46" s="6">
        <v>19081.05</v>
      </c>
      <c r="BO46" s="3">
        <v>263.69203842520022</v>
      </c>
      <c r="BP46" s="7">
        <v>117163.85</v>
      </c>
      <c r="BQ46" s="2">
        <v>90.134658194226716</v>
      </c>
      <c r="BR46" s="2">
        <v>390.58351884164921</v>
      </c>
    </row>
    <row r="47" spans="1:70" x14ac:dyDescent="0.3">
      <c r="A47">
        <v>2020</v>
      </c>
      <c r="B47" s="1">
        <v>67301</v>
      </c>
      <c r="C47" s="2">
        <v>31042990.026077021</v>
      </c>
      <c r="D47" s="3">
        <v>461.25599955538581</v>
      </c>
      <c r="E47" s="1">
        <v>40380</v>
      </c>
      <c r="F47" s="4">
        <v>0.91139065642183259</v>
      </c>
      <c r="G47" s="4">
        <v>0.63530409405478339</v>
      </c>
      <c r="H47" s="4">
        <v>1</v>
      </c>
      <c r="I47" s="4">
        <v>0.83348043293594809</v>
      </c>
      <c r="J47" s="5">
        <v>9.529561410821751</v>
      </c>
      <c r="K47">
        <v>6736</v>
      </c>
      <c r="L47">
        <v>18313</v>
      </c>
      <c r="M47">
        <v>2785</v>
      </c>
      <c r="N47">
        <v>27834</v>
      </c>
      <c r="O47" s="6">
        <v>50520</v>
      </c>
      <c r="P47" s="6">
        <v>45782.5</v>
      </c>
      <c r="Q47" s="6">
        <v>3342</v>
      </c>
      <c r="R47" s="6">
        <v>99644.5</v>
      </c>
      <c r="S47" s="2">
        <v>27.145</v>
      </c>
      <c r="T47" s="2">
        <v>9.8395555555555561</v>
      </c>
      <c r="U47" s="2">
        <v>0.44893333333333341</v>
      </c>
      <c r="V47" s="2">
        <v>37.433488888888903</v>
      </c>
      <c r="W47">
        <v>106</v>
      </c>
      <c r="X47">
        <v>3</v>
      </c>
      <c r="Y47">
        <v>1</v>
      </c>
      <c r="Z47">
        <v>110</v>
      </c>
      <c r="AA47" s="2">
        <v>16657333.94036766</v>
      </c>
      <c r="AB47" s="6">
        <v>2607.6</v>
      </c>
      <c r="AC47" s="6">
        <v>738</v>
      </c>
      <c r="AD47" s="6">
        <v>2970</v>
      </c>
      <c r="AE47" s="6">
        <v>6315.6</v>
      </c>
      <c r="AF47" s="3">
        <v>23.522516187797471</v>
      </c>
      <c r="AG47">
        <v>106</v>
      </c>
      <c r="AH47">
        <v>3</v>
      </c>
      <c r="AI47">
        <v>1</v>
      </c>
      <c r="AJ47">
        <v>110</v>
      </c>
      <c r="AK47" s="2">
        <v>4126465.0664901058</v>
      </c>
      <c r="AL47" s="6">
        <v>839.52</v>
      </c>
      <c r="AM47" s="6">
        <v>289.5</v>
      </c>
      <c r="AN47" s="6">
        <v>1182</v>
      </c>
      <c r="AO47" s="6">
        <v>2311.02</v>
      </c>
      <c r="AP47" s="3">
        <v>0.80207019379248157</v>
      </c>
      <c r="AQ47">
        <v>700</v>
      </c>
      <c r="AR47">
        <v>21</v>
      </c>
      <c r="AS47">
        <v>0</v>
      </c>
      <c r="AT47">
        <v>721</v>
      </c>
      <c r="AU47" s="2">
        <v>10188012.319621131</v>
      </c>
      <c r="AV47" s="6">
        <v>6216</v>
      </c>
      <c r="AW47" s="6">
        <v>2688</v>
      </c>
      <c r="AX47" s="6">
        <v>0</v>
      </c>
      <c r="AY47" s="6">
        <v>8904</v>
      </c>
      <c r="AZ47" s="3">
        <v>105.8978602902796</v>
      </c>
      <c r="BA47">
        <v>3</v>
      </c>
      <c r="BB47">
        <v>0</v>
      </c>
      <c r="BC47">
        <v>0</v>
      </c>
      <c r="BD47">
        <v>3</v>
      </c>
      <c r="BE47" s="2">
        <v>71178.699598127816</v>
      </c>
      <c r="BF47" s="6">
        <v>16.920000000000002</v>
      </c>
      <c r="BG47" s="6">
        <v>0</v>
      </c>
      <c r="BH47" s="6">
        <v>0</v>
      </c>
      <c r="BI47" s="6">
        <v>16.920000000000002</v>
      </c>
      <c r="BJ47" s="3">
        <v>141.94638355321669</v>
      </c>
      <c r="BK47" s="6">
        <v>9680.0400000000009</v>
      </c>
      <c r="BL47" s="6">
        <v>3715.5</v>
      </c>
      <c r="BM47" s="6">
        <v>4152</v>
      </c>
      <c r="BN47" s="6">
        <v>17547.54</v>
      </c>
      <c r="BO47" s="3">
        <v>272.16883022508631</v>
      </c>
      <c r="BP47" s="7">
        <v>117192.04</v>
      </c>
      <c r="BQ47" s="2">
        <v>92.880695734192543</v>
      </c>
      <c r="BR47" s="2">
        <v>402.48301484816773</v>
      </c>
    </row>
    <row r="48" spans="1:70" x14ac:dyDescent="0.3">
      <c r="A48">
        <v>2021</v>
      </c>
      <c r="B48" s="1">
        <v>67637</v>
      </c>
      <c r="C48" s="2">
        <v>33125986.662200421</v>
      </c>
      <c r="D48" s="3">
        <v>489.76132386416339</v>
      </c>
      <c r="E48" s="1">
        <v>40582</v>
      </c>
      <c r="F48" s="4">
        <v>0.91944322054082628</v>
      </c>
      <c r="G48" s="4">
        <v>0.63713050809883431</v>
      </c>
      <c r="H48" s="4">
        <v>1</v>
      </c>
      <c r="I48" s="4">
        <v>0.83672826272937062</v>
      </c>
      <c r="J48" s="5">
        <v>9.556957621482514</v>
      </c>
      <c r="K48">
        <v>6903</v>
      </c>
      <c r="L48">
        <v>18495</v>
      </c>
      <c r="M48">
        <v>2626</v>
      </c>
      <c r="N48">
        <v>28024</v>
      </c>
      <c r="O48" s="6">
        <v>51772.5</v>
      </c>
      <c r="P48" s="6">
        <v>46237.5</v>
      </c>
      <c r="Q48" s="6">
        <v>3151.2</v>
      </c>
      <c r="R48" s="6">
        <v>101161.2</v>
      </c>
      <c r="S48" s="2">
        <v>27.766666666666669</v>
      </c>
      <c r="T48" s="2">
        <v>9.9195555555555561</v>
      </c>
      <c r="U48" s="2">
        <v>0.42253333333333332</v>
      </c>
      <c r="V48" s="2">
        <v>38.108755555555547</v>
      </c>
      <c r="W48">
        <v>111</v>
      </c>
      <c r="X48">
        <v>3</v>
      </c>
      <c r="Y48">
        <v>2</v>
      </c>
      <c r="Z48">
        <v>116</v>
      </c>
      <c r="AA48" s="2">
        <v>17704358.212831479</v>
      </c>
      <c r="AB48" s="6">
        <v>2697.3</v>
      </c>
      <c r="AC48" s="6">
        <v>738</v>
      </c>
      <c r="AD48" s="6">
        <v>5730</v>
      </c>
      <c r="AE48" s="6">
        <v>9165.2999999999993</v>
      </c>
      <c r="AF48" s="3">
        <v>24.455494288476999</v>
      </c>
      <c r="AG48">
        <v>111</v>
      </c>
      <c r="AH48">
        <v>3</v>
      </c>
      <c r="AI48">
        <v>2</v>
      </c>
      <c r="AJ48">
        <v>116</v>
      </c>
      <c r="AK48" s="2">
        <v>4388784.5852752486</v>
      </c>
      <c r="AL48" s="6">
        <v>861.36</v>
      </c>
      <c r="AM48" s="6">
        <v>294</v>
      </c>
      <c r="AN48" s="6">
        <v>2280</v>
      </c>
      <c r="AO48" s="6">
        <v>3435.36</v>
      </c>
      <c r="AP48" s="3">
        <v>0.82684827697761054</v>
      </c>
      <c r="AQ48">
        <v>752</v>
      </c>
      <c r="AR48">
        <v>23</v>
      </c>
      <c r="AS48">
        <v>0</v>
      </c>
      <c r="AT48">
        <v>775</v>
      </c>
      <c r="AU48" s="2">
        <v>10962181.656798961</v>
      </c>
      <c r="AV48" s="6">
        <v>6677.76</v>
      </c>
      <c r="AW48" s="6">
        <v>5520</v>
      </c>
      <c r="AX48" s="6">
        <v>0</v>
      </c>
      <c r="AY48" s="6">
        <v>12197.76</v>
      </c>
      <c r="AZ48" s="3">
        <v>108.4150739918105</v>
      </c>
      <c r="BA48">
        <v>3</v>
      </c>
      <c r="BB48">
        <v>0</v>
      </c>
      <c r="BC48">
        <v>0</v>
      </c>
      <c r="BD48">
        <v>3</v>
      </c>
      <c r="BE48" s="2">
        <v>70662.207294735068</v>
      </c>
      <c r="BF48" s="6">
        <v>16.920000000000002</v>
      </c>
      <c r="BG48" s="6">
        <v>0</v>
      </c>
      <c r="BH48" s="6">
        <v>0</v>
      </c>
      <c r="BI48" s="6">
        <v>16.920000000000002</v>
      </c>
      <c r="BJ48" s="3">
        <v>147.28782079745639</v>
      </c>
      <c r="BK48" s="6">
        <v>10253.34</v>
      </c>
      <c r="BL48" s="6">
        <v>6552</v>
      </c>
      <c r="BM48" s="6">
        <v>8010</v>
      </c>
      <c r="BN48" s="6">
        <v>24815.34</v>
      </c>
      <c r="BO48" s="3">
        <v>280.98523735472162</v>
      </c>
      <c r="BP48" s="7">
        <v>125976.54</v>
      </c>
      <c r="BQ48" s="2">
        <v>95.728197873083133</v>
      </c>
      <c r="BR48" s="2">
        <v>414.82219078336033</v>
      </c>
    </row>
    <row r="49" spans="1:70" x14ac:dyDescent="0.3">
      <c r="A49">
        <v>2022</v>
      </c>
      <c r="B49" s="1">
        <v>67975</v>
      </c>
      <c r="C49" s="2">
        <v>35335213.186813071</v>
      </c>
      <c r="D49" s="3">
        <v>519.82660076223715</v>
      </c>
      <c r="E49" s="1">
        <v>40785</v>
      </c>
      <c r="F49" s="4">
        <v>0.92741130197429866</v>
      </c>
      <c r="G49" s="4">
        <v>0.63885056006916163</v>
      </c>
      <c r="H49" s="4">
        <v>1</v>
      </c>
      <c r="I49" s="4">
        <v>0.83989285749886711</v>
      </c>
      <c r="J49" s="5">
        <v>9.5827584010374238</v>
      </c>
      <c r="K49">
        <v>7067</v>
      </c>
      <c r="L49">
        <v>18670</v>
      </c>
      <c r="M49">
        <v>2467</v>
      </c>
      <c r="N49">
        <v>28204</v>
      </c>
      <c r="O49" s="6">
        <v>53002.5</v>
      </c>
      <c r="P49" s="6">
        <v>46675</v>
      </c>
      <c r="Q49" s="6">
        <v>2960.4</v>
      </c>
      <c r="R49" s="6">
        <v>102637.9</v>
      </c>
      <c r="S49" s="2">
        <v>28.385000000000002</v>
      </c>
      <c r="T49" s="2">
        <v>9.9991111111111106</v>
      </c>
      <c r="U49" s="2">
        <v>0.39646666666666669</v>
      </c>
      <c r="V49" s="2">
        <v>38.780577777777779</v>
      </c>
      <c r="W49">
        <v>117</v>
      </c>
      <c r="X49">
        <v>4</v>
      </c>
      <c r="Y49">
        <v>2</v>
      </c>
      <c r="Z49">
        <v>123</v>
      </c>
      <c r="AA49" s="2">
        <v>18810429.6611352</v>
      </c>
      <c r="AB49" s="6">
        <v>2854.8</v>
      </c>
      <c r="AC49" s="6">
        <v>964</v>
      </c>
      <c r="AD49" s="6">
        <v>5910</v>
      </c>
      <c r="AE49" s="6">
        <v>9728.7999999999993</v>
      </c>
      <c r="AF49" s="3">
        <v>25.412948958835369</v>
      </c>
      <c r="AG49">
        <v>117</v>
      </c>
      <c r="AH49">
        <v>4</v>
      </c>
      <c r="AI49">
        <v>2</v>
      </c>
      <c r="AJ49">
        <v>123</v>
      </c>
      <c r="AK49" s="2">
        <v>4667826.156801478</v>
      </c>
      <c r="AL49" s="6">
        <v>907.92</v>
      </c>
      <c r="AM49" s="6">
        <v>388</v>
      </c>
      <c r="AN49" s="6">
        <v>2328</v>
      </c>
      <c r="AO49" s="6">
        <v>3623.92</v>
      </c>
      <c r="AP49" s="3">
        <v>0.85255916882801142</v>
      </c>
      <c r="AQ49">
        <v>806</v>
      </c>
      <c r="AR49">
        <v>24</v>
      </c>
      <c r="AS49">
        <v>0</v>
      </c>
      <c r="AT49">
        <v>830</v>
      </c>
      <c r="AU49" s="2">
        <v>11786959.502522949</v>
      </c>
      <c r="AV49" s="6">
        <v>7334.6</v>
      </c>
      <c r="AW49" s="6">
        <v>3744</v>
      </c>
      <c r="AX49" s="6">
        <v>0</v>
      </c>
      <c r="AY49" s="6">
        <v>11078.6</v>
      </c>
      <c r="AZ49" s="3">
        <v>111.1080446084047</v>
      </c>
      <c r="BA49">
        <v>3</v>
      </c>
      <c r="BB49">
        <v>0</v>
      </c>
      <c r="BC49">
        <v>0</v>
      </c>
      <c r="BD49">
        <v>3</v>
      </c>
      <c r="BE49" s="2">
        <v>69997.866353440011</v>
      </c>
      <c r="BF49" s="6">
        <v>17.46</v>
      </c>
      <c r="BG49" s="6">
        <v>0</v>
      </c>
      <c r="BH49" s="6">
        <v>0</v>
      </c>
      <c r="BI49" s="6">
        <v>17.46</v>
      </c>
      <c r="BJ49" s="3">
        <v>152.76557478160251</v>
      </c>
      <c r="BK49" s="6">
        <v>11114.78</v>
      </c>
      <c r="BL49" s="6">
        <v>5096</v>
      </c>
      <c r="BM49" s="6">
        <v>8238</v>
      </c>
      <c r="BN49" s="6">
        <v>24448.78</v>
      </c>
      <c r="BO49" s="3">
        <v>290.13912751767049</v>
      </c>
      <c r="BP49" s="7">
        <v>127086.68</v>
      </c>
      <c r="BQ49" s="2">
        <v>98.675911588634506</v>
      </c>
      <c r="BR49" s="2">
        <v>427.59561688408292</v>
      </c>
    </row>
    <row r="50" spans="1:70" x14ac:dyDescent="0.3">
      <c r="A50">
        <v>2023</v>
      </c>
      <c r="B50" s="1">
        <v>68314</v>
      </c>
      <c r="C50" s="2">
        <v>37675915.886376217</v>
      </c>
      <c r="D50" s="3">
        <v>551.51090386123224</v>
      </c>
      <c r="E50" s="1">
        <v>40988</v>
      </c>
      <c r="F50" s="4">
        <v>0.93529218901905775</v>
      </c>
      <c r="G50" s="4">
        <v>0.64047044401073761</v>
      </c>
      <c r="H50" s="4">
        <v>1</v>
      </c>
      <c r="I50" s="4">
        <v>0.84297649809491371</v>
      </c>
      <c r="J50" s="5">
        <v>9.6070566601610636</v>
      </c>
      <c r="K50">
        <v>7227</v>
      </c>
      <c r="L50">
        <v>18839</v>
      </c>
      <c r="M50">
        <v>2310</v>
      </c>
      <c r="N50">
        <v>28376</v>
      </c>
      <c r="O50" s="6">
        <v>54202.5</v>
      </c>
      <c r="P50" s="6">
        <v>47097.5</v>
      </c>
      <c r="Q50" s="6">
        <v>2772</v>
      </c>
      <c r="R50" s="6">
        <v>104072</v>
      </c>
      <c r="S50" s="2">
        <v>28.998333333333331</v>
      </c>
      <c r="T50" s="2">
        <v>10.07822222222222</v>
      </c>
      <c r="U50" s="2">
        <v>0.37080000000000002</v>
      </c>
      <c r="V50" s="2">
        <v>39.447355555555561</v>
      </c>
      <c r="W50">
        <v>122</v>
      </c>
      <c r="X50">
        <v>4</v>
      </c>
      <c r="Y50">
        <v>2</v>
      </c>
      <c r="Z50">
        <v>128</v>
      </c>
      <c r="AA50" s="2">
        <v>19978359.92059746</v>
      </c>
      <c r="AB50" s="6">
        <v>2952.4</v>
      </c>
      <c r="AC50" s="6">
        <v>968</v>
      </c>
      <c r="AD50" s="6">
        <v>5940</v>
      </c>
      <c r="AE50" s="6">
        <v>9860.4</v>
      </c>
      <c r="AF50" s="3">
        <v>26.395386660055301</v>
      </c>
      <c r="AG50">
        <v>122</v>
      </c>
      <c r="AH50">
        <v>4</v>
      </c>
      <c r="AI50">
        <v>2</v>
      </c>
      <c r="AJ50">
        <v>128</v>
      </c>
      <c r="AK50" s="2">
        <v>4964518.8835045667</v>
      </c>
      <c r="AL50" s="6">
        <v>946.72</v>
      </c>
      <c r="AM50" s="6">
        <v>382</v>
      </c>
      <c r="AN50" s="6">
        <v>2376</v>
      </c>
      <c r="AO50" s="6">
        <v>3704.72</v>
      </c>
      <c r="AP50" s="3">
        <v>0.87921603207046362</v>
      </c>
      <c r="AQ50">
        <v>864</v>
      </c>
      <c r="AR50">
        <v>26</v>
      </c>
      <c r="AS50">
        <v>0</v>
      </c>
      <c r="AT50">
        <v>890</v>
      </c>
      <c r="AU50" s="2">
        <v>12663863.9384721</v>
      </c>
      <c r="AV50" s="6">
        <v>8432.64</v>
      </c>
      <c r="AW50" s="6">
        <v>4420</v>
      </c>
      <c r="AX50" s="6">
        <v>0</v>
      </c>
      <c r="AY50" s="6">
        <v>12852.64</v>
      </c>
      <c r="AZ50" s="3">
        <v>113.97196965887321</v>
      </c>
      <c r="BA50">
        <v>3</v>
      </c>
      <c r="BB50">
        <v>0</v>
      </c>
      <c r="BC50">
        <v>0</v>
      </c>
      <c r="BD50">
        <v>3</v>
      </c>
      <c r="BE50" s="2">
        <v>69173.143802090475</v>
      </c>
      <c r="BF50" s="6">
        <v>17.594999999999999</v>
      </c>
      <c r="BG50" s="6">
        <v>0</v>
      </c>
      <c r="BH50" s="6">
        <v>0</v>
      </c>
      <c r="BI50" s="6">
        <v>17.594999999999999</v>
      </c>
      <c r="BJ50" s="3">
        <v>158.38247262635929</v>
      </c>
      <c r="BK50" s="6">
        <v>12349.355</v>
      </c>
      <c r="BL50" s="6">
        <v>5770</v>
      </c>
      <c r="BM50" s="6">
        <v>8316</v>
      </c>
      <c r="BN50" s="6">
        <v>26435.355</v>
      </c>
      <c r="BO50" s="3">
        <v>299.62904497735832</v>
      </c>
      <c r="BP50" s="7">
        <v>130507.355</v>
      </c>
      <c r="BQ50" s="2">
        <v>101.72292015987411</v>
      </c>
      <c r="BR50" s="2">
        <v>440.79932069278789</v>
      </c>
    </row>
    <row r="51" spans="1:70" x14ac:dyDescent="0.3">
      <c r="A51">
        <v>2024</v>
      </c>
      <c r="B51" s="1">
        <v>68655</v>
      </c>
      <c r="C51" s="2">
        <v>40155210.296680167</v>
      </c>
      <c r="D51" s="3">
        <v>584.88398946442601</v>
      </c>
      <c r="E51" s="1">
        <v>41193</v>
      </c>
      <c r="F51" s="4">
        <v>0.9430864000343262</v>
      </c>
      <c r="G51" s="4">
        <v>0.64199599325543655</v>
      </c>
      <c r="H51" s="4">
        <v>1</v>
      </c>
      <c r="I51" s="4">
        <v>0.84598228036392542</v>
      </c>
      <c r="J51" s="5">
        <v>9.6299398988315481</v>
      </c>
      <c r="K51">
        <v>7386</v>
      </c>
      <c r="L51">
        <v>19003</v>
      </c>
      <c r="M51">
        <v>2154</v>
      </c>
      <c r="N51">
        <v>28543</v>
      </c>
      <c r="O51" s="6">
        <v>55395</v>
      </c>
      <c r="P51" s="6">
        <v>47507.5</v>
      </c>
      <c r="Q51" s="6">
        <v>2584.8000000000002</v>
      </c>
      <c r="R51" s="6">
        <v>105487.3</v>
      </c>
      <c r="S51" s="2">
        <v>29.61</v>
      </c>
      <c r="T51" s="2">
        <v>10.15711111111111</v>
      </c>
      <c r="U51" s="2">
        <v>0.34539999999999998</v>
      </c>
      <c r="V51" s="2">
        <v>40.112511111111111</v>
      </c>
      <c r="W51">
        <v>129</v>
      </c>
      <c r="X51">
        <v>4</v>
      </c>
      <c r="Y51">
        <v>2</v>
      </c>
      <c r="Z51">
        <v>135</v>
      </c>
      <c r="AA51" s="2">
        <v>21211902.593637239</v>
      </c>
      <c r="AB51" s="6">
        <v>3147.6</v>
      </c>
      <c r="AC51" s="6">
        <v>968</v>
      </c>
      <c r="AD51" s="6">
        <v>5850</v>
      </c>
      <c r="AE51" s="6">
        <v>9965.6</v>
      </c>
      <c r="AF51" s="3">
        <v>27.403323438189041</v>
      </c>
      <c r="AG51">
        <v>129</v>
      </c>
      <c r="AH51">
        <v>4</v>
      </c>
      <c r="AI51">
        <v>2</v>
      </c>
      <c r="AJ51">
        <v>135</v>
      </c>
      <c r="AK51" s="2">
        <v>5280100.9525645636</v>
      </c>
      <c r="AL51" s="6">
        <v>1021.68</v>
      </c>
      <c r="AM51" s="6">
        <v>380</v>
      </c>
      <c r="AN51" s="6">
        <v>2304</v>
      </c>
      <c r="AO51" s="6">
        <v>3705.68</v>
      </c>
      <c r="AP51" s="3">
        <v>0.90683246731120526</v>
      </c>
      <c r="AQ51">
        <v>926</v>
      </c>
      <c r="AR51">
        <v>28</v>
      </c>
      <c r="AS51">
        <v>0</v>
      </c>
      <c r="AT51">
        <v>954</v>
      </c>
      <c r="AU51" s="2">
        <v>13595027.3932383</v>
      </c>
      <c r="AV51" s="6">
        <v>9241.48</v>
      </c>
      <c r="AW51" s="6">
        <v>5544</v>
      </c>
      <c r="AX51" s="6">
        <v>0</v>
      </c>
      <c r="AY51" s="6">
        <v>14785.48</v>
      </c>
      <c r="AZ51" s="3">
        <v>117.0026182318058</v>
      </c>
      <c r="BA51">
        <v>3</v>
      </c>
      <c r="BB51">
        <v>0</v>
      </c>
      <c r="BC51">
        <v>0</v>
      </c>
      <c r="BD51">
        <v>3</v>
      </c>
      <c r="BE51" s="2">
        <v>68179.357240071127</v>
      </c>
      <c r="BF51" s="6">
        <v>17.594999999999999</v>
      </c>
      <c r="BG51" s="6">
        <v>0</v>
      </c>
      <c r="BH51" s="6">
        <v>0</v>
      </c>
      <c r="BI51" s="6">
        <v>17.594999999999999</v>
      </c>
      <c r="BJ51" s="3">
        <v>164.14139184486561</v>
      </c>
      <c r="BK51" s="6">
        <v>13428.355</v>
      </c>
      <c r="BL51" s="6">
        <v>6892</v>
      </c>
      <c r="BM51" s="6">
        <v>8154</v>
      </c>
      <c r="BN51" s="6">
        <v>28474.355</v>
      </c>
      <c r="BO51" s="3">
        <v>309.45416598217162</v>
      </c>
      <c r="BP51" s="7">
        <v>133961.655</v>
      </c>
      <c r="BQ51" s="2">
        <v>104.8700031279848</v>
      </c>
      <c r="BR51" s="2">
        <v>454.43668022126758</v>
      </c>
    </row>
    <row r="52" spans="1:70" x14ac:dyDescent="0.3">
      <c r="A52">
        <v>2025</v>
      </c>
      <c r="B52" s="1">
        <v>68998</v>
      </c>
      <c r="C52" s="2">
        <v>42777630.714654587</v>
      </c>
      <c r="D52" s="3">
        <v>619.9836330713149</v>
      </c>
      <c r="E52" s="1">
        <v>41398</v>
      </c>
      <c r="F52" s="4">
        <v>0.95078647527519511</v>
      </c>
      <c r="G52" s="4">
        <v>0.64343270142833009</v>
      </c>
      <c r="H52" s="4">
        <v>1</v>
      </c>
      <c r="I52" s="4">
        <v>0.84891076639632645</v>
      </c>
      <c r="J52" s="5">
        <v>9.651490521424952</v>
      </c>
      <c r="K52">
        <v>7542</v>
      </c>
      <c r="L52">
        <v>19162</v>
      </c>
      <c r="M52">
        <v>1999</v>
      </c>
      <c r="N52">
        <v>28703</v>
      </c>
      <c r="O52" s="6">
        <v>56565</v>
      </c>
      <c r="P52" s="6">
        <v>47905</v>
      </c>
      <c r="Q52" s="6">
        <v>2398.8000000000002</v>
      </c>
      <c r="R52" s="6">
        <v>106868.8</v>
      </c>
      <c r="S52" s="2">
        <v>30.216666666666669</v>
      </c>
      <c r="T52" s="2">
        <v>10.23555555555556</v>
      </c>
      <c r="U52" s="2">
        <v>0.32040000000000002</v>
      </c>
      <c r="V52" s="2">
        <v>40.772622222222218</v>
      </c>
      <c r="W52">
        <v>135</v>
      </c>
      <c r="X52">
        <v>5</v>
      </c>
      <c r="Y52">
        <v>2</v>
      </c>
      <c r="Z52">
        <v>142</v>
      </c>
      <c r="AA52" s="2">
        <v>22513893.150827389</v>
      </c>
      <c r="AB52" s="6">
        <v>3307.5</v>
      </c>
      <c r="AC52" s="6">
        <v>1240</v>
      </c>
      <c r="AD52" s="6">
        <v>5820</v>
      </c>
      <c r="AE52" s="6">
        <v>10367.5</v>
      </c>
      <c r="AF52" s="3">
        <v>28.43727215133163</v>
      </c>
      <c r="AG52">
        <v>135</v>
      </c>
      <c r="AH52">
        <v>5</v>
      </c>
      <c r="AI52">
        <v>2</v>
      </c>
      <c r="AJ52">
        <v>142</v>
      </c>
      <c r="AK52" s="2">
        <v>5615533.5077937618</v>
      </c>
      <c r="AL52" s="6">
        <v>1031.4000000000001</v>
      </c>
      <c r="AM52" s="6">
        <v>487.5</v>
      </c>
      <c r="AN52" s="6">
        <v>2280</v>
      </c>
      <c r="AO52" s="6">
        <v>3798.9</v>
      </c>
      <c r="AP52" s="3">
        <v>0.93542224578007593</v>
      </c>
      <c r="AQ52">
        <v>991</v>
      </c>
      <c r="AR52">
        <v>31</v>
      </c>
      <c r="AS52">
        <v>0</v>
      </c>
      <c r="AT52">
        <v>1022</v>
      </c>
      <c r="AU52" s="2">
        <v>14581203.11183707</v>
      </c>
      <c r="AV52" s="6">
        <v>10108.200000000001</v>
      </c>
      <c r="AW52" s="6">
        <v>6138</v>
      </c>
      <c r="AX52" s="6">
        <v>0</v>
      </c>
      <c r="AY52" s="6">
        <v>16246.2</v>
      </c>
      <c r="AZ52" s="3">
        <v>120.1962280831079</v>
      </c>
      <c r="BA52">
        <v>3</v>
      </c>
      <c r="BB52">
        <v>0</v>
      </c>
      <c r="BC52">
        <v>0</v>
      </c>
      <c r="BD52">
        <v>3</v>
      </c>
      <c r="BE52" s="2">
        <v>67000.944196362805</v>
      </c>
      <c r="BF52" s="6">
        <v>16.785</v>
      </c>
      <c r="BG52" s="6">
        <v>0</v>
      </c>
      <c r="BH52" s="6">
        <v>0</v>
      </c>
      <c r="BI52" s="6">
        <v>16.785</v>
      </c>
      <c r="BJ52" s="3">
        <v>170.04515365566181</v>
      </c>
      <c r="BK52" s="6">
        <v>14463.885</v>
      </c>
      <c r="BL52" s="6">
        <v>7865.5</v>
      </c>
      <c r="BM52" s="6">
        <v>8100</v>
      </c>
      <c r="BN52" s="6">
        <v>30429.384999999998</v>
      </c>
      <c r="BO52" s="3">
        <v>319.61407613588142</v>
      </c>
      <c r="BP52" s="7">
        <v>137298.185</v>
      </c>
      <c r="BQ52" s="2">
        <v>108.1160095074311</v>
      </c>
      <c r="BR52" s="2">
        <v>468.50270786553472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52"/>
  <sheetViews>
    <sheetView topLeftCell="AH1" workbookViewId="0">
      <selection activeCell="R3" sqref="R3"/>
    </sheetView>
  </sheetViews>
  <sheetFormatPr defaultRowHeight="14.4" x14ac:dyDescent="0.3"/>
  <cols>
    <col min="1" max="1" width="5" bestFit="1" customWidth="1"/>
    <col min="2" max="2" width="11.44140625" bestFit="1" customWidth="1"/>
    <col min="3" max="3" width="12.6640625" bestFit="1" customWidth="1"/>
    <col min="4" max="4" width="6.33203125" bestFit="1" customWidth="1"/>
    <col min="5" max="5" width="7.5546875" bestFit="1" customWidth="1"/>
    <col min="6" max="9" width="6.5546875" bestFit="1" customWidth="1"/>
    <col min="10" max="10" width="12.77734375" bestFit="1" customWidth="1"/>
    <col min="11" max="11" width="10.21875" bestFit="1" customWidth="1"/>
    <col min="12" max="12" width="12" bestFit="1" customWidth="1"/>
    <col min="13" max="13" width="11.44140625" bestFit="1" customWidth="1"/>
    <col min="14" max="14" width="7" bestFit="1" customWidth="1"/>
    <col min="15" max="15" width="13.77734375" bestFit="1" customWidth="1"/>
    <col min="16" max="16" width="14.77734375" bestFit="1" customWidth="1"/>
    <col min="17" max="17" width="13.77734375" bestFit="1" customWidth="1"/>
    <col min="18" max="18" width="14.77734375" bestFit="1" customWidth="1"/>
    <col min="19" max="19" width="8.109375" bestFit="1" customWidth="1"/>
    <col min="20" max="20" width="8.44140625" bestFit="1" customWidth="1"/>
    <col min="21" max="21" width="8.109375" bestFit="1" customWidth="1"/>
    <col min="22" max="22" width="6.6640625" bestFit="1" customWidth="1"/>
    <col min="23" max="23" width="8.109375" bestFit="1" customWidth="1"/>
    <col min="24" max="24" width="8.44140625" bestFit="1" customWidth="1"/>
    <col min="25" max="25" width="8.33203125" bestFit="1" customWidth="1"/>
    <col min="26" max="26" width="6.6640625" bestFit="1" customWidth="1"/>
    <col min="27" max="27" width="11.6640625" bestFit="1" customWidth="1"/>
    <col min="28" max="28" width="12.6640625" bestFit="1" customWidth="1"/>
    <col min="29" max="29" width="8.109375" bestFit="1" customWidth="1"/>
    <col min="30" max="30" width="8" bestFit="1" customWidth="1"/>
    <col min="31" max="31" width="12.6640625" bestFit="1" customWidth="1"/>
    <col min="32" max="32" width="6.5546875" bestFit="1" customWidth="1"/>
    <col min="33" max="33" width="8.21875" bestFit="1" customWidth="1"/>
    <col min="34" max="34" width="8.5546875" bestFit="1" customWidth="1"/>
    <col min="35" max="35" width="8.44140625" bestFit="1" customWidth="1"/>
    <col min="36" max="36" width="6.77734375" bestFit="1" customWidth="1"/>
    <col min="37" max="37" width="11.6640625" bestFit="1" customWidth="1"/>
    <col min="38" max="38" width="11.109375" bestFit="1" customWidth="1"/>
    <col min="39" max="39" width="8.21875" bestFit="1" customWidth="1"/>
    <col min="40" max="40" width="8.109375" bestFit="1" customWidth="1"/>
    <col min="41" max="41" width="11.109375" bestFit="1" customWidth="1"/>
    <col min="42" max="42" width="6.6640625" bestFit="1" customWidth="1"/>
    <col min="43" max="43" width="8.33203125" bestFit="1" customWidth="1"/>
    <col min="44" max="44" width="8.6640625" bestFit="1" customWidth="1"/>
    <col min="45" max="45" width="8.5546875" bestFit="1" customWidth="1"/>
    <col min="46" max="46" width="6.88671875" bestFit="1" customWidth="1"/>
    <col min="47" max="47" width="7.21875" bestFit="1" customWidth="1"/>
    <col min="48" max="48" width="8" bestFit="1" customWidth="1"/>
    <col min="49" max="49" width="8.33203125" bestFit="1" customWidth="1"/>
    <col min="50" max="50" width="8.21875" bestFit="1" customWidth="1"/>
    <col min="51" max="51" width="6.5546875" bestFit="1" customWidth="1"/>
    <col min="52" max="52" width="6.77734375" bestFit="1" customWidth="1"/>
    <col min="53" max="53" width="8.6640625" bestFit="1" customWidth="1"/>
    <col min="54" max="54" width="9" bestFit="1" customWidth="1"/>
    <col min="56" max="56" width="7.21875" bestFit="1" customWidth="1"/>
    <col min="57" max="57" width="11.6640625" bestFit="1" customWidth="1"/>
    <col min="58" max="61" width="12.6640625" bestFit="1" customWidth="1"/>
    <col min="62" max="62" width="7.109375" bestFit="1" customWidth="1"/>
    <col min="63" max="66" width="12.6640625" bestFit="1" customWidth="1"/>
    <col min="67" max="67" width="7" bestFit="1" customWidth="1"/>
    <col min="68" max="68" width="13.6640625" bestFit="1" customWidth="1"/>
    <col min="69" max="69" width="7" bestFit="1" customWidth="1"/>
    <col min="70" max="70" width="8.664062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2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spans="1:70" x14ac:dyDescent="0.3">
      <c r="A2">
        <v>1975</v>
      </c>
      <c r="B2" s="1">
        <v>180000</v>
      </c>
      <c r="C2" s="2">
        <v>796552.36318588804</v>
      </c>
      <c r="D2" s="3">
        <v>4.4252909065882671</v>
      </c>
      <c r="E2" s="1">
        <v>108000</v>
      </c>
      <c r="F2" s="4">
        <v>0.22467062999147761</v>
      </c>
      <c r="G2" s="4">
        <v>0.1</v>
      </c>
      <c r="H2" s="4">
        <v>2.7720505216508071E-2</v>
      </c>
      <c r="I2" s="4">
        <v>8.5398284799902857E-2</v>
      </c>
      <c r="J2" s="5">
        <v>1.5</v>
      </c>
      <c r="K2">
        <v>15</v>
      </c>
      <c r="L2">
        <v>7111</v>
      </c>
      <c r="M2">
        <v>26125</v>
      </c>
      <c r="N2">
        <v>33251</v>
      </c>
      <c r="O2" s="6">
        <v>112.5</v>
      </c>
      <c r="P2" s="6">
        <v>17777.5</v>
      </c>
      <c r="Q2" s="6">
        <v>31350</v>
      </c>
      <c r="R2" s="6">
        <f>O2+P2+Q2</f>
        <v>49240</v>
      </c>
      <c r="S2" s="2">
        <v>0.14333333333333331</v>
      </c>
      <c r="T2" s="2">
        <v>8.554666666666666</v>
      </c>
      <c r="U2" s="2">
        <v>9.4277999999999995</v>
      </c>
      <c r="V2" s="2">
        <v>18.125800000000002</v>
      </c>
      <c r="W2">
        <v>1</v>
      </c>
      <c r="X2">
        <v>0</v>
      </c>
      <c r="Y2">
        <v>0</v>
      </c>
      <c r="Z2">
        <v>1</v>
      </c>
      <c r="AA2" s="2">
        <v>42975.305379739977</v>
      </c>
      <c r="AB2" s="6">
        <v>24.5</v>
      </c>
      <c r="AC2" s="6">
        <v>0</v>
      </c>
      <c r="AD2" s="6">
        <v>0</v>
      </c>
      <c r="AE2" s="6">
        <v>24.5</v>
      </c>
      <c r="AF2" s="3">
        <v>0.08</v>
      </c>
      <c r="AG2">
        <v>1</v>
      </c>
      <c r="AH2">
        <v>0</v>
      </c>
      <c r="AI2">
        <v>0</v>
      </c>
      <c r="AJ2">
        <v>1</v>
      </c>
      <c r="AK2" s="2">
        <v>41676.229250079123</v>
      </c>
      <c r="AL2" s="6">
        <v>7.72</v>
      </c>
      <c r="AM2" s="6">
        <v>0</v>
      </c>
      <c r="AN2" s="6">
        <v>0</v>
      </c>
      <c r="AO2" s="6">
        <v>7.72</v>
      </c>
      <c r="AP2" s="3">
        <v>1.666666666666667E-3</v>
      </c>
      <c r="AQ2">
        <v>0</v>
      </c>
      <c r="AR2">
        <v>0</v>
      </c>
      <c r="AS2">
        <v>0</v>
      </c>
      <c r="AT2">
        <v>0</v>
      </c>
      <c r="AU2" s="2">
        <v>0</v>
      </c>
      <c r="AV2" s="6">
        <v>0</v>
      </c>
      <c r="AW2" s="6">
        <v>0</v>
      </c>
      <c r="AX2" s="6">
        <v>0</v>
      </c>
      <c r="AY2" s="6">
        <v>0</v>
      </c>
      <c r="AZ2" s="3">
        <v>1</v>
      </c>
      <c r="BA2">
        <v>35</v>
      </c>
      <c r="BB2">
        <v>2</v>
      </c>
      <c r="BC2">
        <v>0</v>
      </c>
      <c r="BD2">
        <v>37</v>
      </c>
      <c r="BE2" s="2">
        <v>711900.82855606894</v>
      </c>
      <c r="BF2" s="6">
        <v>206.85</v>
      </c>
      <c r="BG2" s="6">
        <v>176.1</v>
      </c>
      <c r="BH2" s="6">
        <v>0</v>
      </c>
      <c r="BI2" s="6">
        <v>382.95</v>
      </c>
      <c r="BJ2" s="3">
        <v>1</v>
      </c>
      <c r="BK2" s="6">
        <v>239.07</v>
      </c>
      <c r="BL2" s="6">
        <v>176.1</v>
      </c>
      <c r="BM2" s="6">
        <v>0</v>
      </c>
      <c r="BN2" s="6">
        <v>415.17</v>
      </c>
      <c r="BO2" s="3">
        <v>2.081666666666667</v>
      </c>
      <c r="BP2" s="7">
        <v>49691.83</v>
      </c>
      <c r="BQ2" s="2">
        <v>6.0622399999999992</v>
      </c>
      <c r="BR2" s="2">
        <v>26.269706666666661</v>
      </c>
    </row>
    <row r="3" spans="1:70" x14ac:dyDescent="0.3">
      <c r="A3">
        <v>1976</v>
      </c>
      <c r="B3" s="1">
        <v>184512</v>
      </c>
      <c r="C3" s="2">
        <v>926274.99657712947</v>
      </c>
      <c r="D3" s="3">
        <v>5.0201341732631457</v>
      </c>
      <c r="E3" s="1">
        <v>110707</v>
      </c>
      <c r="F3" s="4">
        <v>0.24333882429256351</v>
      </c>
      <c r="G3" s="4">
        <v>0.1059403980079734</v>
      </c>
      <c r="H3" s="4">
        <v>2.9369572885869999E-2</v>
      </c>
      <c r="I3" s="4">
        <v>9.1143047435342919E-2</v>
      </c>
      <c r="J3" s="5">
        <v>1.589105970119602</v>
      </c>
      <c r="K3">
        <v>21</v>
      </c>
      <c r="L3">
        <v>7911</v>
      </c>
      <c r="M3">
        <v>26226</v>
      </c>
      <c r="N3">
        <v>34158</v>
      </c>
      <c r="O3" s="6">
        <v>157.5</v>
      </c>
      <c r="P3" s="6">
        <v>19777.5</v>
      </c>
      <c r="Q3" s="6">
        <v>31471.200000000001</v>
      </c>
      <c r="R3" s="6">
        <v>51406.2</v>
      </c>
      <c r="S3" s="2">
        <v>0.1933333333333333</v>
      </c>
      <c r="T3" s="2">
        <v>9.4962222222222223</v>
      </c>
      <c r="U3" s="2">
        <v>9.4440666666666662</v>
      </c>
      <c r="V3" s="2">
        <v>19.133622222222218</v>
      </c>
      <c r="W3">
        <v>2</v>
      </c>
      <c r="X3">
        <v>0</v>
      </c>
      <c r="Y3">
        <v>0</v>
      </c>
      <c r="Z3">
        <v>2</v>
      </c>
      <c r="AA3" s="2">
        <v>79219.240152932558</v>
      </c>
      <c r="AB3" s="6">
        <v>49</v>
      </c>
      <c r="AC3" s="6">
        <v>0</v>
      </c>
      <c r="AD3" s="6">
        <v>0</v>
      </c>
      <c r="AE3" s="6">
        <v>49</v>
      </c>
      <c r="AF3" s="3">
        <v>0.30451999503437849</v>
      </c>
      <c r="AG3">
        <v>2</v>
      </c>
      <c r="AH3">
        <v>0</v>
      </c>
      <c r="AI3">
        <v>0</v>
      </c>
      <c r="AJ3">
        <v>2</v>
      </c>
      <c r="AK3" s="2">
        <v>76365.763421943077</v>
      </c>
      <c r="AL3" s="6">
        <v>15.6</v>
      </c>
      <c r="AM3" s="6">
        <v>0</v>
      </c>
      <c r="AN3" s="6">
        <v>0</v>
      </c>
      <c r="AO3" s="6">
        <v>15.6</v>
      </c>
      <c r="AP3" s="3">
        <v>1.1171666459765771E-2</v>
      </c>
      <c r="AQ3">
        <v>0</v>
      </c>
      <c r="AR3">
        <v>0</v>
      </c>
      <c r="AS3">
        <v>0</v>
      </c>
      <c r="AT3">
        <v>0</v>
      </c>
      <c r="AU3" s="2">
        <v>0</v>
      </c>
      <c r="AV3" s="6">
        <v>0</v>
      </c>
      <c r="AW3" s="6">
        <v>0</v>
      </c>
      <c r="AX3" s="6">
        <v>0</v>
      </c>
      <c r="AY3" s="6">
        <v>0</v>
      </c>
      <c r="AZ3" s="3">
        <v>1.994937476723649</v>
      </c>
      <c r="BA3">
        <v>38</v>
      </c>
      <c r="BB3">
        <v>2</v>
      </c>
      <c r="BC3">
        <v>0</v>
      </c>
      <c r="BD3">
        <v>40</v>
      </c>
      <c r="BE3" s="2">
        <v>770689.99300225382</v>
      </c>
      <c r="BF3" s="6">
        <v>214.32</v>
      </c>
      <c r="BG3" s="6">
        <v>168.3</v>
      </c>
      <c r="BH3" s="6">
        <v>0</v>
      </c>
      <c r="BI3" s="6">
        <v>382.62</v>
      </c>
      <c r="BJ3" s="3">
        <v>2.8109999586198211</v>
      </c>
      <c r="BK3" s="6">
        <v>278.92</v>
      </c>
      <c r="BL3" s="6">
        <v>168.3</v>
      </c>
      <c r="BM3" s="6">
        <v>0</v>
      </c>
      <c r="BN3" s="6">
        <v>447.22</v>
      </c>
      <c r="BO3" s="3">
        <v>5.1216290968376148</v>
      </c>
      <c r="BP3" s="7">
        <v>51853.42</v>
      </c>
      <c r="BQ3" s="2">
        <v>7.2765753957179511</v>
      </c>
      <c r="BR3" s="2">
        <v>31.53182671477779</v>
      </c>
    </row>
    <row r="4" spans="1:70" x14ac:dyDescent="0.3">
      <c r="A4">
        <v>1977</v>
      </c>
      <c r="B4" s="1">
        <v>189138</v>
      </c>
      <c r="C4" s="2">
        <v>1032250.412423022</v>
      </c>
      <c r="D4" s="3">
        <v>5.4576574375483622</v>
      </c>
      <c r="E4" s="1">
        <v>113482</v>
      </c>
      <c r="F4" s="4">
        <v>0.25568557795627073</v>
      </c>
      <c r="G4" s="4">
        <v>0.1117631682543031</v>
      </c>
      <c r="H4" s="4">
        <v>3.064283536719898E-2</v>
      </c>
      <c r="I4" s="4">
        <v>9.5670481903618945E-2</v>
      </c>
      <c r="J4" s="5">
        <v>1.676447523814546</v>
      </c>
      <c r="K4">
        <v>27</v>
      </c>
      <c r="L4">
        <v>8533</v>
      </c>
      <c r="M4">
        <v>26509</v>
      </c>
      <c r="N4">
        <v>35069</v>
      </c>
      <c r="O4" s="6">
        <v>202.5</v>
      </c>
      <c r="P4" s="6">
        <v>21332.5</v>
      </c>
      <c r="Q4" s="6">
        <v>31810.799999999999</v>
      </c>
      <c r="R4" s="6">
        <v>53345.8</v>
      </c>
      <c r="S4" s="2">
        <v>0.24333333333333329</v>
      </c>
      <c r="T4" s="2">
        <v>10.22688888888889</v>
      </c>
      <c r="U4" s="2">
        <v>9.5312666666666672</v>
      </c>
      <c r="V4" s="2">
        <v>20.00148888888889</v>
      </c>
      <c r="W4">
        <v>3</v>
      </c>
      <c r="X4">
        <v>0</v>
      </c>
      <c r="Y4">
        <v>0</v>
      </c>
      <c r="Z4">
        <v>3</v>
      </c>
      <c r="AA4" s="2">
        <v>106374.01696401399</v>
      </c>
      <c r="AB4" s="6">
        <v>73.5</v>
      </c>
      <c r="AC4" s="6">
        <v>0</v>
      </c>
      <c r="AD4" s="6">
        <v>0</v>
      </c>
      <c r="AE4" s="6">
        <v>73.5</v>
      </c>
      <c r="AF4" s="3">
        <v>0.54629321229835193</v>
      </c>
      <c r="AG4">
        <v>3</v>
      </c>
      <c r="AH4">
        <v>0</v>
      </c>
      <c r="AI4">
        <v>0</v>
      </c>
      <c r="AJ4">
        <v>3</v>
      </c>
      <c r="AK4" s="2">
        <v>98182.817524018392</v>
      </c>
      <c r="AL4" s="6">
        <v>23.28</v>
      </c>
      <c r="AM4" s="6">
        <v>0</v>
      </c>
      <c r="AN4" s="6">
        <v>0</v>
      </c>
      <c r="AO4" s="6">
        <v>23.28</v>
      </c>
      <c r="AP4" s="3">
        <v>2.1671700506224301E-2</v>
      </c>
      <c r="AQ4">
        <v>0</v>
      </c>
      <c r="AR4">
        <v>0</v>
      </c>
      <c r="AS4">
        <v>0</v>
      </c>
      <c r="AT4">
        <v>0</v>
      </c>
      <c r="AU4" s="2">
        <v>0</v>
      </c>
      <c r="AV4" s="6">
        <v>0</v>
      </c>
      <c r="AW4" s="6">
        <v>0</v>
      </c>
      <c r="AX4" s="6">
        <v>0</v>
      </c>
      <c r="AY4" s="6">
        <v>0</v>
      </c>
      <c r="AZ4" s="3">
        <v>3.054300683114052</v>
      </c>
      <c r="BA4">
        <v>40</v>
      </c>
      <c r="BB4">
        <v>2</v>
      </c>
      <c r="BC4">
        <v>0</v>
      </c>
      <c r="BD4">
        <v>42</v>
      </c>
      <c r="BE4" s="2">
        <v>827693.57793498982</v>
      </c>
      <c r="BF4" s="6">
        <v>234.6</v>
      </c>
      <c r="BG4" s="6">
        <v>167</v>
      </c>
      <c r="BH4" s="6">
        <v>0</v>
      </c>
      <c r="BI4" s="6">
        <v>401.6</v>
      </c>
      <c r="BJ4" s="3">
        <v>4.69693677080814</v>
      </c>
      <c r="BK4" s="6">
        <v>331.38</v>
      </c>
      <c r="BL4" s="6">
        <v>167</v>
      </c>
      <c r="BM4" s="6">
        <v>0</v>
      </c>
      <c r="BN4" s="6">
        <v>498.38</v>
      </c>
      <c r="BO4" s="3">
        <v>8.3192023667267687</v>
      </c>
      <c r="BP4" s="7">
        <v>53844.18</v>
      </c>
      <c r="BQ4" s="2">
        <v>8.4962073766846959</v>
      </c>
      <c r="BR4" s="2">
        <v>36.816898632300351</v>
      </c>
    </row>
    <row r="5" spans="1:70" x14ac:dyDescent="0.3">
      <c r="A5">
        <v>1978</v>
      </c>
      <c r="B5" s="1">
        <v>193882</v>
      </c>
      <c r="C5" s="2">
        <v>1132614.5273082629</v>
      </c>
      <c r="D5" s="3">
        <v>5.8417724559694193</v>
      </c>
      <c r="E5" s="1">
        <v>116329</v>
      </c>
      <c r="F5" s="4">
        <v>0.26574711558247988</v>
      </c>
      <c r="G5" s="4">
        <v>0.1174706399247254</v>
      </c>
      <c r="H5" s="4">
        <v>3.1804607347041068E-2</v>
      </c>
      <c r="I5" s="4">
        <v>9.9761425014272848E-2</v>
      </c>
      <c r="J5" s="5">
        <v>1.7620595988708809</v>
      </c>
      <c r="K5">
        <v>33</v>
      </c>
      <c r="L5">
        <v>9102</v>
      </c>
      <c r="M5">
        <v>26862</v>
      </c>
      <c r="N5">
        <v>35997</v>
      </c>
      <c r="O5" s="6">
        <v>247.5</v>
      </c>
      <c r="P5" s="6">
        <v>22755</v>
      </c>
      <c r="Q5" s="6">
        <v>32234.400000000001</v>
      </c>
      <c r="R5" s="6">
        <v>55236.9</v>
      </c>
      <c r="S5" s="2">
        <v>0.29833333333333328</v>
      </c>
      <c r="T5" s="2">
        <v>10.89422222222222</v>
      </c>
      <c r="U5" s="2">
        <v>9.6451333333333338</v>
      </c>
      <c r="V5" s="2">
        <v>20.837688888888891</v>
      </c>
      <c r="W5">
        <v>3</v>
      </c>
      <c r="X5">
        <v>0</v>
      </c>
      <c r="Y5">
        <v>0</v>
      </c>
      <c r="Z5">
        <v>3</v>
      </c>
      <c r="AA5" s="2">
        <v>130820.5121315944</v>
      </c>
      <c r="AB5" s="6">
        <v>72.3</v>
      </c>
      <c r="AC5" s="6">
        <v>0</v>
      </c>
      <c r="AD5" s="6">
        <v>0</v>
      </c>
      <c r="AE5" s="6">
        <v>72.3</v>
      </c>
      <c r="AF5" s="3">
        <v>0.80163337882545604</v>
      </c>
      <c r="AG5">
        <v>3</v>
      </c>
      <c r="AH5">
        <v>0</v>
      </c>
      <c r="AI5">
        <v>0</v>
      </c>
      <c r="AJ5">
        <v>3</v>
      </c>
      <c r="AK5" s="2">
        <v>117519.5305405304</v>
      </c>
      <c r="AL5" s="6">
        <v>22.92</v>
      </c>
      <c r="AM5" s="6">
        <v>0</v>
      </c>
      <c r="AN5" s="6">
        <v>0</v>
      </c>
      <c r="AO5" s="6">
        <v>22.92</v>
      </c>
      <c r="AP5" s="3">
        <v>3.3026456127079461E-2</v>
      </c>
      <c r="AQ5">
        <v>0</v>
      </c>
      <c r="AR5">
        <v>0</v>
      </c>
      <c r="AS5">
        <v>0</v>
      </c>
      <c r="AT5">
        <v>0</v>
      </c>
      <c r="AU5" s="2">
        <v>0</v>
      </c>
      <c r="AV5" s="6">
        <v>0</v>
      </c>
      <c r="AW5" s="6">
        <v>0</v>
      </c>
      <c r="AX5" s="6">
        <v>0</v>
      </c>
      <c r="AY5" s="6">
        <v>0</v>
      </c>
      <c r="AZ5" s="3">
        <v>4.1605086250196397</v>
      </c>
      <c r="BA5">
        <v>43</v>
      </c>
      <c r="BB5">
        <v>2</v>
      </c>
      <c r="BC5">
        <v>0</v>
      </c>
      <c r="BD5">
        <v>45</v>
      </c>
      <c r="BE5" s="2">
        <v>884274.48463613831</v>
      </c>
      <c r="BF5" s="6">
        <v>240.58500000000001</v>
      </c>
      <c r="BG5" s="6">
        <v>172.2</v>
      </c>
      <c r="BH5" s="6">
        <v>0</v>
      </c>
      <c r="BI5" s="6">
        <v>412.78500000000003</v>
      </c>
      <c r="BJ5" s="3">
        <v>6.6282244209357044</v>
      </c>
      <c r="BK5" s="6">
        <v>335.80500000000001</v>
      </c>
      <c r="BL5" s="6">
        <v>172.2</v>
      </c>
      <c r="BM5" s="6">
        <v>0</v>
      </c>
      <c r="BN5" s="6">
        <v>508.005</v>
      </c>
      <c r="BO5" s="3">
        <v>11.623392880907881</v>
      </c>
      <c r="BP5" s="7">
        <v>55744.904999999999</v>
      </c>
      <c r="BQ5" s="2">
        <v>9.7383245309390301</v>
      </c>
      <c r="BR5" s="2">
        <v>42.199406300735802</v>
      </c>
    </row>
    <row r="6" spans="1:70" x14ac:dyDescent="0.3">
      <c r="A6">
        <v>1979</v>
      </c>
      <c r="B6" s="1">
        <v>198746</v>
      </c>
      <c r="C6" s="2">
        <v>1231782.7404541939</v>
      </c>
      <c r="D6" s="3">
        <v>6.197773743643614</v>
      </c>
      <c r="E6" s="1">
        <v>119247</v>
      </c>
      <c r="F6" s="4">
        <v>0.27451670004356521</v>
      </c>
      <c r="G6" s="4">
        <v>0.1230650960840093</v>
      </c>
      <c r="H6" s="4">
        <v>3.2919306634660271E-2</v>
      </c>
      <c r="I6" s="4">
        <v>0.10360597005144501</v>
      </c>
      <c r="J6" s="5">
        <v>1.8459764412601389</v>
      </c>
      <c r="K6">
        <v>40</v>
      </c>
      <c r="L6">
        <v>9649</v>
      </c>
      <c r="M6">
        <v>27258</v>
      </c>
      <c r="N6">
        <v>36947</v>
      </c>
      <c r="O6" s="6">
        <v>300</v>
      </c>
      <c r="P6" s="6">
        <v>24122.5</v>
      </c>
      <c r="Q6" s="6">
        <v>32709.599999999999</v>
      </c>
      <c r="R6" s="6">
        <v>57132.1</v>
      </c>
      <c r="S6" s="2">
        <v>0.35833333333333328</v>
      </c>
      <c r="T6" s="2">
        <v>11.534222222222221</v>
      </c>
      <c r="U6" s="2">
        <v>9.7750000000000004</v>
      </c>
      <c r="V6" s="2">
        <v>21.667555555555559</v>
      </c>
      <c r="W6">
        <v>4</v>
      </c>
      <c r="X6">
        <v>0</v>
      </c>
      <c r="Y6">
        <v>0</v>
      </c>
      <c r="Z6">
        <v>4</v>
      </c>
      <c r="AA6" s="2">
        <v>154242.64862974011</v>
      </c>
      <c r="AB6" s="6">
        <v>98.4</v>
      </c>
      <c r="AC6" s="6">
        <v>0</v>
      </c>
      <c r="AD6" s="6">
        <v>0</v>
      </c>
      <c r="AE6" s="6">
        <v>98.4</v>
      </c>
      <c r="AF6" s="3">
        <v>1.069207492181083</v>
      </c>
      <c r="AG6">
        <v>4</v>
      </c>
      <c r="AH6">
        <v>0</v>
      </c>
      <c r="AI6">
        <v>0</v>
      </c>
      <c r="AJ6">
        <v>4</v>
      </c>
      <c r="AK6" s="2">
        <v>136200.5105744274</v>
      </c>
      <c r="AL6" s="6">
        <v>31.36</v>
      </c>
      <c r="AM6" s="6">
        <v>0</v>
      </c>
      <c r="AN6" s="6">
        <v>0</v>
      </c>
      <c r="AO6" s="6">
        <v>31.36</v>
      </c>
      <c r="AP6" s="3">
        <v>4.5188667280148517E-2</v>
      </c>
      <c r="AQ6">
        <v>0</v>
      </c>
      <c r="AR6">
        <v>0</v>
      </c>
      <c r="AS6">
        <v>0</v>
      </c>
      <c r="AT6">
        <v>0</v>
      </c>
      <c r="AU6" s="2">
        <v>0</v>
      </c>
      <c r="AV6" s="6">
        <v>0</v>
      </c>
      <c r="AW6" s="6">
        <v>0</v>
      </c>
      <c r="AX6" s="6">
        <v>0</v>
      </c>
      <c r="AY6" s="6">
        <v>0</v>
      </c>
      <c r="AZ6" s="3">
        <v>5.3073809791672302</v>
      </c>
      <c r="BA6">
        <v>46</v>
      </c>
      <c r="BB6">
        <v>3</v>
      </c>
      <c r="BC6">
        <v>0</v>
      </c>
      <c r="BD6">
        <v>49</v>
      </c>
      <c r="BE6" s="2">
        <v>941339.58125002601</v>
      </c>
      <c r="BF6" s="6">
        <v>259.44</v>
      </c>
      <c r="BG6" s="6">
        <v>252.45</v>
      </c>
      <c r="BH6" s="6">
        <v>0</v>
      </c>
      <c r="BI6" s="6">
        <v>511.89</v>
      </c>
      <c r="BJ6" s="3">
        <v>8.5960029462184213</v>
      </c>
      <c r="BK6" s="6">
        <v>389.2</v>
      </c>
      <c r="BL6" s="6">
        <v>252.45</v>
      </c>
      <c r="BM6" s="6">
        <v>0</v>
      </c>
      <c r="BN6" s="6">
        <v>641.65</v>
      </c>
      <c r="BO6" s="3">
        <v>15.01778008484688</v>
      </c>
      <c r="BP6" s="7">
        <v>57773.75</v>
      </c>
      <c r="BQ6" s="2">
        <v>11.00560069212073</v>
      </c>
      <c r="BR6" s="2">
        <v>47.690936332523172</v>
      </c>
    </row>
    <row r="7" spans="1:70" x14ac:dyDescent="0.3">
      <c r="A7">
        <v>1980</v>
      </c>
      <c r="B7" s="1">
        <v>203733</v>
      </c>
      <c r="C7" s="2">
        <v>1331844.6482327881</v>
      </c>
      <c r="D7" s="3">
        <v>6.5372062858387601</v>
      </c>
      <c r="E7" s="1">
        <v>122239</v>
      </c>
      <c r="F7" s="4">
        <v>0.28244005865001409</v>
      </c>
      <c r="G7" s="4">
        <v>0.1285487745892121</v>
      </c>
      <c r="H7" s="4">
        <v>3.4017212427701393E-2</v>
      </c>
      <c r="I7" s="4">
        <v>0.1072912533637846</v>
      </c>
      <c r="J7" s="5">
        <v>1.9282316188381821</v>
      </c>
      <c r="K7">
        <v>47</v>
      </c>
      <c r="L7">
        <v>10187</v>
      </c>
      <c r="M7">
        <v>27685</v>
      </c>
      <c r="N7">
        <v>37919</v>
      </c>
      <c r="O7" s="6">
        <v>352.5</v>
      </c>
      <c r="P7" s="6">
        <v>25467.5</v>
      </c>
      <c r="Q7" s="6">
        <v>33222</v>
      </c>
      <c r="R7" s="6">
        <v>59042</v>
      </c>
      <c r="S7" s="2">
        <v>0.42499999999999999</v>
      </c>
      <c r="T7" s="2">
        <v>12.16288888888889</v>
      </c>
      <c r="U7" s="2">
        <v>9.916266666666667</v>
      </c>
      <c r="V7" s="2">
        <v>22.50415555555556</v>
      </c>
      <c r="W7">
        <v>4</v>
      </c>
      <c r="X7">
        <v>0</v>
      </c>
      <c r="Y7">
        <v>0</v>
      </c>
      <c r="Z7">
        <v>4</v>
      </c>
      <c r="AA7" s="2">
        <v>177388.82844621109</v>
      </c>
      <c r="AB7" s="6">
        <v>98</v>
      </c>
      <c r="AC7" s="6">
        <v>0</v>
      </c>
      <c r="AD7" s="6">
        <v>0</v>
      </c>
      <c r="AE7" s="6">
        <v>98</v>
      </c>
      <c r="AF7" s="3">
        <v>1.348289301903105</v>
      </c>
      <c r="AG7">
        <v>4</v>
      </c>
      <c r="AH7">
        <v>0</v>
      </c>
      <c r="AI7">
        <v>0</v>
      </c>
      <c r="AJ7">
        <v>4</v>
      </c>
      <c r="AK7" s="2">
        <v>154946.43999249311</v>
      </c>
      <c r="AL7" s="6">
        <v>30.72</v>
      </c>
      <c r="AM7" s="6">
        <v>0</v>
      </c>
      <c r="AN7" s="6">
        <v>0</v>
      </c>
      <c r="AO7" s="6">
        <v>30.72</v>
      </c>
      <c r="AP7" s="3">
        <v>5.8134434730614332E-2</v>
      </c>
      <c r="AQ7">
        <v>0</v>
      </c>
      <c r="AR7">
        <v>0</v>
      </c>
      <c r="AS7">
        <v>0</v>
      </c>
      <c r="AT7">
        <v>0</v>
      </c>
      <c r="AU7" s="2">
        <v>0</v>
      </c>
      <c r="AV7" s="6">
        <v>0</v>
      </c>
      <c r="AW7" s="6">
        <v>0</v>
      </c>
      <c r="AX7" s="6">
        <v>0</v>
      </c>
      <c r="AY7" s="6">
        <v>0</v>
      </c>
      <c r="AZ7" s="3">
        <v>6.4917010910817572</v>
      </c>
      <c r="BA7">
        <v>49</v>
      </c>
      <c r="BB7">
        <v>3</v>
      </c>
      <c r="BC7">
        <v>0</v>
      </c>
      <c r="BD7">
        <v>52</v>
      </c>
      <c r="BE7" s="2">
        <v>999509.37979408377</v>
      </c>
      <c r="BF7" s="6">
        <v>285.18</v>
      </c>
      <c r="BG7" s="6">
        <v>258.3</v>
      </c>
      <c r="BH7" s="6">
        <v>0</v>
      </c>
      <c r="BI7" s="6">
        <v>543.48</v>
      </c>
      <c r="BJ7" s="3">
        <v>10.59668814537063</v>
      </c>
      <c r="BK7" s="6">
        <v>413.9</v>
      </c>
      <c r="BL7" s="6">
        <v>258.3</v>
      </c>
      <c r="BM7" s="6">
        <v>0</v>
      </c>
      <c r="BN7" s="6">
        <v>672.2</v>
      </c>
      <c r="BO7" s="3">
        <v>18.494812973086109</v>
      </c>
      <c r="BP7" s="7">
        <v>59714.2</v>
      </c>
      <c r="BQ7" s="2">
        <v>12.2996905585925</v>
      </c>
      <c r="BR7" s="2">
        <v>53.298659087234171</v>
      </c>
    </row>
    <row r="8" spans="1:70" x14ac:dyDescent="0.3">
      <c r="A8">
        <v>1981</v>
      </c>
      <c r="B8" s="1">
        <v>208847</v>
      </c>
      <c r="C8" s="2">
        <v>1434046.874007592</v>
      </c>
      <c r="D8" s="3">
        <v>6.8664949652501228</v>
      </c>
      <c r="E8" s="1">
        <v>125308</v>
      </c>
      <c r="F8" s="4">
        <v>0.28976002551260638</v>
      </c>
      <c r="G8" s="4">
        <v>0.13392386898485281</v>
      </c>
      <c r="H8" s="4">
        <v>3.5116017494428928E-2</v>
      </c>
      <c r="I8" s="4">
        <v>0.1108665598561787</v>
      </c>
      <c r="J8" s="5">
        <v>2.0088580347727909</v>
      </c>
      <c r="K8">
        <v>55</v>
      </c>
      <c r="L8">
        <v>10724</v>
      </c>
      <c r="M8">
        <v>28137</v>
      </c>
      <c r="N8">
        <v>38916</v>
      </c>
      <c r="O8" s="6">
        <v>412.5</v>
      </c>
      <c r="P8" s="6">
        <v>26810</v>
      </c>
      <c r="Q8" s="6">
        <v>33764.400000000001</v>
      </c>
      <c r="R8" s="6">
        <v>60986.9</v>
      </c>
      <c r="S8" s="2">
        <v>0.49833333333333341</v>
      </c>
      <c r="T8" s="2">
        <v>12.78911111111111</v>
      </c>
      <c r="U8" s="2">
        <v>10.0664</v>
      </c>
      <c r="V8" s="2">
        <v>23.353844444444441</v>
      </c>
      <c r="W8">
        <v>4</v>
      </c>
      <c r="X8">
        <v>0</v>
      </c>
      <c r="Y8">
        <v>0</v>
      </c>
      <c r="Z8">
        <v>4</v>
      </c>
      <c r="AA8" s="2">
        <v>200676.8100035013</v>
      </c>
      <c r="AB8" s="6">
        <v>98.8</v>
      </c>
      <c r="AC8" s="6">
        <v>0</v>
      </c>
      <c r="AD8" s="6">
        <v>0</v>
      </c>
      <c r="AE8" s="6">
        <v>98.8</v>
      </c>
      <c r="AF8" s="3">
        <v>1.6383906208911709</v>
      </c>
      <c r="AG8">
        <v>4</v>
      </c>
      <c r="AH8">
        <v>0</v>
      </c>
      <c r="AI8">
        <v>0</v>
      </c>
      <c r="AJ8">
        <v>4</v>
      </c>
      <c r="AK8" s="2">
        <v>174140.8816959534</v>
      </c>
      <c r="AL8" s="6">
        <v>31.04</v>
      </c>
      <c r="AM8" s="6">
        <v>0</v>
      </c>
      <c r="AN8" s="6">
        <v>0</v>
      </c>
      <c r="AO8" s="6">
        <v>31.04</v>
      </c>
      <c r="AP8" s="3">
        <v>7.184867990128975E-2</v>
      </c>
      <c r="AQ8">
        <v>0</v>
      </c>
      <c r="AR8">
        <v>0</v>
      </c>
      <c r="AS8">
        <v>0</v>
      </c>
      <c r="AT8">
        <v>0</v>
      </c>
      <c r="AU8" s="2">
        <v>0</v>
      </c>
      <c r="AV8" s="6">
        <v>0</v>
      </c>
      <c r="AW8" s="6">
        <v>0</v>
      </c>
      <c r="AX8" s="6">
        <v>0</v>
      </c>
      <c r="AY8" s="6">
        <v>0</v>
      </c>
      <c r="AZ8" s="3">
        <v>7.7114213027120257</v>
      </c>
      <c r="BA8">
        <v>51</v>
      </c>
      <c r="BB8">
        <v>3</v>
      </c>
      <c r="BC8">
        <v>0</v>
      </c>
      <c r="BD8">
        <v>54</v>
      </c>
      <c r="BE8" s="2">
        <v>1059229.1823081381</v>
      </c>
      <c r="BF8" s="6">
        <v>296.82</v>
      </c>
      <c r="BG8" s="6">
        <v>254.4</v>
      </c>
      <c r="BH8" s="6">
        <v>0</v>
      </c>
      <c r="BI8" s="6">
        <v>551.22</v>
      </c>
      <c r="BJ8" s="3">
        <v>12.628674973352339</v>
      </c>
      <c r="BK8" s="6">
        <v>426.66</v>
      </c>
      <c r="BL8" s="6">
        <v>254.4</v>
      </c>
      <c r="BM8" s="6">
        <v>0</v>
      </c>
      <c r="BN8" s="6">
        <v>681.06</v>
      </c>
      <c r="BO8" s="3">
        <v>22.050335576856831</v>
      </c>
      <c r="BP8" s="7">
        <v>61667.96</v>
      </c>
      <c r="BQ8" s="2">
        <v>13.62125400639038</v>
      </c>
      <c r="BR8" s="2">
        <v>59.025434027691652</v>
      </c>
    </row>
    <row r="9" spans="1:70" x14ac:dyDescent="0.3">
      <c r="A9">
        <v>1982</v>
      </c>
      <c r="B9" s="1">
        <v>214090</v>
      </c>
      <c r="C9" s="2">
        <v>1539222.8378228049</v>
      </c>
      <c r="D9" s="3">
        <v>7.1896064170339793</v>
      </c>
      <c r="E9" s="1">
        <v>128454</v>
      </c>
      <c r="F9" s="4">
        <v>0.29662360568559831</v>
      </c>
      <c r="G9" s="4">
        <v>0.1391925293803582</v>
      </c>
      <c r="H9" s="4">
        <v>3.6227409698358519E-2</v>
      </c>
      <c r="I9" s="4">
        <v>0.1143632019841499</v>
      </c>
      <c r="J9" s="5">
        <v>2.087887940705373</v>
      </c>
      <c r="K9">
        <v>64</v>
      </c>
      <c r="L9">
        <v>11264</v>
      </c>
      <c r="M9">
        <v>28610</v>
      </c>
      <c r="N9">
        <v>39938</v>
      </c>
      <c r="O9" s="6">
        <v>480</v>
      </c>
      <c r="P9" s="6">
        <v>28160</v>
      </c>
      <c r="Q9" s="6">
        <v>34332</v>
      </c>
      <c r="R9" s="6">
        <v>62972</v>
      </c>
      <c r="S9" s="2">
        <v>0.57833333333333337</v>
      </c>
      <c r="T9" s="2">
        <v>13.418222222222219</v>
      </c>
      <c r="U9" s="2">
        <v>10.224</v>
      </c>
      <c r="V9" s="2">
        <v>24.22055555555556</v>
      </c>
      <c r="W9">
        <v>5</v>
      </c>
      <c r="X9">
        <v>0</v>
      </c>
      <c r="Y9">
        <v>0</v>
      </c>
      <c r="Z9">
        <v>5</v>
      </c>
      <c r="AA9" s="2">
        <v>224374.12397886239</v>
      </c>
      <c r="AB9" s="6">
        <v>121.5</v>
      </c>
      <c r="AC9" s="6">
        <v>0</v>
      </c>
      <c r="AD9" s="6">
        <v>0</v>
      </c>
      <c r="AE9" s="6">
        <v>121.5</v>
      </c>
      <c r="AF9" s="3">
        <v>1.939161091595125</v>
      </c>
      <c r="AG9">
        <v>5</v>
      </c>
      <c r="AH9">
        <v>0</v>
      </c>
      <c r="AI9">
        <v>0</v>
      </c>
      <c r="AJ9">
        <v>5</v>
      </c>
      <c r="AK9" s="2">
        <v>194026.9579443722</v>
      </c>
      <c r="AL9" s="6">
        <v>39</v>
      </c>
      <c r="AM9" s="6">
        <v>0</v>
      </c>
      <c r="AN9" s="6">
        <v>0</v>
      </c>
      <c r="AO9" s="6">
        <v>39</v>
      </c>
      <c r="AP9" s="3">
        <v>8.6321299002477078E-2</v>
      </c>
      <c r="AQ9">
        <v>0</v>
      </c>
      <c r="AR9">
        <v>0</v>
      </c>
      <c r="AS9">
        <v>0</v>
      </c>
      <c r="AT9">
        <v>0</v>
      </c>
      <c r="AU9" s="2">
        <v>0</v>
      </c>
      <c r="AV9" s="6">
        <v>0</v>
      </c>
      <c r="AW9" s="6">
        <v>0</v>
      </c>
      <c r="AX9" s="6">
        <v>0</v>
      </c>
      <c r="AY9" s="6">
        <v>0</v>
      </c>
      <c r="AZ9" s="3">
        <v>8.9651665420454894</v>
      </c>
      <c r="BA9">
        <v>54</v>
      </c>
      <c r="BB9">
        <v>3</v>
      </c>
      <c r="BC9">
        <v>0</v>
      </c>
      <c r="BD9">
        <v>57</v>
      </c>
      <c r="BE9" s="2">
        <v>1120821.75589957</v>
      </c>
      <c r="BF9" s="6">
        <v>311.85000000000002</v>
      </c>
      <c r="BG9" s="6">
        <v>260.25</v>
      </c>
      <c r="BH9" s="6">
        <v>0</v>
      </c>
      <c r="BI9" s="6">
        <v>572.1</v>
      </c>
      <c r="BJ9" s="3">
        <v>14.69142337566231</v>
      </c>
      <c r="BK9" s="6">
        <v>472.35</v>
      </c>
      <c r="BL9" s="6">
        <v>260.25</v>
      </c>
      <c r="BM9" s="6">
        <v>0</v>
      </c>
      <c r="BN9" s="6">
        <v>732.6</v>
      </c>
      <c r="BO9" s="3">
        <v>25.682072308305401</v>
      </c>
      <c r="BP9" s="7">
        <v>63704.6</v>
      </c>
      <c r="BQ9" s="2">
        <v>14.97078835915829</v>
      </c>
      <c r="BR9" s="2">
        <v>64.873416223019248</v>
      </c>
    </row>
    <row r="10" spans="1:70" x14ac:dyDescent="0.3">
      <c r="A10">
        <v>1983</v>
      </c>
      <c r="B10" s="1">
        <v>219466</v>
      </c>
      <c r="C10" s="2">
        <v>1648026.3090112261</v>
      </c>
      <c r="D10" s="3">
        <v>7.5092556888594411</v>
      </c>
      <c r="E10" s="1">
        <v>131679</v>
      </c>
      <c r="F10" s="4">
        <v>0.30312832415910501</v>
      </c>
      <c r="G10" s="4">
        <v>0.14435686331013661</v>
      </c>
      <c r="H10" s="4">
        <v>3.7360160604184713E-2</v>
      </c>
      <c r="I10" s="4">
        <v>0.1178033289865498</v>
      </c>
      <c r="J10" s="5">
        <v>2.1653529496520489</v>
      </c>
      <c r="K10">
        <v>74</v>
      </c>
      <c r="L10">
        <v>11811</v>
      </c>
      <c r="M10">
        <v>29102</v>
      </c>
      <c r="N10">
        <v>40987</v>
      </c>
      <c r="O10" s="6">
        <v>555</v>
      </c>
      <c r="P10" s="6">
        <v>29527.5</v>
      </c>
      <c r="Q10" s="6">
        <v>34922.400000000001</v>
      </c>
      <c r="R10" s="6">
        <v>65004.9</v>
      </c>
      <c r="S10" s="2">
        <v>0.66500000000000004</v>
      </c>
      <c r="T10" s="2">
        <v>14.054</v>
      </c>
      <c r="U10" s="2">
        <v>10.388199999999999</v>
      </c>
      <c r="V10" s="2">
        <v>25.107199999999999</v>
      </c>
      <c r="W10">
        <v>5</v>
      </c>
      <c r="X10">
        <v>0</v>
      </c>
      <c r="Y10">
        <v>0</v>
      </c>
      <c r="Z10">
        <v>5</v>
      </c>
      <c r="AA10" s="2">
        <v>248675.35205553571</v>
      </c>
      <c r="AB10" s="6">
        <v>123</v>
      </c>
      <c r="AC10" s="6">
        <v>0</v>
      </c>
      <c r="AD10" s="6">
        <v>0</v>
      </c>
      <c r="AE10" s="6">
        <v>123</v>
      </c>
      <c r="AF10" s="3">
        <v>2.2503702791874209</v>
      </c>
      <c r="AG10">
        <v>5</v>
      </c>
      <c r="AH10">
        <v>0</v>
      </c>
      <c r="AI10">
        <v>0</v>
      </c>
      <c r="AJ10">
        <v>5</v>
      </c>
      <c r="AK10" s="2">
        <v>214784.46673910561</v>
      </c>
      <c r="AL10" s="6">
        <v>38.4</v>
      </c>
      <c r="AM10" s="6">
        <v>0</v>
      </c>
      <c r="AN10" s="6">
        <v>0</v>
      </c>
      <c r="AO10" s="6">
        <v>38.4</v>
      </c>
      <c r="AP10" s="3">
        <v>0.1015466122444029</v>
      </c>
      <c r="AQ10">
        <v>0</v>
      </c>
      <c r="AR10">
        <v>0</v>
      </c>
      <c r="AS10">
        <v>0</v>
      </c>
      <c r="AT10">
        <v>0</v>
      </c>
      <c r="AU10" s="2">
        <v>0</v>
      </c>
      <c r="AV10" s="6">
        <v>0</v>
      </c>
      <c r="AW10" s="6">
        <v>0</v>
      </c>
      <c r="AX10" s="6">
        <v>0</v>
      </c>
      <c r="AY10" s="6">
        <v>0</v>
      </c>
      <c r="AZ10" s="3">
        <v>10.25213534253187</v>
      </c>
      <c r="BA10">
        <v>57</v>
      </c>
      <c r="BB10">
        <v>3</v>
      </c>
      <c r="BC10">
        <v>0</v>
      </c>
      <c r="BD10">
        <v>60</v>
      </c>
      <c r="BE10" s="2">
        <v>1184566.4902165851</v>
      </c>
      <c r="BF10" s="6">
        <v>316.35000000000002</v>
      </c>
      <c r="BG10" s="6">
        <v>260.25</v>
      </c>
      <c r="BH10" s="6">
        <v>0</v>
      </c>
      <c r="BI10" s="6">
        <v>576.6</v>
      </c>
      <c r="BJ10" s="3">
        <v>16.78527148049611</v>
      </c>
      <c r="BK10" s="6">
        <v>477.75</v>
      </c>
      <c r="BL10" s="6">
        <v>260.25</v>
      </c>
      <c r="BM10" s="6">
        <v>0</v>
      </c>
      <c r="BN10" s="6">
        <v>738</v>
      </c>
      <c r="BO10" s="3">
        <v>29.38932371445981</v>
      </c>
      <c r="BP10" s="7">
        <v>65742.899999999994</v>
      </c>
      <c r="BQ10" s="2">
        <v>16.348957114337939</v>
      </c>
      <c r="BR10" s="2">
        <v>70.845480828797747</v>
      </c>
    </row>
    <row r="11" spans="1:70" x14ac:dyDescent="0.3">
      <c r="A11">
        <v>1984</v>
      </c>
      <c r="B11" s="1">
        <v>224979</v>
      </c>
      <c r="C11" s="2">
        <v>1761026.3662961421</v>
      </c>
      <c r="D11" s="3">
        <v>7.827514418217441</v>
      </c>
      <c r="E11" s="1">
        <v>134987</v>
      </c>
      <c r="F11" s="4">
        <v>0.30934451110341521</v>
      </c>
      <c r="G11" s="4">
        <v>0.14941893657661839</v>
      </c>
      <c r="H11" s="4">
        <v>3.8521763661291127E-2</v>
      </c>
      <c r="I11" s="4">
        <v>0.12120431255805671</v>
      </c>
      <c r="J11" s="5">
        <v>2.241284048649276</v>
      </c>
      <c r="K11">
        <v>85</v>
      </c>
      <c r="L11">
        <v>12368</v>
      </c>
      <c r="M11">
        <v>29612</v>
      </c>
      <c r="N11">
        <v>42065</v>
      </c>
      <c r="O11" s="6">
        <v>637.5</v>
      </c>
      <c r="P11" s="6">
        <v>30920</v>
      </c>
      <c r="Q11" s="6">
        <v>35534.400000000001</v>
      </c>
      <c r="R11" s="6">
        <v>67091.899999999994</v>
      </c>
      <c r="S11" s="2">
        <v>0.76</v>
      </c>
      <c r="T11" s="2">
        <v>14.69933333333333</v>
      </c>
      <c r="U11" s="2">
        <v>10.55826666666667</v>
      </c>
      <c r="V11" s="2">
        <v>26.017600000000002</v>
      </c>
      <c r="W11">
        <v>6</v>
      </c>
      <c r="X11">
        <v>0</v>
      </c>
      <c r="Y11">
        <v>0</v>
      </c>
      <c r="Z11">
        <v>6</v>
      </c>
      <c r="AA11" s="2">
        <v>273737.4547501629</v>
      </c>
      <c r="AB11" s="6">
        <v>147</v>
      </c>
      <c r="AC11" s="6">
        <v>0</v>
      </c>
      <c r="AD11" s="6">
        <v>0</v>
      </c>
      <c r="AE11" s="6">
        <v>147</v>
      </c>
      <c r="AF11" s="3">
        <v>2.571914205736221</v>
      </c>
      <c r="AG11">
        <v>6</v>
      </c>
      <c r="AH11">
        <v>0</v>
      </c>
      <c r="AI11">
        <v>0</v>
      </c>
      <c r="AJ11">
        <v>6</v>
      </c>
      <c r="AK11" s="2">
        <v>236562.74199528139</v>
      </c>
      <c r="AL11" s="6">
        <v>47.28</v>
      </c>
      <c r="AM11" s="6">
        <v>0</v>
      </c>
      <c r="AN11" s="6">
        <v>0</v>
      </c>
      <c r="AO11" s="6">
        <v>47.28</v>
      </c>
      <c r="AP11" s="3">
        <v>0.11752380318123939</v>
      </c>
      <c r="AQ11">
        <v>0</v>
      </c>
      <c r="AR11">
        <v>0</v>
      </c>
      <c r="AS11">
        <v>0</v>
      </c>
      <c r="AT11">
        <v>0</v>
      </c>
      <c r="AU11" s="2">
        <v>0</v>
      </c>
      <c r="AV11" s="6">
        <v>0</v>
      </c>
      <c r="AW11" s="6">
        <v>0</v>
      </c>
      <c r="AX11" s="6">
        <v>0</v>
      </c>
      <c r="AY11" s="6">
        <v>0</v>
      </c>
      <c r="AZ11" s="3">
        <v>11.57211831184828</v>
      </c>
      <c r="BA11">
        <v>60</v>
      </c>
      <c r="BB11">
        <v>4</v>
      </c>
      <c r="BC11">
        <v>0</v>
      </c>
      <c r="BD11">
        <v>64</v>
      </c>
      <c r="BE11" s="2">
        <v>1250726.1695506971</v>
      </c>
      <c r="BF11" s="6">
        <v>346.5</v>
      </c>
      <c r="BG11" s="6">
        <v>341.8</v>
      </c>
      <c r="BH11" s="6">
        <v>0</v>
      </c>
      <c r="BI11" s="6">
        <v>688.3</v>
      </c>
      <c r="BJ11" s="3">
        <v>18.911462193280212</v>
      </c>
      <c r="BK11" s="6">
        <v>540.78</v>
      </c>
      <c r="BL11" s="6">
        <v>341.8</v>
      </c>
      <c r="BM11" s="6">
        <v>0</v>
      </c>
      <c r="BN11" s="6">
        <v>882.58</v>
      </c>
      <c r="BO11" s="3">
        <v>33.17301851404595</v>
      </c>
      <c r="BP11" s="7">
        <v>67974.48</v>
      </c>
      <c r="BQ11" s="2">
        <v>17.75718555421378</v>
      </c>
      <c r="BR11" s="2">
        <v>76.947804068259728</v>
      </c>
    </row>
    <row r="12" spans="1:70" x14ac:dyDescent="0.3">
      <c r="A12">
        <v>1985</v>
      </c>
      <c r="B12" s="1">
        <v>230632</v>
      </c>
      <c r="C12" s="2">
        <v>1878701.118134914</v>
      </c>
      <c r="D12" s="3">
        <v>8.1458822632371639</v>
      </c>
      <c r="E12" s="1">
        <v>138379</v>
      </c>
      <c r="F12" s="4">
        <v>0.31532197950978907</v>
      </c>
      <c r="G12" s="4">
        <v>0.1543807740766055</v>
      </c>
      <c r="H12" s="4">
        <v>3.9718409333574248E-2</v>
      </c>
      <c r="I12" s="4">
        <v>0.1245794574747276</v>
      </c>
      <c r="J12" s="5">
        <v>2.3157116111490819</v>
      </c>
      <c r="K12">
        <v>97</v>
      </c>
      <c r="L12">
        <v>12935</v>
      </c>
      <c r="M12">
        <v>30138</v>
      </c>
      <c r="N12">
        <v>43170</v>
      </c>
      <c r="O12" s="6">
        <v>727.5</v>
      </c>
      <c r="P12" s="6">
        <v>32337.5</v>
      </c>
      <c r="Q12" s="6">
        <v>36165.599999999999</v>
      </c>
      <c r="R12" s="6">
        <v>69230.600000000006</v>
      </c>
      <c r="S12" s="2">
        <v>0.86499999999999999</v>
      </c>
      <c r="T12" s="2">
        <v>15.35644444444444</v>
      </c>
      <c r="U12" s="2">
        <v>10.733866666666669</v>
      </c>
      <c r="V12" s="2">
        <v>26.955311111111111</v>
      </c>
      <c r="W12">
        <v>6</v>
      </c>
      <c r="X12">
        <v>0</v>
      </c>
      <c r="Y12">
        <v>0</v>
      </c>
      <c r="Z12">
        <v>6</v>
      </c>
      <c r="AA12" s="2">
        <v>299691.34110723191</v>
      </c>
      <c r="AB12" s="6">
        <v>148.80000000000001</v>
      </c>
      <c r="AC12" s="6">
        <v>0</v>
      </c>
      <c r="AD12" s="6">
        <v>0</v>
      </c>
      <c r="AE12" s="6">
        <v>148.80000000000001</v>
      </c>
      <c r="AF12" s="3">
        <v>2.903796468472537</v>
      </c>
      <c r="AG12">
        <v>6</v>
      </c>
      <c r="AH12">
        <v>0</v>
      </c>
      <c r="AI12">
        <v>0</v>
      </c>
      <c r="AJ12">
        <v>6</v>
      </c>
      <c r="AK12" s="2">
        <v>259490.260713939</v>
      </c>
      <c r="AL12" s="6">
        <v>46.08</v>
      </c>
      <c r="AM12" s="6">
        <v>0</v>
      </c>
      <c r="AN12" s="6">
        <v>0</v>
      </c>
      <c r="AO12" s="6">
        <v>46.08</v>
      </c>
      <c r="AP12" s="3">
        <v>0.13425630221415591</v>
      </c>
      <c r="AQ12">
        <v>0</v>
      </c>
      <c r="AR12">
        <v>0</v>
      </c>
      <c r="AS12">
        <v>0</v>
      </c>
      <c r="AT12">
        <v>0</v>
      </c>
      <c r="AU12" s="2">
        <v>0</v>
      </c>
      <c r="AV12" s="6">
        <v>0</v>
      </c>
      <c r="AW12" s="6">
        <v>0</v>
      </c>
      <c r="AX12" s="6">
        <v>0</v>
      </c>
      <c r="AY12" s="6">
        <v>0</v>
      </c>
      <c r="AZ12" s="3">
        <v>12.925397823840211</v>
      </c>
      <c r="BA12">
        <v>64</v>
      </c>
      <c r="BB12">
        <v>4</v>
      </c>
      <c r="BC12">
        <v>0</v>
      </c>
      <c r="BD12">
        <v>68</v>
      </c>
      <c r="BE12" s="2">
        <v>1319519.5163137431</v>
      </c>
      <c r="BF12" s="6">
        <v>369.6</v>
      </c>
      <c r="BG12" s="6">
        <v>334</v>
      </c>
      <c r="BH12" s="6">
        <v>0</v>
      </c>
      <c r="BI12" s="6">
        <v>703.6</v>
      </c>
      <c r="BJ12" s="3">
        <v>21.071958599622931</v>
      </c>
      <c r="BK12" s="6">
        <v>564.48</v>
      </c>
      <c r="BL12" s="6">
        <v>334</v>
      </c>
      <c r="BM12" s="6">
        <v>0</v>
      </c>
      <c r="BN12" s="6">
        <v>898.48</v>
      </c>
      <c r="BO12" s="3">
        <v>37.035409194149842</v>
      </c>
      <c r="BP12" s="7">
        <v>70129.08</v>
      </c>
      <c r="BQ12" s="2">
        <v>19.19721609157828</v>
      </c>
      <c r="BR12" s="2">
        <v>83.187936396839234</v>
      </c>
    </row>
    <row r="13" spans="1:70" x14ac:dyDescent="0.3">
      <c r="A13">
        <v>1986</v>
      </c>
      <c r="B13" s="1">
        <v>236429</v>
      </c>
      <c r="C13" s="2">
        <v>2001505.1055334299</v>
      </c>
      <c r="D13" s="3">
        <v>8.4655651613525844</v>
      </c>
      <c r="E13" s="1">
        <v>141857</v>
      </c>
      <c r="F13" s="4">
        <v>0.32109885188341453</v>
      </c>
      <c r="G13" s="4">
        <v>0.15924436061125649</v>
      </c>
      <c r="H13" s="4">
        <v>4.0955809553380872E-2</v>
      </c>
      <c r="I13" s="4">
        <v>0.12793993026303099</v>
      </c>
      <c r="J13" s="5">
        <v>2.3886654091688468</v>
      </c>
      <c r="K13">
        <v>110</v>
      </c>
      <c r="L13">
        <v>13515</v>
      </c>
      <c r="M13">
        <v>30680</v>
      </c>
      <c r="N13">
        <v>44305</v>
      </c>
      <c r="O13" s="6">
        <v>825</v>
      </c>
      <c r="P13" s="6">
        <v>33787.5</v>
      </c>
      <c r="Q13" s="6">
        <v>36816</v>
      </c>
      <c r="R13" s="6">
        <v>71428.5</v>
      </c>
      <c r="S13" s="2">
        <v>0.97833333333333339</v>
      </c>
      <c r="T13" s="2">
        <v>16.027111111111111</v>
      </c>
      <c r="U13" s="2">
        <v>10.9146</v>
      </c>
      <c r="V13" s="2">
        <v>27.920044444444439</v>
      </c>
      <c r="W13">
        <v>7</v>
      </c>
      <c r="X13">
        <v>0</v>
      </c>
      <c r="Y13">
        <v>0</v>
      </c>
      <c r="Z13">
        <v>7</v>
      </c>
      <c r="AA13" s="2">
        <v>326655.79904844961</v>
      </c>
      <c r="AB13" s="6">
        <v>170.8</v>
      </c>
      <c r="AC13" s="6">
        <v>0</v>
      </c>
      <c r="AD13" s="6">
        <v>0</v>
      </c>
      <c r="AE13" s="6">
        <v>170.8</v>
      </c>
      <c r="AF13" s="3">
        <v>3.2461259171141101</v>
      </c>
      <c r="AG13">
        <v>7</v>
      </c>
      <c r="AH13">
        <v>0</v>
      </c>
      <c r="AI13">
        <v>0</v>
      </c>
      <c r="AJ13">
        <v>7</v>
      </c>
      <c r="AK13" s="2">
        <v>283687.63333744742</v>
      </c>
      <c r="AL13" s="6">
        <v>53.76</v>
      </c>
      <c r="AM13" s="6">
        <v>0</v>
      </c>
      <c r="AN13" s="6">
        <v>0</v>
      </c>
      <c r="AO13" s="6">
        <v>53.76</v>
      </c>
      <c r="AP13" s="3">
        <v>0.15175183134564479</v>
      </c>
      <c r="AQ13">
        <v>0</v>
      </c>
      <c r="AR13">
        <v>0</v>
      </c>
      <c r="AS13">
        <v>0</v>
      </c>
      <c r="AT13">
        <v>0</v>
      </c>
      <c r="AU13" s="2">
        <v>0</v>
      </c>
      <c r="AV13" s="6">
        <v>0</v>
      </c>
      <c r="AW13" s="6">
        <v>0</v>
      </c>
      <c r="AX13" s="6">
        <v>0</v>
      </c>
      <c r="AY13" s="6">
        <v>0</v>
      </c>
      <c r="AZ13" s="3">
        <v>14.31272804519827</v>
      </c>
      <c r="BA13">
        <v>67</v>
      </c>
      <c r="BB13">
        <v>4</v>
      </c>
      <c r="BC13">
        <v>0</v>
      </c>
      <c r="BD13">
        <v>71</v>
      </c>
      <c r="BE13" s="2">
        <v>1391161.6731475331</v>
      </c>
      <c r="BF13" s="6">
        <v>386.92500000000001</v>
      </c>
      <c r="BG13" s="6">
        <v>336.6</v>
      </c>
      <c r="BH13" s="6">
        <v>0</v>
      </c>
      <c r="BI13" s="6">
        <v>723.52499999999998</v>
      </c>
      <c r="BJ13" s="3">
        <v>23.26940637924335</v>
      </c>
      <c r="BK13" s="6">
        <v>611.48500000000001</v>
      </c>
      <c r="BL13" s="6">
        <v>336.6</v>
      </c>
      <c r="BM13" s="6">
        <v>0</v>
      </c>
      <c r="BN13" s="6">
        <v>948.08500000000004</v>
      </c>
      <c r="BO13" s="3">
        <v>40.980012172901382</v>
      </c>
      <c r="BP13" s="7">
        <v>72376.585000000006</v>
      </c>
      <c r="BQ13" s="2">
        <v>20.670016985203748</v>
      </c>
      <c r="BR13" s="2">
        <v>89.57007360254957</v>
      </c>
    </row>
    <row r="14" spans="1:70" x14ac:dyDescent="0.3">
      <c r="A14">
        <v>1987</v>
      </c>
      <c r="B14" s="1">
        <v>242373</v>
      </c>
      <c r="C14" s="2">
        <v>2129873.529277523</v>
      </c>
      <c r="D14" s="3">
        <v>8.7875857842149205</v>
      </c>
      <c r="E14" s="1">
        <v>145423</v>
      </c>
      <c r="F14" s="4">
        <v>0.32670547315858872</v>
      </c>
      <c r="G14" s="4">
        <v>0.16401164168003399</v>
      </c>
      <c r="H14" s="4">
        <v>4.2239521155324311E-2</v>
      </c>
      <c r="I14" s="4">
        <v>0.13129555520283909</v>
      </c>
      <c r="J14" s="5">
        <v>2.460174625200509</v>
      </c>
      <c r="K14">
        <v>123</v>
      </c>
      <c r="L14">
        <v>14109</v>
      </c>
      <c r="M14">
        <v>31237</v>
      </c>
      <c r="N14">
        <v>45469</v>
      </c>
      <c r="O14" s="6">
        <v>922.5</v>
      </c>
      <c r="P14" s="6">
        <v>35272.5</v>
      </c>
      <c r="Q14" s="6">
        <v>37484.400000000001</v>
      </c>
      <c r="R14" s="6">
        <v>73679.399999999994</v>
      </c>
      <c r="S14" s="2">
        <v>1.1000000000000001</v>
      </c>
      <c r="T14" s="2">
        <v>16.712888888888891</v>
      </c>
      <c r="U14" s="2">
        <v>11.100199999999999</v>
      </c>
      <c r="V14" s="2">
        <v>28.91308888888889</v>
      </c>
      <c r="W14">
        <v>8</v>
      </c>
      <c r="X14">
        <v>0</v>
      </c>
      <c r="Y14">
        <v>0</v>
      </c>
      <c r="Z14">
        <v>8</v>
      </c>
      <c r="AA14" s="2">
        <v>354741.47227531252</v>
      </c>
      <c r="AB14" s="6">
        <v>196.8</v>
      </c>
      <c r="AC14" s="6">
        <v>0</v>
      </c>
      <c r="AD14" s="6">
        <v>0</v>
      </c>
      <c r="AE14" s="6">
        <v>196.8</v>
      </c>
      <c r="AF14" s="3">
        <v>3.599088956668445</v>
      </c>
      <c r="AG14">
        <v>8</v>
      </c>
      <c r="AH14">
        <v>0</v>
      </c>
      <c r="AI14">
        <v>0</v>
      </c>
      <c r="AJ14">
        <v>8</v>
      </c>
      <c r="AK14" s="2">
        <v>309271.12512214028</v>
      </c>
      <c r="AL14" s="6">
        <v>62.08</v>
      </c>
      <c r="AM14" s="6">
        <v>0</v>
      </c>
      <c r="AN14" s="6">
        <v>0</v>
      </c>
      <c r="AO14" s="6">
        <v>62.08</v>
      </c>
      <c r="AP14" s="3">
        <v>0.1700213845128247</v>
      </c>
      <c r="AQ14">
        <v>0</v>
      </c>
      <c r="AR14">
        <v>0</v>
      </c>
      <c r="AS14">
        <v>0</v>
      </c>
      <c r="AT14">
        <v>0</v>
      </c>
      <c r="AU14" s="2">
        <v>0</v>
      </c>
      <c r="AV14" s="6">
        <v>0</v>
      </c>
      <c r="AW14" s="6">
        <v>0</v>
      </c>
      <c r="AX14" s="6">
        <v>0</v>
      </c>
      <c r="AY14" s="6">
        <v>0</v>
      </c>
      <c r="AZ14" s="3">
        <v>15.7351969636817</v>
      </c>
      <c r="BA14">
        <v>70</v>
      </c>
      <c r="BB14">
        <v>4</v>
      </c>
      <c r="BC14">
        <v>0</v>
      </c>
      <c r="BD14">
        <v>74</v>
      </c>
      <c r="BE14" s="2">
        <v>1465860.9318800699</v>
      </c>
      <c r="BF14" s="6">
        <v>401.1</v>
      </c>
      <c r="BG14" s="6">
        <v>334</v>
      </c>
      <c r="BH14" s="6">
        <v>0</v>
      </c>
      <c r="BI14" s="6">
        <v>735.1</v>
      </c>
      <c r="BJ14" s="3">
        <v>25.50688736282887</v>
      </c>
      <c r="BK14" s="6">
        <v>659.98</v>
      </c>
      <c r="BL14" s="6">
        <v>334</v>
      </c>
      <c r="BM14" s="6">
        <v>0</v>
      </c>
      <c r="BN14" s="6">
        <v>993.98</v>
      </c>
      <c r="BO14" s="3">
        <v>45.011194667691839</v>
      </c>
      <c r="BP14" s="7">
        <v>74673.38</v>
      </c>
      <c r="BQ14" s="2">
        <v>22.177285066974211</v>
      </c>
      <c r="BR14" s="2">
        <v>96.101568623554925</v>
      </c>
    </row>
    <row r="15" spans="1:70" x14ac:dyDescent="0.3">
      <c r="A15">
        <v>1988</v>
      </c>
      <c r="B15" s="1">
        <v>248468</v>
      </c>
      <c r="C15" s="2">
        <v>2264244.40776509</v>
      </c>
      <c r="D15" s="3">
        <v>9.1128209981369412</v>
      </c>
      <c r="E15" s="1">
        <v>149080</v>
      </c>
      <c r="F15" s="4">
        <v>0.3321662963469445</v>
      </c>
      <c r="G15" s="4">
        <v>0.1686845242589301</v>
      </c>
      <c r="H15" s="4">
        <v>4.3575036814313663E-2</v>
      </c>
      <c r="I15" s="4">
        <v>0.13465511521157369</v>
      </c>
      <c r="J15" s="5">
        <v>2.5302678638839522</v>
      </c>
      <c r="K15">
        <v>139</v>
      </c>
      <c r="L15">
        <v>14719</v>
      </c>
      <c r="M15">
        <v>31808</v>
      </c>
      <c r="N15">
        <v>46666</v>
      </c>
      <c r="O15" s="6">
        <v>1042.5</v>
      </c>
      <c r="P15" s="6">
        <v>36797.5</v>
      </c>
      <c r="Q15" s="6">
        <v>38169.599999999999</v>
      </c>
      <c r="R15" s="6">
        <v>76009.600000000006</v>
      </c>
      <c r="S15" s="2">
        <v>1.2333333333333329</v>
      </c>
      <c r="T15" s="2">
        <v>17.415111111111109</v>
      </c>
      <c r="U15" s="2">
        <v>11.2906</v>
      </c>
      <c r="V15" s="2">
        <v>29.939044444444448</v>
      </c>
      <c r="W15">
        <v>8</v>
      </c>
      <c r="X15">
        <v>0</v>
      </c>
      <c r="Y15">
        <v>0</v>
      </c>
      <c r="Z15">
        <v>8</v>
      </c>
      <c r="AA15" s="2">
        <v>384055.6284070324</v>
      </c>
      <c r="AB15" s="6">
        <v>197.6</v>
      </c>
      <c r="AC15" s="6">
        <v>0</v>
      </c>
      <c r="AD15" s="6">
        <v>0</v>
      </c>
      <c r="AE15" s="6">
        <v>197.6</v>
      </c>
      <c r="AF15" s="3">
        <v>3.9629324207261232</v>
      </c>
      <c r="AG15">
        <v>8</v>
      </c>
      <c r="AH15">
        <v>0</v>
      </c>
      <c r="AI15">
        <v>0</v>
      </c>
      <c r="AJ15">
        <v>8</v>
      </c>
      <c r="AK15" s="2">
        <v>336357.24324452278</v>
      </c>
      <c r="AL15" s="6">
        <v>62.4</v>
      </c>
      <c r="AM15" s="6">
        <v>0</v>
      </c>
      <c r="AN15" s="6">
        <v>0</v>
      </c>
      <c r="AO15" s="6">
        <v>62.4</v>
      </c>
      <c r="AP15" s="3">
        <v>0.18907860970484761</v>
      </c>
      <c r="AQ15">
        <v>0</v>
      </c>
      <c r="AR15">
        <v>0</v>
      </c>
      <c r="AS15">
        <v>0</v>
      </c>
      <c r="AT15">
        <v>0</v>
      </c>
      <c r="AU15" s="2">
        <v>0</v>
      </c>
      <c r="AV15" s="6">
        <v>0</v>
      </c>
      <c r="AW15" s="6">
        <v>0</v>
      </c>
      <c r="AX15" s="6">
        <v>0</v>
      </c>
      <c r="AY15" s="6">
        <v>0</v>
      </c>
      <c r="AZ15" s="3">
        <v>17.194141213420529</v>
      </c>
      <c r="BA15">
        <v>74</v>
      </c>
      <c r="BB15">
        <v>4</v>
      </c>
      <c r="BC15">
        <v>0</v>
      </c>
      <c r="BD15">
        <v>78</v>
      </c>
      <c r="BE15" s="2">
        <v>1543831.5361135351</v>
      </c>
      <c r="BF15" s="6">
        <v>434.01</v>
      </c>
      <c r="BG15" s="6">
        <v>336.6</v>
      </c>
      <c r="BH15" s="6">
        <v>0</v>
      </c>
      <c r="BI15" s="6">
        <v>770.61</v>
      </c>
      <c r="BJ15" s="3">
        <v>27.787771972027521</v>
      </c>
      <c r="BK15" s="6">
        <v>694.01</v>
      </c>
      <c r="BL15" s="6">
        <v>336.6</v>
      </c>
      <c r="BM15" s="6">
        <v>0</v>
      </c>
      <c r="BN15" s="6">
        <v>1030.6099999999999</v>
      </c>
      <c r="BO15" s="3">
        <v>49.13392421587902</v>
      </c>
      <c r="BP15" s="7">
        <v>77040.210000000006</v>
      </c>
      <c r="BQ15" s="2">
        <v>23.72189059809704</v>
      </c>
      <c r="BR15" s="2">
        <v>102.7948592584205</v>
      </c>
    </row>
    <row r="16" spans="1:70" x14ac:dyDescent="0.3">
      <c r="A16">
        <v>1989</v>
      </c>
      <c r="B16" s="1">
        <v>254719</v>
      </c>
      <c r="C16" s="2">
        <v>2405054.7549490961</v>
      </c>
      <c r="D16" s="3">
        <v>9.441991979197061</v>
      </c>
      <c r="E16" s="1">
        <v>152831</v>
      </c>
      <c r="F16" s="4">
        <v>0.33750059328286269</v>
      </c>
      <c r="G16" s="4">
        <v>0.1732648775632824</v>
      </c>
      <c r="H16" s="4">
        <v>4.4967695943842451E-2</v>
      </c>
      <c r="I16" s="4">
        <v>0.13802631839833451</v>
      </c>
      <c r="J16" s="5">
        <v>2.598973163449235</v>
      </c>
      <c r="K16">
        <v>155</v>
      </c>
      <c r="L16">
        <v>15345</v>
      </c>
      <c r="M16">
        <v>32395</v>
      </c>
      <c r="N16">
        <v>47895</v>
      </c>
      <c r="O16" s="6">
        <v>1162.5</v>
      </c>
      <c r="P16" s="6">
        <v>38362.5</v>
      </c>
      <c r="Q16" s="6">
        <v>38874</v>
      </c>
      <c r="R16" s="6">
        <v>78399</v>
      </c>
      <c r="S16" s="2">
        <v>1.3766666666666669</v>
      </c>
      <c r="T16" s="2">
        <v>18.135111111111112</v>
      </c>
      <c r="U16" s="2">
        <v>11.485533333333329</v>
      </c>
      <c r="V16" s="2">
        <v>30.997311111111109</v>
      </c>
      <c r="W16">
        <v>9</v>
      </c>
      <c r="X16">
        <v>0</v>
      </c>
      <c r="Y16">
        <v>0</v>
      </c>
      <c r="Z16">
        <v>9</v>
      </c>
      <c r="AA16" s="2">
        <v>414703.29366505169</v>
      </c>
      <c r="AB16" s="6">
        <v>217.8</v>
      </c>
      <c r="AC16" s="6">
        <v>0</v>
      </c>
      <c r="AD16" s="6">
        <v>0</v>
      </c>
      <c r="AE16" s="6">
        <v>217.8</v>
      </c>
      <c r="AF16" s="3">
        <v>4.3379500227260266</v>
      </c>
      <c r="AG16">
        <v>9</v>
      </c>
      <c r="AH16">
        <v>0</v>
      </c>
      <c r="AI16">
        <v>0</v>
      </c>
      <c r="AJ16">
        <v>9</v>
      </c>
      <c r="AK16" s="2">
        <v>365063.55472992192</v>
      </c>
      <c r="AL16" s="6">
        <v>68.760000000000005</v>
      </c>
      <c r="AM16" s="6">
        <v>0</v>
      </c>
      <c r="AN16" s="6">
        <v>0</v>
      </c>
      <c r="AO16" s="6">
        <v>68.760000000000005</v>
      </c>
      <c r="AP16" s="3">
        <v>0.20893931588218009</v>
      </c>
      <c r="AQ16">
        <v>0</v>
      </c>
      <c r="AR16">
        <v>0</v>
      </c>
      <c r="AS16">
        <v>0</v>
      </c>
      <c r="AT16">
        <v>0</v>
      </c>
      <c r="AU16" s="2">
        <v>0</v>
      </c>
      <c r="AV16" s="6">
        <v>0</v>
      </c>
      <c r="AW16" s="6">
        <v>0</v>
      </c>
      <c r="AX16" s="6">
        <v>0</v>
      </c>
      <c r="AY16" s="6">
        <v>0</v>
      </c>
      <c r="AZ16" s="3">
        <v>18.691079669050659</v>
      </c>
      <c r="BA16">
        <v>78</v>
      </c>
      <c r="BB16">
        <v>5</v>
      </c>
      <c r="BC16">
        <v>0</v>
      </c>
      <c r="BD16">
        <v>83</v>
      </c>
      <c r="BE16" s="2">
        <v>1625287.9065541229</v>
      </c>
      <c r="BF16" s="6">
        <v>436.41</v>
      </c>
      <c r="BG16" s="6">
        <v>424</v>
      </c>
      <c r="BH16" s="6">
        <v>0</v>
      </c>
      <c r="BI16" s="6">
        <v>860.41</v>
      </c>
      <c r="BJ16" s="3">
        <v>30.115607668520351</v>
      </c>
      <c r="BK16" s="6">
        <v>722.97</v>
      </c>
      <c r="BL16" s="6">
        <v>424</v>
      </c>
      <c r="BM16" s="6">
        <v>0</v>
      </c>
      <c r="BN16" s="6">
        <v>1146.97</v>
      </c>
      <c r="BO16" s="3">
        <v>53.353576676179223</v>
      </c>
      <c r="BP16" s="7">
        <v>79545.97</v>
      </c>
      <c r="BQ16" s="2">
        <v>25.305266336187099</v>
      </c>
      <c r="BR16" s="2">
        <v>109.65615412347741</v>
      </c>
    </row>
    <row r="17" spans="1:70" x14ac:dyDescent="0.3">
      <c r="A17">
        <v>1990</v>
      </c>
      <c r="B17" s="1">
        <v>261129</v>
      </c>
      <c r="C17" s="2">
        <v>2552718.3168716612</v>
      </c>
      <c r="D17" s="3">
        <v>9.7756982827325221</v>
      </c>
      <c r="E17" s="1">
        <v>156677</v>
      </c>
      <c r="F17" s="4">
        <v>0.34272372058818817</v>
      </c>
      <c r="G17" s="4">
        <v>0.17775453379548459</v>
      </c>
      <c r="H17" s="4">
        <v>4.6422777735431811E-2</v>
      </c>
      <c r="I17" s="4">
        <v>0.1414160354837182</v>
      </c>
      <c r="J17" s="5">
        <v>2.6663180069322689</v>
      </c>
      <c r="K17">
        <v>173</v>
      </c>
      <c r="L17">
        <v>15989</v>
      </c>
      <c r="M17">
        <v>32996</v>
      </c>
      <c r="N17">
        <v>49158</v>
      </c>
      <c r="O17" s="6">
        <v>1297.5</v>
      </c>
      <c r="P17" s="6">
        <v>39972.5</v>
      </c>
      <c r="Q17" s="6">
        <v>39595.199999999997</v>
      </c>
      <c r="R17" s="6">
        <v>80865.2</v>
      </c>
      <c r="S17" s="2">
        <v>1.531666666666667</v>
      </c>
      <c r="T17" s="2">
        <v>18.873999999999999</v>
      </c>
      <c r="U17" s="2">
        <v>11.685066666666669</v>
      </c>
      <c r="V17" s="2">
        <v>32.090733333333333</v>
      </c>
      <c r="W17">
        <v>9</v>
      </c>
      <c r="X17">
        <v>0</v>
      </c>
      <c r="Y17">
        <v>0</v>
      </c>
      <c r="Z17">
        <v>9</v>
      </c>
      <c r="AA17" s="2">
        <v>446785.32553394552</v>
      </c>
      <c r="AB17" s="6">
        <v>216</v>
      </c>
      <c r="AC17" s="6">
        <v>0</v>
      </c>
      <c r="AD17" s="6">
        <v>0</v>
      </c>
      <c r="AE17" s="6">
        <v>216</v>
      </c>
      <c r="AF17" s="3">
        <v>4.7244628074833512</v>
      </c>
      <c r="AG17">
        <v>9</v>
      </c>
      <c r="AH17">
        <v>0</v>
      </c>
      <c r="AI17">
        <v>0</v>
      </c>
      <c r="AJ17">
        <v>9</v>
      </c>
      <c r="AK17" s="2">
        <v>395506.42934166163</v>
      </c>
      <c r="AL17" s="6">
        <v>68.760000000000005</v>
      </c>
      <c r="AM17" s="6">
        <v>0</v>
      </c>
      <c r="AN17" s="6">
        <v>0</v>
      </c>
      <c r="AO17" s="6">
        <v>68.760000000000005</v>
      </c>
      <c r="AP17" s="3">
        <v>0.22962071082741839</v>
      </c>
      <c r="AQ17">
        <v>0</v>
      </c>
      <c r="AR17">
        <v>0</v>
      </c>
      <c r="AS17">
        <v>0</v>
      </c>
      <c r="AT17">
        <v>0</v>
      </c>
      <c r="AU17" s="2">
        <v>0</v>
      </c>
      <c r="AV17" s="6">
        <v>0</v>
      </c>
      <c r="AW17" s="6">
        <v>0</v>
      </c>
      <c r="AX17" s="6">
        <v>0</v>
      </c>
      <c r="AY17" s="6">
        <v>0</v>
      </c>
      <c r="AZ17" s="3">
        <v>20.227620417968261</v>
      </c>
      <c r="BA17">
        <v>82</v>
      </c>
      <c r="BB17">
        <v>5</v>
      </c>
      <c r="BC17">
        <v>0</v>
      </c>
      <c r="BD17">
        <v>87</v>
      </c>
      <c r="BE17" s="2">
        <v>1710426.5619960539</v>
      </c>
      <c r="BF17" s="6">
        <v>458.79</v>
      </c>
      <c r="BG17" s="6">
        <v>427.25</v>
      </c>
      <c r="BH17" s="6">
        <v>0</v>
      </c>
      <c r="BI17" s="6">
        <v>886.04</v>
      </c>
      <c r="BJ17" s="3">
        <v>32.493961786009052</v>
      </c>
      <c r="BK17" s="6">
        <v>743.55</v>
      </c>
      <c r="BL17" s="6">
        <v>427.25</v>
      </c>
      <c r="BM17" s="6">
        <v>0</v>
      </c>
      <c r="BN17" s="6">
        <v>1170.8</v>
      </c>
      <c r="BO17" s="3">
        <v>57.675665722288073</v>
      </c>
      <c r="BP17" s="7">
        <v>82036</v>
      </c>
      <c r="BQ17" s="2">
        <v>26.92991971668642</v>
      </c>
      <c r="BR17" s="2">
        <v>116.69631877230781</v>
      </c>
    </row>
    <row r="18" spans="1:70" x14ac:dyDescent="0.3">
      <c r="A18">
        <v>1991</v>
      </c>
      <c r="B18" s="1">
        <v>267703</v>
      </c>
      <c r="C18" s="2">
        <v>2707679.8403087989</v>
      </c>
      <c r="D18" s="3">
        <v>10.11449195679092</v>
      </c>
      <c r="E18" s="1">
        <v>160621</v>
      </c>
      <c r="F18" s="4">
        <v>0.34784978920436238</v>
      </c>
      <c r="G18" s="4">
        <v>0.1821552888778927</v>
      </c>
      <c r="H18" s="4">
        <v>4.7945797962807388E-2</v>
      </c>
      <c r="I18" s="4">
        <v>0.1448309436462783</v>
      </c>
      <c r="J18" s="5">
        <v>2.7323293331683911</v>
      </c>
      <c r="K18">
        <v>192</v>
      </c>
      <c r="L18">
        <v>16651</v>
      </c>
      <c r="M18">
        <v>33612</v>
      </c>
      <c r="N18">
        <v>50455</v>
      </c>
      <c r="O18" s="6">
        <v>1440</v>
      </c>
      <c r="P18" s="6">
        <v>41627.5</v>
      </c>
      <c r="Q18" s="6">
        <v>40334.400000000001</v>
      </c>
      <c r="R18" s="6">
        <v>83401.899999999994</v>
      </c>
      <c r="S18" s="2">
        <v>1.698333333333333</v>
      </c>
      <c r="T18" s="2">
        <v>19.632888888888889</v>
      </c>
      <c r="U18" s="2">
        <v>11.88893333333333</v>
      </c>
      <c r="V18" s="2">
        <v>33.220155555555557</v>
      </c>
      <c r="W18">
        <v>10</v>
      </c>
      <c r="X18">
        <v>0</v>
      </c>
      <c r="Y18">
        <v>0</v>
      </c>
      <c r="Z18">
        <v>10</v>
      </c>
      <c r="AA18" s="2">
        <v>480405.53886893112</v>
      </c>
      <c r="AB18" s="6">
        <v>248</v>
      </c>
      <c r="AC18" s="6">
        <v>0</v>
      </c>
      <c r="AD18" s="6">
        <v>0</v>
      </c>
      <c r="AE18" s="6">
        <v>248</v>
      </c>
      <c r="AF18" s="3">
        <v>5.1228137734571062</v>
      </c>
      <c r="AG18">
        <v>10</v>
      </c>
      <c r="AH18">
        <v>0</v>
      </c>
      <c r="AI18">
        <v>0</v>
      </c>
      <c r="AJ18">
        <v>10</v>
      </c>
      <c r="AK18" s="2">
        <v>427808.70652659651</v>
      </c>
      <c r="AL18" s="6">
        <v>78.8</v>
      </c>
      <c r="AM18" s="6">
        <v>0</v>
      </c>
      <c r="AN18" s="6">
        <v>0</v>
      </c>
      <c r="AO18" s="6">
        <v>78.8</v>
      </c>
      <c r="AP18" s="3">
        <v>0.25114120343687729</v>
      </c>
      <c r="AQ18">
        <v>0</v>
      </c>
      <c r="AR18">
        <v>0</v>
      </c>
      <c r="AS18">
        <v>0</v>
      </c>
      <c r="AT18">
        <v>0</v>
      </c>
      <c r="AU18" s="2">
        <v>0</v>
      </c>
      <c r="AV18" s="6">
        <v>0</v>
      </c>
      <c r="AW18" s="6">
        <v>0</v>
      </c>
      <c r="AX18" s="6">
        <v>0</v>
      </c>
      <c r="AY18" s="6">
        <v>0</v>
      </c>
      <c r="AZ18" s="3">
        <v>21.80543610213747</v>
      </c>
      <c r="BA18">
        <v>86</v>
      </c>
      <c r="BB18">
        <v>5</v>
      </c>
      <c r="BC18">
        <v>0</v>
      </c>
      <c r="BD18">
        <v>91</v>
      </c>
      <c r="BE18" s="2">
        <v>1799465.594913271</v>
      </c>
      <c r="BF18" s="6">
        <v>477.3</v>
      </c>
      <c r="BG18" s="6">
        <v>420.75</v>
      </c>
      <c r="BH18" s="6">
        <v>0</v>
      </c>
      <c r="BI18" s="6">
        <v>898.05</v>
      </c>
      <c r="BJ18" s="3">
        <v>34.926388394264443</v>
      </c>
      <c r="BK18" s="6">
        <v>804.1</v>
      </c>
      <c r="BL18" s="6">
        <v>420.75</v>
      </c>
      <c r="BM18" s="6">
        <v>0</v>
      </c>
      <c r="BN18" s="6">
        <v>1224.8499999999999</v>
      </c>
      <c r="BO18" s="3">
        <v>62.105779473295897</v>
      </c>
      <c r="BP18" s="7">
        <v>84626.75</v>
      </c>
      <c r="BQ18" s="2">
        <v>28.59778050865544</v>
      </c>
      <c r="BR18" s="2">
        <v>123.92371553750689</v>
      </c>
    </row>
    <row r="19" spans="1:70" x14ac:dyDescent="0.3">
      <c r="A19">
        <v>1992</v>
      </c>
      <c r="B19" s="1">
        <v>274445</v>
      </c>
      <c r="C19" s="2">
        <v>2870407.6067238529</v>
      </c>
      <c r="D19" s="3">
        <v>10.45895391325713</v>
      </c>
      <c r="E19" s="1">
        <v>164667</v>
      </c>
      <c r="F19" s="4">
        <v>0.35288975495552272</v>
      </c>
      <c r="G19" s="4">
        <v>0.18646890317121709</v>
      </c>
      <c r="H19" s="4">
        <v>4.9542874440097001E-2</v>
      </c>
      <c r="I19" s="4">
        <v>0.14827760260561521</v>
      </c>
      <c r="J19" s="5">
        <v>2.797033547568256</v>
      </c>
      <c r="K19">
        <v>212</v>
      </c>
      <c r="L19">
        <v>17334</v>
      </c>
      <c r="M19">
        <v>34242</v>
      </c>
      <c r="N19">
        <v>51788</v>
      </c>
      <c r="O19" s="6">
        <v>1590</v>
      </c>
      <c r="P19" s="6">
        <v>43335</v>
      </c>
      <c r="Q19" s="6">
        <v>41090.400000000001</v>
      </c>
      <c r="R19" s="6">
        <v>86015.4</v>
      </c>
      <c r="S19" s="2">
        <v>1.878333333333333</v>
      </c>
      <c r="T19" s="2">
        <v>20.41288888888889</v>
      </c>
      <c r="U19" s="2">
        <v>12.09726666666667</v>
      </c>
      <c r="V19" s="2">
        <v>34.388488888888887</v>
      </c>
      <c r="W19">
        <v>11</v>
      </c>
      <c r="X19">
        <v>0</v>
      </c>
      <c r="Y19">
        <v>0</v>
      </c>
      <c r="Z19">
        <v>11</v>
      </c>
      <c r="AA19" s="2">
        <v>515670.34379367548</v>
      </c>
      <c r="AB19" s="6">
        <v>270.60000000000002</v>
      </c>
      <c r="AC19" s="6">
        <v>0</v>
      </c>
      <c r="AD19" s="6">
        <v>0</v>
      </c>
      <c r="AE19" s="6">
        <v>270.60000000000002</v>
      </c>
      <c r="AF19" s="3">
        <v>5.533354239269614</v>
      </c>
      <c r="AG19">
        <v>11</v>
      </c>
      <c r="AH19">
        <v>0</v>
      </c>
      <c r="AI19">
        <v>0</v>
      </c>
      <c r="AJ19">
        <v>11</v>
      </c>
      <c r="AK19" s="2">
        <v>462099.41750530439</v>
      </c>
      <c r="AL19" s="6">
        <v>83.6</v>
      </c>
      <c r="AM19" s="6">
        <v>0</v>
      </c>
      <c r="AN19" s="6">
        <v>0</v>
      </c>
      <c r="AO19" s="6">
        <v>83.6</v>
      </c>
      <c r="AP19" s="3">
        <v>0.27351985450960159</v>
      </c>
      <c r="AQ19">
        <v>0</v>
      </c>
      <c r="AR19">
        <v>0</v>
      </c>
      <c r="AS19">
        <v>0</v>
      </c>
      <c r="AT19">
        <v>0</v>
      </c>
      <c r="AU19" s="2">
        <v>0</v>
      </c>
      <c r="AV19" s="6">
        <v>0</v>
      </c>
      <c r="AW19" s="6">
        <v>0</v>
      </c>
      <c r="AX19" s="6">
        <v>0</v>
      </c>
      <c r="AY19" s="6">
        <v>0</v>
      </c>
      <c r="AZ19" s="3">
        <v>23.426201021247412</v>
      </c>
      <c r="BA19">
        <v>90</v>
      </c>
      <c r="BB19">
        <v>5</v>
      </c>
      <c r="BC19">
        <v>0</v>
      </c>
      <c r="BD19">
        <v>95</v>
      </c>
      <c r="BE19" s="2">
        <v>1892637.845424874</v>
      </c>
      <c r="BF19" s="6">
        <v>511.65</v>
      </c>
      <c r="BG19" s="6">
        <v>430.5</v>
      </c>
      <c r="BH19" s="6">
        <v>0</v>
      </c>
      <c r="BI19" s="6">
        <v>942.15</v>
      </c>
      <c r="BJ19" s="3">
        <v>37.416326990004123</v>
      </c>
      <c r="BK19" s="6">
        <v>865.85</v>
      </c>
      <c r="BL19" s="6">
        <v>430.5</v>
      </c>
      <c r="BM19" s="6">
        <v>0</v>
      </c>
      <c r="BN19" s="6">
        <v>1296.3499999999999</v>
      </c>
      <c r="BO19" s="3">
        <v>66.649402105030759</v>
      </c>
      <c r="BP19" s="7">
        <v>87311.75</v>
      </c>
      <c r="BQ19" s="2">
        <v>30.311367298175892</v>
      </c>
      <c r="BR19" s="2">
        <v>131.3492582920955</v>
      </c>
    </row>
    <row r="20" spans="1:70" x14ac:dyDescent="0.3">
      <c r="A20">
        <v>1993</v>
      </c>
      <c r="B20" s="1">
        <v>281359</v>
      </c>
      <c r="C20" s="2">
        <v>3041327.1712344158</v>
      </c>
      <c r="D20" s="3">
        <v>10.80941846976431</v>
      </c>
      <c r="E20" s="1">
        <v>168815</v>
      </c>
      <c r="F20" s="4">
        <v>0.35785099077872401</v>
      </c>
      <c r="G20" s="4">
        <v>0.19069710217869071</v>
      </c>
      <c r="H20" s="4">
        <v>5.1219451589605162E-2</v>
      </c>
      <c r="I20" s="4">
        <v>0.15176108187756779</v>
      </c>
      <c r="J20" s="5">
        <v>2.8604565326803599</v>
      </c>
      <c r="K20">
        <v>234</v>
      </c>
      <c r="L20">
        <v>18036</v>
      </c>
      <c r="M20">
        <v>34886</v>
      </c>
      <c r="N20">
        <v>53156</v>
      </c>
      <c r="O20" s="6">
        <v>1755</v>
      </c>
      <c r="P20" s="6">
        <v>45090</v>
      </c>
      <c r="Q20" s="6">
        <v>41863.199999999997</v>
      </c>
      <c r="R20" s="6">
        <v>88708.2</v>
      </c>
      <c r="S20" s="2">
        <v>2.0699999999999998</v>
      </c>
      <c r="T20" s="2">
        <v>21.21466666666667</v>
      </c>
      <c r="U20" s="2">
        <v>12.30993333333333</v>
      </c>
      <c r="V20" s="2">
        <v>35.5946</v>
      </c>
      <c r="W20">
        <v>11</v>
      </c>
      <c r="X20">
        <v>0</v>
      </c>
      <c r="Y20">
        <v>0</v>
      </c>
      <c r="Z20">
        <v>11</v>
      </c>
      <c r="AA20" s="2">
        <v>552681.39098172355</v>
      </c>
      <c r="AB20" s="6">
        <v>270.60000000000002</v>
      </c>
      <c r="AC20" s="6">
        <v>0</v>
      </c>
      <c r="AD20" s="6">
        <v>0</v>
      </c>
      <c r="AE20" s="6">
        <v>270.60000000000002</v>
      </c>
      <c r="AF20" s="3">
        <v>5.9564516808399119</v>
      </c>
      <c r="AG20">
        <v>11</v>
      </c>
      <c r="AH20">
        <v>0</v>
      </c>
      <c r="AI20">
        <v>0</v>
      </c>
      <c r="AJ20">
        <v>11</v>
      </c>
      <c r="AK20" s="2">
        <v>498504.97341939952</v>
      </c>
      <c r="AL20" s="6">
        <v>83.6</v>
      </c>
      <c r="AM20" s="6">
        <v>0</v>
      </c>
      <c r="AN20" s="6">
        <v>0</v>
      </c>
      <c r="AO20" s="6">
        <v>83.6</v>
      </c>
      <c r="AP20" s="3">
        <v>0.2967767045379166</v>
      </c>
      <c r="AQ20">
        <v>0</v>
      </c>
      <c r="AR20">
        <v>0</v>
      </c>
      <c r="AS20">
        <v>0</v>
      </c>
      <c r="AT20">
        <v>0</v>
      </c>
      <c r="AU20" s="2">
        <v>0</v>
      </c>
      <c r="AV20" s="6">
        <v>0</v>
      </c>
      <c r="AW20" s="6">
        <v>0</v>
      </c>
      <c r="AX20" s="6">
        <v>0</v>
      </c>
      <c r="AY20" s="6">
        <v>0</v>
      </c>
      <c r="AZ20" s="3">
        <v>25.09163007670297</v>
      </c>
      <c r="BA20">
        <v>94</v>
      </c>
      <c r="BB20">
        <v>5</v>
      </c>
      <c r="BC20">
        <v>0</v>
      </c>
      <c r="BD20">
        <v>99</v>
      </c>
      <c r="BE20" s="2">
        <v>1990140.8068332931</v>
      </c>
      <c r="BF20" s="6">
        <v>555.54</v>
      </c>
      <c r="BG20" s="6">
        <v>420.75</v>
      </c>
      <c r="BH20" s="6">
        <v>0</v>
      </c>
      <c r="BI20" s="6">
        <v>976.29</v>
      </c>
      <c r="BJ20" s="3">
        <v>39.967183423724329</v>
      </c>
      <c r="BK20" s="6">
        <v>909.74</v>
      </c>
      <c r="BL20" s="6">
        <v>420.75</v>
      </c>
      <c r="BM20" s="6">
        <v>0</v>
      </c>
      <c r="BN20" s="6">
        <v>1330.49</v>
      </c>
      <c r="BO20" s="3">
        <v>71.312041885805129</v>
      </c>
      <c r="BP20" s="7">
        <v>90038.69</v>
      </c>
      <c r="BQ20" s="2">
        <v>32.071992565741539</v>
      </c>
      <c r="BR20" s="2">
        <v>138.9786344515467</v>
      </c>
    </row>
    <row r="21" spans="1:70" x14ac:dyDescent="0.3">
      <c r="A21">
        <v>1994</v>
      </c>
      <c r="B21" s="1">
        <v>288451</v>
      </c>
      <c r="C21" s="2">
        <v>3220947.6897689342</v>
      </c>
      <c r="D21" s="3">
        <v>11.16635993554862</v>
      </c>
      <c r="E21" s="1">
        <v>173070</v>
      </c>
      <c r="F21" s="4">
        <v>0.36274200951658009</v>
      </c>
      <c r="G21" s="4">
        <v>0.19484157723629331</v>
      </c>
      <c r="H21" s="4">
        <v>5.2982093361847102E-2</v>
      </c>
      <c r="I21" s="4">
        <v>0.1552873939224563</v>
      </c>
      <c r="J21" s="5">
        <v>2.9226236585443992</v>
      </c>
      <c r="K21">
        <v>258</v>
      </c>
      <c r="L21">
        <v>18761</v>
      </c>
      <c r="M21">
        <v>35545</v>
      </c>
      <c r="N21">
        <v>54564</v>
      </c>
      <c r="O21" s="6">
        <v>1935</v>
      </c>
      <c r="P21" s="6">
        <v>46902.5</v>
      </c>
      <c r="Q21" s="6">
        <v>42654</v>
      </c>
      <c r="R21" s="6">
        <v>91491.5</v>
      </c>
      <c r="S21" s="2">
        <v>2.2749999999999999</v>
      </c>
      <c r="T21" s="2">
        <v>22.039555555555559</v>
      </c>
      <c r="U21" s="2">
        <v>12.52706666666667</v>
      </c>
      <c r="V21" s="2">
        <v>36.84162222222222</v>
      </c>
      <c r="W21">
        <v>12</v>
      </c>
      <c r="X21">
        <v>0</v>
      </c>
      <c r="Y21">
        <v>0</v>
      </c>
      <c r="Z21">
        <v>12</v>
      </c>
      <c r="AA21" s="2">
        <v>591551.02526466397</v>
      </c>
      <c r="AB21" s="6">
        <v>292.8</v>
      </c>
      <c r="AC21" s="6">
        <v>0</v>
      </c>
      <c r="AD21" s="6">
        <v>0</v>
      </c>
      <c r="AE21" s="6">
        <v>292.8</v>
      </c>
      <c r="AF21" s="3">
        <v>6.3924745724705669</v>
      </c>
      <c r="AG21">
        <v>12</v>
      </c>
      <c r="AH21">
        <v>0</v>
      </c>
      <c r="AI21">
        <v>0</v>
      </c>
      <c r="AJ21">
        <v>12</v>
      </c>
      <c r="AK21" s="2">
        <v>537167.04437213833</v>
      </c>
      <c r="AL21" s="6">
        <v>93.12</v>
      </c>
      <c r="AM21" s="6">
        <v>0</v>
      </c>
      <c r="AN21" s="6">
        <v>0</v>
      </c>
      <c r="AO21" s="6">
        <v>93.12</v>
      </c>
      <c r="AP21" s="3">
        <v>0.32093215308848949</v>
      </c>
      <c r="AQ21">
        <v>0</v>
      </c>
      <c r="AR21">
        <v>0</v>
      </c>
      <c r="AS21">
        <v>0</v>
      </c>
      <c r="AT21">
        <v>0</v>
      </c>
      <c r="AU21" s="2">
        <v>0</v>
      </c>
      <c r="AV21" s="6">
        <v>0</v>
      </c>
      <c r="AW21" s="6">
        <v>0</v>
      </c>
      <c r="AX21" s="6">
        <v>0</v>
      </c>
      <c r="AY21" s="6">
        <v>0</v>
      </c>
      <c r="AZ21" s="3">
        <v>26.803409010321651</v>
      </c>
      <c r="BA21">
        <v>99</v>
      </c>
      <c r="BB21">
        <v>6</v>
      </c>
      <c r="BC21">
        <v>0</v>
      </c>
      <c r="BD21">
        <v>105</v>
      </c>
      <c r="BE21" s="2">
        <v>2092229.620132132</v>
      </c>
      <c r="BF21" s="6">
        <v>549.45000000000005</v>
      </c>
      <c r="BG21" s="6">
        <v>524.4</v>
      </c>
      <c r="BH21" s="6">
        <v>0</v>
      </c>
      <c r="BI21" s="6">
        <v>1073.8499999999999</v>
      </c>
      <c r="BJ21" s="3">
        <v>42.582215018693987</v>
      </c>
      <c r="BK21" s="6">
        <v>935.37</v>
      </c>
      <c r="BL21" s="6">
        <v>524.4</v>
      </c>
      <c r="BM21" s="6">
        <v>0</v>
      </c>
      <c r="BN21" s="6">
        <v>1459.77</v>
      </c>
      <c r="BO21" s="3">
        <v>76.099030754574699</v>
      </c>
      <c r="BP21" s="7">
        <v>92951.27</v>
      </c>
      <c r="BQ21" s="2">
        <v>33.882195893039068</v>
      </c>
      <c r="BR21" s="2">
        <v>146.82284886983601</v>
      </c>
    </row>
    <row r="22" spans="1:70" x14ac:dyDescent="0.3">
      <c r="A22">
        <v>1995</v>
      </c>
      <c r="B22" s="1">
        <v>295725</v>
      </c>
      <c r="C22" s="2">
        <v>3409767.6372639872</v>
      </c>
      <c r="D22" s="3">
        <v>11.530197437700521</v>
      </c>
      <c r="E22" s="1">
        <v>177435</v>
      </c>
      <c r="F22" s="4">
        <v>0.36756965299673799</v>
      </c>
      <c r="G22" s="4">
        <v>0.19890398618930821</v>
      </c>
      <c r="H22" s="4">
        <v>5.4837621680183753E-2</v>
      </c>
      <c r="I22" s="4">
        <v>0.1588622034716741</v>
      </c>
      <c r="J22" s="5">
        <v>2.9835597928396229</v>
      </c>
      <c r="K22">
        <v>283</v>
      </c>
      <c r="L22">
        <v>19508</v>
      </c>
      <c r="M22">
        <v>36219</v>
      </c>
      <c r="N22">
        <v>56010</v>
      </c>
      <c r="O22" s="6">
        <v>2122.5</v>
      </c>
      <c r="P22" s="6">
        <v>48770</v>
      </c>
      <c r="Q22" s="6">
        <v>43462.8</v>
      </c>
      <c r="R22" s="6">
        <v>94355.3</v>
      </c>
      <c r="S22" s="2">
        <v>2.4950000000000001</v>
      </c>
      <c r="T22" s="2">
        <v>22.888666666666669</v>
      </c>
      <c r="U22" s="2">
        <v>12.748533333333331</v>
      </c>
      <c r="V22" s="2">
        <v>38.132199999999997</v>
      </c>
      <c r="W22">
        <v>13</v>
      </c>
      <c r="X22">
        <v>0</v>
      </c>
      <c r="Y22">
        <v>0</v>
      </c>
      <c r="Z22">
        <v>13</v>
      </c>
      <c r="AA22" s="2">
        <v>632391.1392210843</v>
      </c>
      <c r="AB22" s="6">
        <v>314.60000000000002</v>
      </c>
      <c r="AC22" s="6">
        <v>0</v>
      </c>
      <c r="AD22" s="6">
        <v>0</v>
      </c>
      <c r="AE22" s="6">
        <v>314.60000000000002</v>
      </c>
      <c r="AF22" s="3">
        <v>6.8417917660107124</v>
      </c>
      <c r="AG22">
        <v>13</v>
      </c>
      <c r="AH22">
        <v>0</v>
      </c>
      <c r="AI22">
        <v>0</v>
      </c>
      <c r="AJ22">
        <v>13</v>
      </c>
      <c r="AK22" s="2">
        <v>578229.84643923445</v>
      </c>
      <c r="AL22" s="6">
        <v>101.4</v>
      </c>
      <c r="AM22" s="6">
        <v>0</v>
      </c>
      <c r="AN22" s="6">
        <v>0</v>
      </c>
      <c r="AO22" s="6">
        <v>101.4</v>
      </c>
      <c r="AP22" s="3">
        <v>0.34600692465785071</v>
      </c>
      <c r="AQ22">
        <v>0</v>
      </c>
      <c r="AR22">
        <v>0</v>
      </c>
      <c r="AS22">
        <v>0</v>
      </c>
      <c r="AT22">
        <v>0</v>
      </c>
      <c r="AU22" s="2">
        <v>0</v>
      </c>
      <c r="AV22" s="6">
        <v>0</v>
      </c>
      <c r="AW22" s="6">
        <v>0</v>
      </c>
      <c r="AX22" s="6">
        <v>0</v>
      </c>
      <c r="AY22" s="6">
        <v>0</v>
      </c>
      <c r="AZ22" s="3">
        <v>28.563194107722701</v>
      </c>
      <c r="BA22">
        <v>103</v>
      </c>
      <c r="BB22">
        <v>6</v>
      </c>
      <c r="BC22">
        <v>0</v>
      </c>
      <c r="BD22">
        <v>109</v>
      </c>
      <c r="BE22" s="2">
        <v>2199146.651603668</v>
      </c>
      <c r="BF22" s="6">
        <v>590.19000000000005</v>
      </c>
      <c r="BG22" s="6">
        <v>516.6</v>
      </c>
      <c r="BH22" s="6">
        <v>0</v>
      </c>
      <c r="BI22" s="6">
        <v>1106.79</v>
      </c>
      <c r="BJ22" s="3">
        <v>45.264540749227763</v>
      </c>
      <c r="BK22" s="6">
        <v>1006.19</v>
      </c>
      <c r="BL22" s="6">
        <v>516.6</v>
      </c>
      <c r="BM22" s="6">
        <v>0</v>
      </c>
      <c r="BN22" s="6">
        <v>1522.79</v>
      </c>
      <c r="BO22" s="3">
        <v>81.015533547619015</v>
      </c>
      <c r="BP22" s="7">
        <v>95878.09</v>
      </c>
      <c r="BQ22" s="2">
        <v>35.744320064285702</v>
      </c>
      <c r="BR22" s="2">
        <v>154.89205361190469</v>
      </c>
    </row>
    <row r="23" spans="1:70" x14ac:dyDescent="0.3">
      <c r="A23">
        <v>1996</v>
      </c>
      <c r="B23" s="1">
        <v>303186</v>
      </c>
      <c r="C23" s="2">
        <v>3608273.1069774511</v>
      </c>
      <c r="D23" s="3">
        <v>11.901186423441221</v>
      </c>
      <c r="E23" s="1">
        <v>181911</v>
      </c>
      <c r="F23" s="4">
        <v>0.37233796211226999</v>
      </c>
      <c r="G23" s="4">
        <v>0.20288595405548299</v>
      </c>
      <c r="H23" s="4">
        <v>5.6792535806109511E-2</v>
      </c>
      <c r="I23" s="4">
        <v>0.16249008024900999</v>
      </c>
      <c r="J23" s="5">
        <v>3.043289310832245</v>
      </c>
      <c r="K23">
        <v>310</v>
      </c>
      <c r="L23">
        <v>20279</v>
      </c>
      <c r="M23">
        <v>36908</v>
      </c>
      <c r="N23">
        <v>57497</v>
      </c>
      <c r="O23" s="6">
        <v>2325</v>
      </c>
      <c r="P23" s="6">
        <v>50697.5</v>
      </c>
      <c r="Q23" s="6">
        <v>44289.599999999999</v>
      </c>
      <c r="R23" s="6">
        <v>97312.1</v>
      </c>
      <c r="S23" s="2">
        <v>2.73</v>
      </c>
      <c r="T23" s="2">
        <v>23.762222222222221</v>
      </c>
      <c r="U23" s="2">
        <v>12.974399999999999</v>
      </c>
      <c r="V23" s="2">
        <v>39.46662222222222</v>
      </c>
      <c r="W23">
        <v>14</v>
      </c>
      <c r="X23">
        <v>0</v>
      </c>
      <c r="Y23">
        <v>0</v>
      </c>
      <c r="Z23">
        <v>14</v>
      </c>
      <c r="AA23" s="2">
        <v>675313.27388600132</v>
      </c>
      <c r="AB23" s="6">
        <v>338.8</v>
      </c>
      <c r="AC23" s="6">
        <v>0</v>
      </c>
      <c r="AD23" s="6">
        <v>0</v>
      </c>
      <c r="AE23" s="6">
        <v>338.8</v>
      </c>
      <c r="AF23" s="3">
        <v>7.3047812932095963</v>
      </c>
      <c r="AG23">
        <v>14</v>
      </c>
      <c r="AH23">
        <v>0</v>
      </c>
      <c r="AI23">
        <v>0</v>
      </c>
      <c r="AJ23">
        <v>14</v>
      </c>
      <c r="AK23" s="2">
        <v>621839.85620935191</v>
      </c>
      <c r="AL23" s="6">
        <v>107.52</v>
      </c>
      <c r="AM23" s="6">
        <v>0</v>
      </c>
      <c r="AN23" s="6">
        <v>0</v>
      </c>
      <c r="AO23" s="6">
        <v>107.52</v>
      </c>
      <c r="AP23" s="3">
        <v>0.37202242663309543</v>
      </c>
      <c r="AQ23">
        <v>0</v>
      </c>
      <c r="AR23">
        <v>0</v>
      </c>
      <c r="AS23">
        <v>0</v>
      </c>
      <c r="AT23">
        <v>0</v>
      </c>
      <c r="AU23" s="2">
        <v>0</v>
      </c>
      <c r="AV23" s="6">
        <v>0</v>
      </c>
      <c r="AW23" s="6">
        <v>0</v>
      </c>
      <c r="AX23" s="6">
        <v>0</v>
      </c>
      <c r="AY23" s="6">
        <v>0</v>
      </c>
      <c r="AZ23" s="3">
        <v>30.37265592204017</v>
      </c>
      <c r="BA23">
        <v>108</v>
      </c>
      <c r="BB23">
        <v>6</v>
      </c>
      <c r="BC23">
        <v>0</v>
      </c>
      <c r="BD23">
        <v>114</v>
      </c>
      <c r="BE23" s="2">
        <v>2311119.9768820978</v>
      </c>
      <c r="BF23" s="6">
        <v>604.26</v>
      </c>
      <c r="BG23" s="6">
        <v>520.5</v>
      </c>
      <c r="BH23" s="6">
        <v>0</v>
      </c>
      <c r="BI23" s="6">
        <v>1124.76</v>
      </c>
      <c r="BJ23" s="3">
        <v>48.017228617301043</v>
      </c>
      <c r="BK23" s="6">
        <v>1050.58</v>
      </c>
      <c r="BL23" s="6">
        <v>520.5</v>
      </c>
      <c r="BM23" s="6">
        <v>0</v>
      </c>
      <c r="BN23" s="6">
        <v>1571.08</v>
      </c>
      <c r="BO23" s="3">
        <v>86.066688259183906</v>
      </c>
      <c r="BP23" s="7">
        <v>98883.18</v>
      </c>
      <c r="BQ23" s="2">
        <v>37.659993144421833</v>
      </c>
      <c r="BR23" s="2">
        <v>163.19330362582801</v>
      </c>
    </row>
    <row r="24" spans="1:70" x14ac:dyDescent="0.3">
      <c r="A24">
        <v>1997</v>
      </c>
      <c r="B24" s="1">
        <v>310839</v>
      </c>
      <c r="C24" s="2">
        <v>3817031.4943428892</v>
      </c>
      <c r="D24" s="3">
        <v>12.27977021655226</v>
      </c>
      <c r="E24" s="1">
        <v>186503</v>
      </c>
      <c r="F24" s="4">
        <v>0.37705288134833947</v>
      </c>
      <c r="G24" s="4">
        <v>0.20678907367505761</v>
      </c>
      <c r="H24" s="4">
        <v>5.8854858691810008E-2</v>
      </c>
      <c r="I24" s="4">
        <v>0.16617692728529029</v>
      </c>
      <c r="J24" s="5">
        <v>3.1018361051258641</v>
      </c>
      <c r="K24">
        <v>339</v>
      </c>
      <c r="L24">
        <v>21074</v>
      </c>
      <c r="M24">
        <v>37612</v>
      </c>
      <c r="N24">
        <v>59025</v>
      </c>
      <c r="O24" s="6">
        <v>2542.5</v>
      </c>
      <c r="P24" s="6">
        <v>52685</v>
      </c>
      <c r="Q24" s="6">
        <v>45134.400000000001</v>
      </c>
      <c r="R24" s="6">
        <v>100361.9</v>
      </c>
      <c r="S24" s="2">
        <v>2.981666666666666</v>
      </c>
      <c r="T24" s="2">
        <v>24.661999999999999</v>
      </c>
      <c r="U24" s="2">
        <v>13.20466666666667</v>
      </c>
      <c r="V24" s="2">
        <v>40.848333333333329</v>
      </c>
      <c r="W24">
        <v>15</v>
      </c>
      <c r="X24">
        <v>0</v>
      </c>
      <c r="Y24">
        <v>0</v>
      </c>
      <c r="Z24">
        <v>15</v>
      </c>
      <c r="AA24" s="2">
        <v>720440.45198206056</v>
      </c>
      <c r="AB24" s="6">
        <v>364.5</v>
      </c>
      <c r="AC24" s="6">
        <v>0</v>
      </c>
      <c r="AD24" s="6">
        <v>0</v>
      </c>
      <c r="AE24" s="6">
        <v>364.5</v>
      </c>
      <c r="AF24" s="3">
        <v>7.781817194334705</v>
      </c>
      <c r="AG24">
        <v>15</v>
      </c>
      <c r="AH24">
        <v>0</v>
      </c>
      <c r="AI24">
        <v>0</v>
      </c>
      <c r="AJ24">
        <v>15</v>
      </c>
      <c r="AK24" s="2">
        <v>668159.9924397507</v>
      </c>
      <c r="AL24" s="6">
        <v>118.8</v>
      </c>
      <c r="AM24" s="6">
        <v>0</v>
      </c>
      <c r="AN24" s="6">
        <v>0</v>
      </c>
      <c r="AO24" s="6">
        <v>118.8</v>
      </c>
      <c r="AP24" s="3">
        <v>0.3990002029473394</v>
      </c>
      <c r="AQ24">
        <v>0</v>
      </c>
      <c r="AR24">
        <v>0</v>
      </c>
      <c r="AS24">
        <v>0</v>
      </c>
      <c r="AT24">
        <v>0</v>
      </c>
      <c r="AU24" s="2">
        <v>0</v>
      </c>
      <c r="AV24" s="6">
        <v>0</v>
      </c>
      <c r="AW24" s="6">
        <v>0</v>
      </c>
      <c r="AX24" s="6">
        <v>0</v>
      </c>
      <c r="AY24" s="6">
        <v>0</v>
      </c>
      <c r="AZ24" s="3">
        <v>32.233418973516102</v>
      </c>
      <c r="BA24">
        <v>113</v>
      </c>
      <c r="BB24">
        <v>6</v>
      </c>
      <c r="BC24">
        <v>0</v>
      </c>
      <c r="BD24">
        <v>119</v>
      </c>
      <c r="BE24" s="2">
        <v>2428431.0499210781</v>
      </c>
      <c r="BF24" s="6">
        <v>667.83</v>
      </c>
      <c r="BG24" s="6">
        <v>508.8</v>
      </c>
      <c r="BH24" s="6">
        <v>0</v>
      </c>
      <c r="BI24" s="6">
        <v>1176.6300000000001</v>
      </c>
      <c r="BJ24" s="3">
        <v>50.843195578218307</v>
      </c>
      <c r="BK24" s="6">
        <v>1151.1300000000001</v>
      </c>
      <c r="BL24" s="6">
        <v>508.8</v>
      </c>
      <c r="BM24" s="6">
        <v>0</v>
      </c>
      <c r="BN24" s="6">
        <v>1659.93</v>
      </c>
      <c r="BO24" s="3">
        <v>91.25743194901645</v>
      </c>
      <c r="BP24" s="7">
        <v>102021.83</v>
      </c>
      <c r="BQ24" s="2">
        <v>39.631729584704942</v>
      </c>
      <c r="BR24" s="2">
        <v>171.73749486705469</v>
      </c>
    </row>
    <row r="25" spans="1:70" x14ac:dyDescent="0.3">
      <c r="A25">
        <v>1998</v>
      </c>
      <c r="B25" s="1">
        <v>318689</v>
      </c>
      <c r="C25" s="2">
        <v>4036585.3273724299</v>
      </c>
      <c r="D25" s="3">
        <v>12.666221072495221</v>
      </c>
      <c r="E25" s="1">
        <v>191213</v>
      </c>
      <c r="F25" s="4">
        <v>0.38171766675896929</v>
      </c>
      <c r="G25" s="4">
        <v>0.21061490634792221</v>
      </c>
      <c r="H25" s="4">
        <v>6.1032297440656538E-2</v>
      </c>
      <c r="I25" s="4">
        <v>0.16992751044866319</v>
      </c>
      <c r="J25" s="5">
        <v>3.1592235952188328</v>
      </c>
      <c r="K25">
        <v>370</v>
      </c>
      <c r="L25">
        <v>21895</v>
      </c>
      <c r="M25">
        <v>38332</v>
      </c>
      <c r="N25">
        <v>60597</v>
      </c>
      <c r="O25" s="6">
        <v>2775</v>
      </c>
      <c r="P25" s="6">
        <v>54737.5</v>
      </c>
      <c r="Q25" s="6">
        <v>45998.400000000001</v>
      </c>
      <c r="R25" s="6">
        <v>103510.9</v>
      </c>
      <c r="S25" s="2">
        <v>3.248333333333334</v>
      </c>
      <c r="T25" s="2">
        <v>25.588222222222221</v>
      </c>
      <c r="U25" s="2">
        <v>13.439399999999999</v>
      </c>
      <c r="V25" s="2">
        <v>42.275955555555562</v>
      </c>
      <c r="W25">
        <v>15</v>
      </c>
      <c r="X25">
        <v>0</v>
      </c>
      <c r="Y25">
        <v>0</v>
      </c>
      <c r="Z25">
        <v>15</v>
      </c>
      <c r="AA25" s="2">
        <v>767893.96464859194</v>
      </c>
      <c r="AB25" s="6">
        <v>367.5</v>
      </c>
      <c r="AC25" s="6">
        <v>0</v>
      </c>
      <c r="AD25" s="6">
        <v>0</v>
      </c>
      <c r="AE25" s="6">
        <v>367.5</v>
      </c>
      <c r="AF25" s="3">
        <v>8.2732738003269102</v>
      </c>
      <c r="AG25">
        <v>15</v>
      </c>
      <c r="AH25">
        <v>0</v>
      </c>
      <c r="AI25">
        <v>0</v>
      </c>
      <c r="AJ25">
        <v>15</v>
      </c>
      <c r="AK25" s="2">
        <v>717354.15254078107</v>
      </c>
      <c r="AL25" s="6">
        <v>118.2</v>
      </c>
      <c r="AM25" s="6">
        <v>0</v>
      </c>
      <c r="AN25" s="6">
        <v>0</v>
      </c>
      <c r="AO25" s="6">
        <v>118.2</v>
      </c>
      <c r="AP25" s="3">
        <v>0.42696209842776461</v>
      </c>
      <c r="AQ25">
        <v>0</v>
      </c>
      <c r="AR25">
        <v>0</v>
      </c>
      <c r="AS25">
        <v>0</v>
      </c>
      <c r="AT25">
        <v>0</v>
      </c>
      <c r="AU25" s="2">
        <v>0</v>
      </c>
      <c r="AV25" s="6">
        <v>0</v>
      </c>
      <c r="AW25" s="6">
        <v>0</v>
      </c>
      <c r="AX25" s="6">
        <v>0</v>
      </c>
      <c r="AY25" s="6">
        <v>0</v>
      </c>
      <c r="AZ25" s="3">
        <v>34.147084382129911</v>
      </c>
      <c r="BA25">
        <v>119</v>
      </c>
      <c r="BB25">
        <v>7</v>
      </c>
      <c r="BC25">
        <v>0</v>
      </c>
      <c r="BD25">
        <v>126</v>
      </c>
      <c r="BE25" s="2">
        <v>2551337.210183057</v>
      </c>
      <c r="BF25" s="6">
        <v>681.87</v>
      </c>
      <c r="BG25" s="6">
        <v>616.35</v>
      </c>
      <c r="BH25" s="6">
        <v>0</v>
      </c>
      <c r="BI25" s="6">
        <v>1298.22</v>
      </c>
      <c r="BJ25" s="3">
        <v>53.745256334165553</v>
      </c>
      <c r="BK25" s="6">
        <v>1167.57</v>
      </c>
      <c r="BL25" s="6">
        <v>616.35</v>
      </c>
      <c r="BM25" s="6">
        <v>0</v>
      </c>
      <c r="BN25" s="6">
        <v>1783.92</v>
      </c>
      <c r="BO25" s="3">
        <v>96.592576615050135</v>
      </c>
      <c r="BP25" s="7">
        <v>105294.82</v>
      </c>
      <c r="BQ25" s="2">
        <v>41.660559651181707</v>
      </c>
      <c r="BR25" s="2">
        <v>180.5290918217874</v>
      </c>
    </row>
    <row r="26" spans="1:70" x14ac:dyDescent="0.3">
      <c r="A26">
        <v>1999</v>
      </c>
      <c r="B26" s="1">
        <v>326742</v>
      </c>
      <c r="C26" s="2">
        <v>4267533.750271162</v>
      </c>
      <c r="D26" s="3">
        <v>13.060866831540361</v>
      </c>
      <c r="E26" s="1">
        <v>196045</v>
      </c>
      <c r="F26" s="4">
        <v>0.38633591351772728</v>
      </c>
      <c r="G26" s="4">
        <v>0.21436498245815769</v>
      </c>
      <c r="H26" s="4">
        <v>6.3333474124175185E-2</v>
      </c>
      <c r="I26" s="4">
        <v>0.1737470389914092</v>
      </c>
      <c r="J26" s="5">
        <v>3.2154747368723662</v>
      </c>
      <c r="K26">
        <v>403</v>
      </c>
      <c r="L26">
        <v>22742</v>
      </c>
      <c r="M26">
        <v>39067</v>
      </c>
      <c r="N26">
        <v>62212</v>
      </c>
      <c r="O26" s="6">
        <v>3022.5</v>
      </c>
      <c r="P26" s="6">
        <v>56855</v>
      </c>
      <c r="Q26" s="6">
        <v>46880.4</v>
      </c>
      <c r="R26" s="6">
        <v>106757.9</v>
      </c>
      <c r="S26" s="2">
        <v>3.5333333333333332</v>
      </c>
      <c r="T26" s="2">
        <v>26.542222222222222</v>
      </c>
      <c r="U26" s="2">
        <v>13.67866666666667</v>
      </c>
      <c r="V26" s="2">
        <v>43.754222222222218</v>
      </c>
      <c r="W26">
        <v>16</v>
      </c>
      <c r="X26">
        <v>0</v>
      </c>
      <c r="Y26">
        <v>0</v>
      </c>
      <c r="Z26">
        <v>16</v>
      </c>
      <c r="AA26" s="2">
        <v>817804.18688803236</v>
      </c>
      <c r="AB26" s="6">
        <v>384</v>
      </c>
      <c r="AC26" s="6">
        <v>0</v>
      </c>
      <c r="AD26" s="6">
        <v>0</v>
      </c>
      <c r="AE26" s="6">
        <v>384</v>
      </c>
      <c r="AF26" s="3">
        <v>8.7795310355522957</v>
      </c>
      <c r="AG26">
        <v>16</v>
      </c>
      <c r="AH26">
        <v>0</v>
      </c>
      <c r="AI26">
        <v>0</v>
      </c>
      <c r="AJ26">
        <v>16</v>
      </c>
      <c r="AK26" s="2">
        <v>769599.82766261569</v>
      </c>
      <c r="AL26" s="6">
        <v>121.6</v>
      </c>
      <c r="AM26" s="6">
        <v>0</v>
      </c>
      <c r="AN26" s="6">
        <v>0</v>
      </c>
      <c r="AO26" s="6">
        <v>121.6</v>
      </c>
      <c r="AP26" s="3">
        <v>0.45593047144347332</v>
      </c>
      <c r="AQ26">
        <v>0</v>
      </c>
      <c r="AR26">
        <v>0</v>
      </c>
      <c r="AS26">
        <v>0</v>
      </c>
      <c r="AT26">
        <v>0</v>
      </c>
      <c r="AU26" s="2">
        <v>0</v>
      </c>
      <c r="AV26" s="6">
        <v>0</v>
      </c>
      <c r="AW26" s="6">
        <v>0</v>
      </c>
      <c r="AX26" s="6">
        <v>0</v>
      </c>
      <c r="AY26" s="6">
        <v>0</v>
      </c>
      <c r="AZ26" s="3">
        <v>36.115256678020458</v>
      </c>
      <c r="BA26">
        <v>124</v>
      </c>
      <c r="BB26">
        <v>7</v>
      </c>
      <c r="BC26">
        <v>0</v>
      </c>
      <c r="BD26">
        <v>131</v>
      </c>
      <c r="BE26" s="2">
        <v>2680129.7357205129</v>
      </c>
      <c r="BF26" s="6">
        <v>716.1</v>
      </c>
      <c r="BG26" s="6">
        <v>598.15</v>
      </c>
      <c r="BH26" s="6">
        <v>0</v>
      </c>
      <c r="BI26" s="6">
        <v>1314.25</v>
      </c>
      <c r="BJ26" s="3">
        <v>56.726177894457329</v>
      </c>
      <c r="BK26" s="6">
        <v>1221.7</v>
      </c>
      <c r="BL26" s="6">
        <v>598.15</v>
      </c>
      <c r="BM26" s="6">
        <v>0</v>
      </c>
      <c r="BN26" s="6">
        <v>1819.85</v>
      </c>
      <c r="BO26" s="3">
        <v>102.0768960794736</v>
      </c>
      <c r="BP26" s="7">
        <v>108577.75</v>
      </c>
      <c r="BQ26" s="2">
        <v>43.749335490508727</v>
      </c>
      <c r="BR26" s="2">
        <v>189.58045379220451</v>
      </c>
    </row>
    <row r="27" spans="1:70" x14ac:dyDescent="0.3">
      <c r="A27">
        <v>2000</v>
      </c>
      <c r="B27" s="1">
        <v>335003</v>
      </c>
      <c r="C27" s="2">
        <v>4510467.144215297</v>
      </c>
      <c r="D27" s="3">
        <v>13.463960454728159</v>
      </c>
      <c r="E27" s="1">
        <v>201001</v>
      </c>
      <c r="F27" s="4">
        <v>0.39090999416124977</v>
      </c>
      <c r="G27" s="4">
        <v>0.21804080208620999</v>
      </c>
      <c r="H27" s="4">
        <v>6.576722883920659E-2</v>
      </c>
      <c r="I27" s="4">
        <v>0.1776402446325161</v>
      </c>
      <c r="J27" s="5">
        <v>3.2706120312931501</v>
      </c>
      <c r="K27">
        <v>438</v>
      </c>
      <c r="L27">
        <v>23616</v>
      </c>
      <c r="M27">
        <v>39818</v>
      </c>
      <c r="N27">
        <v>63872</v>
      </c>
      <c r="O27" s="6">
        <v>3285</v>
      </c>
      <c r="P27" s="6">
        <v>59040</v>
      </c>
      <c r="Q27" s="6">
        <v>47781.599999999999</v>
      </c>
      <c r="R27" s="6">
        <v>110106.6</v>
      </c>
      <c r="S27" s="2">
        <v>3.835</v>
      </c>
      <c r="T27" s="2">
        <v>27.525111111111109</v>
      </c>
      <c r="U27" s="2">
        <v>13.92253333333333</v>
      </c>
      <c r="V27" s="2">
        <v>45.282644444444443</v>
      </c>
      <c r="W27">
        <v>17</v>
      </c>
      <c r="X27">
        <v>0</v>
      </c>
      <c r="Y27">
        <v>0</v>
      </c>
      <c r="Z27">
        <v>17</v>
      </c>
      <c r="AA27" s="2">
        <v>870302.07618934277</v>
      </c>
      <c r="AB27" s="6">
        <v>418.2</v>
      </c>
      <c r="AC27" s="6">
        <v>0</v>
      </c>
      <c r="AD27" s="6">
        <v>0</v>
      </c>
      <c r="AE27" s="6">
        <v>418.2</v>
      </c>
      <c r="AF27" s="3">
        <v>9.3009698903535956</v>
      </c>
      <c r="AG27">
        <v>17</v>
      </c>
      <c r="AH27">
        <v>0</v>
      </c>
      <c r="AI27">
        <v>0</v>
      </c>
      <c r="AJ27">
        <v>17</v>
      </c>
      <c r="AK27" s="2">
        <v>825078.25867813861</v>
      </c>
      <c r="AL27" s="6">
        <v>134.63999999999999</v>
      </c>
      <c r="AM27" s="6">
        <v>0</v>
      </c>
      <c r="AN27" s="6">
        <v>0</v>
      </c>
      <c r="AO27" s="6">
        <v>134.63999999999999</v>
      </c>
      <c r="AP27" s="3">
        <v>0.48592800383910401</v>
      </c>
      <c r="AQ27">
        <v>0</v>
      </c>
      <c r="AR27">
        <v>0</v>
      </c>
      <c r="AS27">
        <v>0</v>
      </c>
      <c r="AT27">
        <v>0</v>
      </c>
      <c r="AU27" s="2">
        <v>0</v>
      </c>
      <c r="AV27" s="6">
        <v>0</v>
      </c>
      <c r="AW27" s="6">
        <v>0</v>
      </c>
      <c r="AX27" s="6">
        <v>0</v>
      </c>
      <c r="AY27" s="6">
        <v>0</v>
      </c>
      <c r="AZ27" s="3">
        <v>38.139523879408998</v>
      </c>
      <c r="BA27">
        <v>130</v>
      </c>
      <c r="BB27">
        <v>7</v>
      </c>
      <c r="BC27">
        <v>0</v>
      </c>
      <c r="BD27">
        <v>137</v>
      </c>
      <c r="BE27" s="2">
        <v>2815086.8093478158</v>
      </c>
      <c r="BF27" s="6">
        <v>756.6</v>
      </c>
      <c r="BG27" s="6">
        <v>607.25</v>
      </c>
      <c r="BH27" s="6">
        <v>0</v>
      </c>
      <c r="BI27" s="6">
        <v>1363.85</v>
      </c>
      <c r="BJ27" s="3">
        <v>59.788649412798577</v>
      </c>
      <c r="BK27" s="6">
        <v>1309.44</v>
      </c>
      <c r="BL27" s="6">
        <v>607.25</v>
      </c>
      <c r="BM27" s="6">
        <v>0</v>
      </c>
      <c r="BN27" s="6">
        <v>1916.69</v>
      </c>
      <c r="BO27" s="3">
        <v>107.71507118640029</v>
      </c>
      <c r="BP27" s="7">
        <v>112023.29</v>
      </c>
      <c r="BQ27" s="2">
        <v>45.899314689253409</v>
      </c>
      <c r="BR27" s="2">
        <v>198.89703032009811</v>
      </c>
    </row>
    <row r="28" spans="1:70" x14ac:dyDescent="0.3">
      <c r="A28">
        <v>2001</v>
      </c>
      <c r="B28" s="1">
        <v>343479</v>
      </c>
      <c r="C28" s="2">
        <v>4766072.6284327377</v>
      </c>
      <c r="D28" s="3">
        <v>13.875877792915251</v>
      </c>
      <c r="E28" s="1">
        <v>206087</v>
      </c>
      <c r="F28" s="4">
        <v>0.39511788888705379</v>
      </c>
      <c r="G28" s="4">
        <v>0.22164383560894171</v>
      </c>
      <c r="H28" s="4">
        <v>6.8343850449979218E-2</v>
      </c>
      <c r="I28" s="4">
        <v>0.18156296414664891</v>
      </c>
      <c r="J28" s="5">
        <v>3.3246575341341251</v>
      </c>
      <c r="K28">
        <v>475</v>
      </c>
      <c r="L28">
        <v>24500</v>
      </c>
      <c r="M28">
        <v>40607</v>
      </c>
      <c r="N28">
        <v>65582</v>
      </c>
      <c r="O28" s="6">
        <v>3562.5</v>
      </c>
      <c r="P28" s="6">
        <v>61250</v>
      </c>
      <c r="Q28" s="6">
        <v>48728.4</v>
      </c>
      <c r="R28" s="6">
        <v>113540.9</v>
      </c>
      <c r="S28" s="2">
        <v>4.1500000000000004</v>
      </c>
      <c r="T28" s="2">
        <v>28.514222222222219</v>
      </c>
      <c r="U28" s="2">
        <v>14.1782</v>
      </c>
      <c r="V28" s="2">
        <v>46.842422222222233</v>
      </c>
      <c r="W28">
        <v>18</v>
      </c>
      <c r="X28">
        <v>0</v>
      </c>
      <c r="Y28">
        <v>0</v>
      </c>
      <c r="Z28">
        <v>18</v>
      </c>
      <c r="AA28" s="2">
        <v>925532.9932456211</v>
      </c>
      <c r="AB28" s="6">
        <v>442.8</v>
      </c>
      <c r="AC28" s="6">
        <v>0</v>
      </c>
      <c r="AD28" s="6">
        <v>0</v>
      </c>
      <c r="AE28" s="6">
        <v>442.8</v>
      </c>
      <c r="AF28" s="3">
        <v>9.8379613575536169</v>
      </c>
      <c r="AG28">
        <v>18</v>
      </c>
      <c r="AH28">
        <v>0</v>
      </c>
      <c r="AI28">
        <v>0</v>
      </c>
      <c r="AJ28">
        <v>18</v>
      </c>
      <c r="AK28" s="2">
        <v>883991.4859201723</v>
      </c>
      <c r="AL28" s="6">
        <v>138.96</v>
      </c>
      <c r="AM28" s="6">
        <v>0</v>
      </c>
      <c r="AN28" s="6">
        <v>0</v>
      </c>
      <c r="AO28" s="6">
        <v>138.96</v>
      </c>
      <c r="AP28" s="3">
        <v>0.49416369832020662</v>
      </c>
      <c r="AQ28">
        <v>0</v>
      </c>
      <c r="AR28">
        <v>0</v>
      </c>
      <c r="AS28">
        <v>0</v>
      </c>
      <c r="AT28">
        <v>0</v>
      </c>
      <c r="AU28" s="2">
        <v>0</v>
      </c>
      <c r="AV28" s="6">
        <v>0</v>
      </c>
      <c r="AW28" s="6">
        <v>0</v>
      </c>
      <c r="AX28" s="6">
        <v>0</v>
      </c>
      <c r="AY28" s="6">
        <v>0</v>
      </c>
      <c r="AZ28" s="3">
        <v>43.643437442659689</v>
      </c>
      <c r="BA28">
        <v>136</v>
      </c>
      <c r="BB28">
        <v>7</v>
      </c>
      <c r="BC28">
        <v>0</v>
      </c>
      <c r="BD28">
        <v>143</v>
      </c>
      <c r="BE28" s="2">
        <v>2956548.1492669438</v>
      </c>
      <c r="BF28" s="6">
        <v>779.28</v>
      </c>
      <c r="BG28" s="6">
        <v>593.6</v>
      </c>
      <c r="BH28" s="6">
        <v>0</v>
      </c>
      <c r="BI28" s="6">
        <v>1372.88</v>
      </c>
      <c r="BJ28" s="3">
        <v>62.935198310029023</v>
      </c>
      <c r="BK28" s="6">
        <v>1361.04</v>
      </c>
      <c r="BL28" s="6">
        <v>593.6</v>
      </c>
      <c r="BM28" s="6">
        <v>0</v>
      </c>
      <c r="BN28" s="6">
        <v>1954.64</v>
      </c>
      <c r="BO28" s="3">
        <v>116.9107608085625</v>
      </c>
      <c r="BP28" s="7">
        <v>115495.54</v>
      </c>
      <c r="BQ28" s="2">
        <v>49.125954909235432</v>
      </c>
      <c r="BR28" s="2">
        <v>212.8791379400202</v>
      </c>
    </row>
    <row r="29" spans="1:70" x14ac:dyDescent="0.3">
      <c r="A29">
        <v>2002</v>
      </c>
      <c r="B29" s="1">
        <v>352175</v>
      </c>
      <c r="C29" s="2">
        <v>5034997.662710201</v>
      </c>
      <c r="D29" s="3">
        <v>14.296862817378299</v>
      </c>
      <c r="E29" s="1">
        <v>211305</v>
      </c>
      <c r="F29" s="4">
        <v>0.39926495366013443</v>
      </c>
      <c r="G29" s="4">
        <v>0.2251755242878031</v>
      </c>
      <c r="H29" s="4">
        <v>7.1073588947873287E-2</v>
      </c>
      <c r="I29" s="4">
        <v>0.18556534491520199</v>
      </c>
      <c r="J29" s="5">
        <v>3.377632864317047</v>
      </c>
      <c r="K29">
        <v>514</v>
      </c>
      <c r="L29">
        <v>25410</v>
      </c>
      <c r="M29">
        <v>41414</v>
      </c>
      <c r="N29">
        <v>67338</v>
      </c>
      <c r="O29" s="6">
        <v>3855</v>
      </c>
      <c r="P29" s="6">
        <v>63525</v>
      </c>
      <c r="Q29" s="6">
        <v>49696.800000000003</v>
      </c>
      <c r="R29" s="6">
        <v>117076.8</v>
      </c>
      <c r="S29" s="2">
        <v>4.4833333333333334</v>
      </c>
      <c r="T29" s="2">
        <v>29.53155555555556</v>
      </c>
      <c r="U29" s="2">
        <v>14.43946666666667</v>
      </c>
      <c r="V29" s="2">
        <v>48.454355555555559</v>
      </c>
      <c r="W29">
        <v>20</v>
      </c>
      <c r="X29">
        <v>0</v>
      </c>
      <c r="Y29">
        <v>0</v>
      </c>
      <c r="Z29">
        <v>20</v>
      </c>
      <c r="AA29" s="2">
        <v>983639.5261638473</v>
      </c>
      <c r="AB29" s="6">
        <v>496</v>
      </c>
      <c r="AC29" s="6">
        <v>0</v>
      </c>
      <c r="AD29" s="6">
        <v>0</v>
      </c>
      <c r="AE29" s="6">
        <v>496</v>
      </c>
      <c r="AF29" s="3">
        <v>10.39089467193028</v>
      </c>
      <c r="AG29">
        <v>20</v>
      </c>
      <c r="AH29">
        <v>0</v>
      </c>
      <c r="AI29">
        <v>0</v>
      </c>
      <c r="AJ29">
        <v>20</v>
      </c>
      <c r="AK29" s="2">
        <v>946541.01252853114</v>
      </c>
      <c r="AL29" s="6">
        <v>153.6</v>
      </c>
      <c r="AM29" s="6">
        <v>0</v>
      </c>
      <c r="AN29" s="6">
        <v>0</v>
      </c>
      <c r="AO29" s="6">
        <v>153.6</v>
      </c>
      <c r="AP29" s="3">
        <v>0.50315568311705627</v>
      </c>
      <c r="AQ29">
        <v>0</v>
      </c>
      <c r="AR29">
        <v>0</v>
      </c>
      <c r="AS29">
        <v>0</v>
      </c>
      <c r="AT29">
        <v>0</v>
      </c>
      <c r="AU29" s="2">
        <v>0</v>
      </c>
      <c r="AV29" s="6">
        <v>0</v>
      </c>
      <c r="AW29" s="6">
        <v>0</v>
      </c>
      <c r="AX29" s="6">
        <v>0</v>
      </c>
      <c r="AY29" s="6">
        <v>0</v>
      </c>
      <c r="AZ29" s="3">
        <v>49.083298352167887</v>
      </c>
      <c r="BA29">
        <v>142</v>
      </c>
      <c r="BB29">
        <v>8</v>
      </c>
      <c r="BC29">
        <v>0</v>
      </c>
      <c r="BD29">
        <v>150</v>
      </c>
      <c r="BE29" s="2">
        <v>3104817.124017823</v>
      </c>
      <c r="BF29" s="6">
        <v>826.44</v>
      </c>
      <c r="BG29" s="6">
        <v>688.8</v>
      </c>
      <c r="BH29" s="6">
        <v>0</v>
      </c>
      <c r="BI29" s="6">
        <v>1515.24</v>
      </c>
      <c r="BJ29" s="3">
        <v>66.168436777608491</v>
      </c>
      <c r="BK29" s="6">
        <v>1476.04</v>
      </c>
      <c r="BL29" s="6">
        <v>688.8</v>
      </c>
      <c r="BM29" s="6">
        <v>0</v>
      </c>
      <c r="BN29" s="6">
        <v>2164.84</v>
      </c>
      <c r="BO29" s="3">
        <v>126.1457854848237</v>
      </c>
      <c r="BP29" s="7">
        <v>119241.64</v>
      </c>
      <c r="BQ29" s="2">
        <v>52.38004231211378</v>
      </c>
      <c r="BR29" s="2">
        <v>226.98018335249299</v>
      </c>
    </row>
    <row r="30" spans="1:70" x14ac:dyDescent="0.3">
      <c r="A30">
        <v>2003</v>
      </c>
      <c r="B30" s="1">
        <v>361098</v>
      </c>
      <c r="C30" s="2">
        <v>5317935.3541544499</v>
      </c>
      <c r="D30" s="3">
        <v>14.72712491942478</v>
      </c>
      <c r="E30" s="1">
        <v>216658</v>
      </c>
      <c r="F30" s="4">
        <v>0.40335211285631672</v>
      </c>
      <c r="G30" s="4">
        <v>0.22863728084535551</v>
      </c>
      <c r="H30" s="4">
        <v>7.3967227085265111E-2</v>
      </c>
      <c r="I30" s="4">
        <v>0.18965177288751631</v>
      </c>
      <c r="J30" s="5">
        <v>3.4295592126803331</v>
      </c>
      <c r="K30">
        <v>555</v>
      </c>
      <c r="L30">
        <v>26349</v>
      </c>
      <c r="M30">
        <v>42242</v>
      </c>
      <c r="N30">
        <v>69146</v>
      </c>
      <c r="O30" s="6">
        <v>4162.5</v>
      </c>
      <c r="P30" s="6">
        <v>65872.5</v>
      </c>
      <c r="Q30" s="6">
        <v>50690.400000000001</v>
      </c>
      <c r="R30" s="6">
        <v>120725.4</v>
      </c>
      <c r="S30" s="2">
        <v>4.835</v>
      </c>
      <c r="T30" s="2">
        <v>30.577555555555559</v>
      </c>
      <c r="U30" s="2">
        <v>14.706466666666669</v>
      </c>
      <c r="V30" s="2">
        <v>50.119022222222227</v>
      </c>
      <c r="W30">
        <v>21</v>
      </c>
      <c r="X30">
        <v>0</v>
      </c>
      <c r="Y30">
        <v>0</v>
      </c>
      <c r="Z30">
        <v>21</v>
      </c>
      <c r="AA30" s="2">
        <v>1044772.107245203</v>
      </c>
      <c r="AB30" s="6">
        <v>520.79999999999995</v>
      </c>
      <c r="AC30" s="6">
        <v>0</v>
      </c>
      <c r="AD30" s="6">
        <v>0</v>
      </c>
      <c r="AE30" s="6">
        <v>520.79999999999995</v>
      </c>
      <c r="AF30" s="3">
        <v>10.960149317992469</v>
      </c>
      <c r="AG30">
        <v>21</v>
      </c>
      <c r="AH30">
        <v>0</v>
      </c>
      <c r="AI30">
        <v>0</v>
      </c>
      <c r="AJ30">
        <v>21</v>
      </c>
      <c r="AK30" s="2">
        <v>1012941.5080091649</v>
      </c>
      <c r="AL30" s="6">
        <v>159.6</v>
      </c>
      <c r="AM30" s="6">
        <v>0</v>
      </c>
      <c r="AN30" s="6">
        <v>0</v>
      </c>
      <c r="AO30" s="6">
        <v>159.6</v>
      </c>
      <c r="AP30" s="3">
        <v>0.51290910275641954</v>
      </c>
      <c r="AQ30">
        <v>0</v>
      </c>
      <c r="AR30">
        <v>0</v>
      </c>
      <c r="AS30">
        <v>0</v>
      </c>
      <c r="AT30">
        <v>0</v>
      </c>
      <c r="AU30" s="2">
        <v>0</v>
      </c>
      <c r="AV30" s="6">
        <v>0</v>
      </c>
      <c r="AW30" s="6">
        <v>0</v>
      </c>
      <c r="AX30" s="6">
        <v>0</v>
      </c>
      <c r="AY30" s="6">
        <v>0</v>
      </c>
      <c r="AZ30" s="3">
        <v>54.474668283822581</v>
      </c>
      <c r="BA30">
        <v>149</v>
      </c>
      <c r="BB30">
        <v>8</v>
      </c>
      <c r="BC30">
        <v>0</v>
      </c>
      <c r="BD30">
        <v>157</v>
      </c>
      <c r="BE30" s="2">
        <v>3260221.7389000822</v>
      </c>
      <c r="BF30" s="6">
        <v>826.95</v>
      </c>
      <c r="BG30" s="6">
        <v>709.6</v>
      </c>
      <c r="BH30" s="6">
        <v>0</v>
      </c>
      <c r="BI30" s="6">
        <v>1536.55</v>
      </c>
      <c r="BJ30" s="3">
        <v>69.490829152997648</v>
      </c>
      <c r="BK30" s="6">
        <v>1507.35</v>
      </c>
      <c r="BL30" s="6">
        <v>709.6</v>
      </c>
      <c r="BM30" s="6">
        <v>0</v>
      </c>
      <c r="BN30" s="6">
        <v>2216.9499999999998</v>
      </c>
      <c r="BO30" s="3">
        <v>135.4385558575691</v>
      </c>
      <c r="BP30" s="7">
        <v>122942.35</v>
      </c>
      <c r="BQ30" s="2">
        <v>55.667273423937402</v>
      </c>
      <c r="BR30" s="2">
        <v>241.2248515037287</v>
      </c>
    </row>
    <row r="31" spans="1:70" x14ac:dyDescent="0.3">
      <c r="A31">
        <v>2004</v>
      </c>
      <c r="B31" s="1">
        <v>370254</v>
      </c>
      <c r="C31" s="2">
        <v>5615669.8584330492</v>
      </c>
      <c r="D31" s="3">
        <v>15.167074112455371</v>
      </c>
      <c r="E31" s="1">
        <v>222152</v>
      </c>
      <c r="F31" s="4">
        <v>0.40738204259350153</v>
      </c>
      <c r="G31" s="4">
        <v>0.2320304900303794</v>
      </c>
      <c r="H31" s="4">
        <v>7.7037763098191797E-2</v>
      </c>
      <c r="I31" s="4">
        <v>0.19382815753117291</v>
      </c>
      <c r="J31" s="5">
        <v>3.480457350455691</v>
      </c>
      <c r="K31">
        <v>599</v>
      </c>
      <c r="L31">
        <v>27317</v>
      </c>
      <c r="M31">
        <v>43090</v>
      </c>
      <c r="N31">
        <v>71006</v>
      </c>
      <c r="O31" s="6">
        <v>4492.5</v>
      </c>
      <c r="P31" s="6">
        <v>68292.5</v>
      </c>
      <c r="Q31" s="6">
        <v>51708</v>
      </c>
      <c r="R31" s="6">
        <v>124493</v>
      </c>
      <c r="S31" s="2">
        <v>5.206666666666667</v>
      </c>
      <c r="T31" s="2">
        <v>31.653333333333329</v>
      </c>
      <c r="U31" s="2">
        <v>14.979266666666669</v>
      </c>
      <c r="V31" s="2">
        <v>51.839266666666667</v>
      </c>
      <c r="W31">
        <v>22</v>
      </c>
      <c r="X31">
        <v>0</v>
      </c>
      <c r="Y31">
        <v>0</v>
      </c>
      <c r="Z31">
        <v>22</v>
      </c>
      <c r="AA31" s="2">
        <v>1109095.7610782839</v>
      </c>
      <c r="AB31" s="6">
        <v>543.4</v>
      </c>
      <c r="AC31" s="6">
        <v>0</v>
      </c>
      <c r="AD31" s="6">
        <v>0</v>
      </c>
      <c r="AE31" s="6">
        <v>543.4</v>
      </c>
      <c r="AF31" s="3">
        <v>11.546106584752399</v>
      </c>
      <c r="AG31">
        <v>22</v>
      </c>
      <c r="AH31">
        <v>0</v>
      </c>
      <c r="AI31">
        <v>0</v>
      </c>
      <c r="AJ31">
        <v>22</v>
      </c>
      <c r="AK31" s="2">
        <v>1083429.0996187059</v>
      </c>
      <c r="AL31" s="6">
        <v>173.36</v>
      </c>
      <c r="AM31" s="6">
        <v>0</v>
      </c>
      <c r="AN31" s="6">
        <v>0</v>
      </c>
      <c r="AO31" s="6">
        <v>173.36</v>
      </c>
      <c r="AP31" s="3">
        <v>0.52342945937871621</v>
      </c>
      <c r="AQ31">
        <v>0</v>
      </c>
      <c r="AR31">
        <v>0</v>
      </c>
      <c r="AS31">
        <v>0</v>
      </c>
      <c r="AT31">
        <v>0</v>
      </c>
      <c r="AU31" s="2">
        <v>0</v>
      </c>
      <c r="AV31" s="6">
        <v>0</v>
      </c>
      <c r="AW31" s="6">
        <v>0</v>
      </c>
      <c r="AX31" s="6">
        <v>0</v>
      </c>
      <c r="AY31" s="6">
        <v>0</v>
      </c>
      <c r="AZ31" s="3">
        <v>59.832055960487772</v>
      </c>
      <c r="BA31">
        <v>156</v>
      </c>
      <c r="BB31">
        <v>8</v>
      </c>
      <c r="BC31">
        <v>0</v>
      </c>
      <c r="BD31">
        <v>164</v>
      </c>
      <c r="BE31" s="2">
        <v>3423144.9977360591</v>
      </c>
      <c r="BF31" s="6">
        <v>886.86</v>
      </c>
      <c r="BG31" s="6">
        <v>704.4</v>
      </c>
      <c r="BH31" s="6">
        <v>0</v>
      </c>
      <c r="BI31" s="6">
        <v>1591.26</v>
      </c>
      <c r="BJ31" s="3">
        <v>72.904798119693609</v>
      </c>
      <c r="BK31" s="6">
        <v>1603.62</v>
      </c>
      <c r="BL31" s="6">
        <v>704.4</v>
      </c>
      <c r="BM31" s="6">
        <v>0</v>
      </c>
      <c r="BN31" s="6">
        <v>2308.02</v>
      </c>
      <c r="BO31" s="3">
        <v>144.80639012431249</v>
      </c>
      <c r="BP31" s="7">
        <v>126801.02</v>
      </c>
      <c r="BQ31" s="2">
        <v>58.993697037293742</v>
      </c>
      <c r="BR31" s="2">
        <v>255.6393538282729</v>
      </c>
    </row>
    <row r="32" spans="1:70" x14ac:dyDescent="0.3">
      <c r="A32">
        <v>2005</v>
      </c>
      <c r="B32" s="1">
        <v>379650</v>
      </c>
      <c r="C32" s="2">
        <v>5928964.2856764179</v>
      </c>
      <c r="D32" s="3">
        <v>15.61692160062273</v>
      </c>
      <c r="E32" s="1">
        <v>227790</v>
      </c>
      <c r="F32" s="4">
        <v>0.41135506280810669</v>
      </c>
      <c r="G32" s="4">
        <v>0.2353565091717921</v>
      </c>
      <c r="H32" s="4">
        <v>8.0297789567594133E-2</v>
      </c>
      <c r="I32" s="4">
        <v>0.19809896978259561</v>
      </c>
      <c r="J32" s="5">
        <v>3.530347637576881</v>
      </c>
      <c r="K32">
        <v>645</v>
      </c>
      <c r="L32">
        <v>28314</v>
      </c>
      <c r="M32">
        <v>43959</v>
      </c>
      <c r="N32">
        <v>72918</v>
      </c>
      <c r="O32" s="6">
        <v>4837.5</v>
      </c>
      <c r="P32" s="6">
        <v>70785</v>
      </c>
      <c r="Q32" s="6">
        <v>52750.8</v>
      </c>
      <c r="R32" s="6">
        <v>128373.3</v>
      </c>
      <c r="S32" s="2">
        <v>5.5983333333333336</v>
      </c>
      <c r="T32" s="2">
        <v>32.759555555555558</v>
      </c>
      <c r="U32" s="2">
        <v>15.25813333333333</v>
      </c>
      <c r="V32" s="2">
        <v>53.616022222222227</v>
      </c>
      <c r="W32">
        <v>23</v>
      </c>
      <c r="X32">
        <v>0</v>
      </c>
      <c r="Y32">
        <v>0</v>
      </c>
      <c r="Z32">
        <v>23</v>
      </c>
      <c r="AA32" s="2">
        <v>1176775.4026845419</v>
      </c>
      <c r="AB32" s="6">
        <v>570.4</v>
      </c>
      <c r="AC32" s="6">
        <v>0</v>
      </c>
      <c r="AD32" s="6">
        <v>0</v>
      </c>
      <c r="AE32" s="6">
        <v>570.4</v>
      </c>
      <c r="AF32" s="3">
        <v>12.149163180087831</v>
      </c>
      <c r="AG32">
        <v>23</v>
      </c>
      <c r="AH32">
        <v>0</v>
      </c>
      <c r="AI32">
        <v>0</v>
      </c>
      <c r="AJ32">
        <v>23</v>
      </c>
      <c r="AK32" s="2">
        <v>1158243.078636202</v>
      </c>
      <c r="AL32" s="6">
        <v>174.8</v>
      </c>
      <c r="AM32" s="6">
        <v>0</v>
      </c>
      <c r="AN32" s="6">
        <v>0</v>
      </c>
      <c r="AO32" s="6">
        <v>174.8</v>
      </c>
      <c r="AP32" s="3">
        <v>0.53472288789778322</v>
      </c>
      <c r="AQ32">
        <v>0</v>
      </c>
      <c r="AR32">
        <v>0</v>
      </c>
      <c r="AS32">
        <v>0</v>
      </c>
      <c r="AT32">
        <v>0</v>
      </c>
      <c r="AU32" s="2">
        <v>0</v>
      </c>
      <c r="AV32" s="6">
        <v>0</v>
      </c>
      <c r="AW32" s="6">
        <v>0</v>
      </c>
      <c r="AX32" s="6">
        <v>0</v>
      </c>
      <c r="AY32" s="6">
        <v>0</v>
      </c>
      <c r="AZ32" s="3">
        <v>65.169108596309442</v>
      </c>
      <c r="BA32">
        <v>163</v>
      </c>
      <c r="BB32">
        <v>8</v>
      </c>
      <c r="BC32">
        <v>0</v>
      </c>
      <c r="BD32">
        <v>171</v>
      </c>
      <c r="BE32" s="2">
        <v>3593945.804355673</v>
      </c>
      <c r="BF32" s="6">
        <v>955.995</v>
      </c>
      <c r="BG32" s="6">
        <v>683.6</v>
      </c>
      <c r="BH32" s="6">
        <v>0</v>
      </c>
      <c r="BI32" s="6">
        <v>1639.595</v>
      </c>
      <c r="BJ32" s="3">
        <v>76.41284322789565</v>
      </c>
      <c r="BK32" s="6">
        <v>1701.1949999999999</v>
      </c>
      <c r="BL32" s="6">
        <v>683.6</v>
      </c>
      <c r="BM32" s="6">
        <v>0</v>
      </c>
      <c r="BN32" s="6">
        <v>2384.7950000000001</v>
      </c>
      <c r="BO32" s="3">
        <v>154.26583789219069</v>
      </c>
      <c r="BP32" s="7">
        <v>130758.095</v>
      </c>
      <c r="BQ32" s="2">
        <v>62.364558034323871</v>
      </c>
      <c r="BR32" s="2">
        <v>270.24641814873678</v>
      </c>
    </row>
    <row r="33" spans="1:70" x14ac:dyDescent="0.3">
      <c r="A33">
        <v>2006</v>
      </c>
      <c r="B33" s="1">
        <v>389293</v>
      </c>
      <c r="C33" s="2">
        <v>6258614.0109700784</v>
      </c>
      <c r="D33" s="3">
        <v>16.07687271790163</v>
      </c>
      <c r="E33" s="1">
        <v>233575</v>
      </c>
      <c r="F33" s="4">
        <v>0.41527128641526012</v>
      </c>
      <c r="G33" s="4">
        <v>0.23861666872159759</v>
      </c>
      <c r="H33" s="4">
        <v>8.3760770846948523E-2</v>
      </c>
      <c r="I33" s="4">
        <v>0.20246864776876511</v>
      </c>
      <c r="J33" s="5">
        <v>3.5792500308239652</v>
      </c>
      <c r="K33">
        <v>693</v>
      </c>
      <c r="L33">
        <v>29343</v>
      </c>
      <c r="M33">
        <v>44851</v>
      </c>
      <c r="N33">
        <v>74887</v>
      </c>
      <c r="O33" s="6">
        <v>5197.5</v>
      </c>
      <c r="P33" s="6">
        <v>73357.5</v>
      </c>
      <c r="Q33" s="6">
        <v>53821.2</v>
      </c>
      <c r="R33" s="6">
        <v>132376.20000000001</v>
      </c>
      <c r="S33" s="2">
        <v>6.01</v>
      </c>
      <c r="T33" s="2">
        <v>33.897111111111109</v>
      </c>
      <c r="U33" s="2">
        <v>15.543200000000001</v>
      </c>
      <c r="V33" s="2">
        <v>55.450311111111112</v>
      </c>
      <c r="W33">
        <v>24</v>
      </c>
      <c r="X33">
        <v>0</v>
      </c>
      <c r="Y33">
        <v>0</v>
      </c>
      <c r="Z33">
        <v>24</v>
      </c>
      <c r="AA33" s="2">
        <v>1247982.1787296601</v>
      </c>
      <c r="AB33" s="6">
        <v>595.20000000000005</v>
      </c>
      <c r="AC33" s="6">
        <v>0</v>
      </c>
      <c r="AD33" s="6">
        <v>0</v>
      </c>
      <c r="AE33" s="6">
        <v>595.20000000000005</v>
      </c>
      <c r="AF33" s="3">
        <v>12.76969892087244</v>
      </c>
      <c r="AG33">
        <v>24</v>
      </c>
      <c r="AH33">
        <v>0</v>
      </c>
      <c r="AI33">
        <v>0</v>
      </c>
      <c r="AJ33">
        <v>24</v>
      </c>
      <c r="AK33" s="2">
        <v>1237634.811067553</v>
      </c>
      <c r="AL33" s="6">
        <v>182.4</v>
      </c>
      <c r="AM33" s="6">
        <v>0</v>
      </c>
      <c r="AN33" s="6">
        <v>0</v>
      </c>
      <c r="AO33" s="6">
        <v>182.4</v>
      </c>
      <c r="AP33" s="3">
        <v>0.54679548316897242</v>
      </c>
      <c r="AQ33">
        <v>0</v>
      </c>
      <c r="AR33">
        <v>0</v>
      </c>
      <c r="AS33">
        <v>0</v>
      </c>
      <c r="AT33">
        <v>0</v>
      </c>
      <c r="AU33" s="2">
        <v>0</v>
      </c>
      <c r="AV33" s="6">
        <v>0</v>
      </c>
      <c r="AW33" s="6">
        <v>0</v>
      </c>
      <c r="AX33" s="6">
        <v>0</v>
      </c>
      <c r="AY33" s="6">
        <v>0</v>
      </c>
      <c r="AZ33" s="3">
        <v>70.498435624150702</v>
      </c>
      <c r="BA33">
        <v>170</v>
      </c>
      <c r="BB33">
        <v>9</v>
      </c>
      <c r="BC33">
        <v>0</v>
      </c>
      <c r="BD33">
        <v>179</v>
      </c>
      <c r="BE33" s="2">
        <v>3772997.0211728639</v>
      </c>
      <c r="BF33" s="6">
        <v>966.45</v>
      </c>
      <c r="BG33" s="6">
        <v>751.5</v>
      </c>
      <c r="BH33" s="6">
        <v>0</v>
      </c>
      <c r="BI33" s="6">
        <v>1717.95</v>
      </c>
      <c r="BJ33" s="3">
        <v>80.017271668355164</v>
      </c>
      <c r="BK33" s="6">
        <v>1744.05</v>
      </c>
      <c r="BL33" s="6">
        <v>751.5</v>
      </c>
      <c r="BM33" s="6">
        <v>0</v>
      </c>
      <c r="BN33" s="6">
        <v>2495.5500000000002</v>
      </c>
      <c r="BO33" s="3">
        <v>163.83220169654729</v>
      </c>
      <c r="BP33" s="7">
        <v>134871.75</v>
      </c>
      <c r="BQ33" s="2">
        <v>65.784753842297519</v>
      </c>
      <c r="BR33" s="2">
        <v>285.06726664995591</v>
      </c>
    </row>
    <row r="34" spans="1:70" x14ac:dyDescent="0.3">
      <c r="A34">
        <v>2007</v>
      </c>
      <c r="B34" s="1">
        <v>399190</v>
      </c>
      <c r="C34" s="2">
        <v>6605539.668391793</v>
      </c>
      <c r="D34" s="3">
        <v>16.54735757005885</v>
      </c>
      <c r="E34" s="1">
        <v>239514</v>
      </c>
      <c r="F34" s="4">
        <v>0.41913276066044752</v>
      </c>
      <c r="G34" s="4">
        <v>0.24181227278708539</v>
      </c>
      <c r="H34" s="4">
        <v>8.7442932471624393E-2</v>
      </c>
      <c r="I34" s="4">
        <v>0.2069433873267191</v>
      </c>
      <c r="J34" s="5">
        <v>3.627184091806281</v>
      </c>
      <c r="K34">
        <v>745</v>
      </c>
      <c r="L34">
        <v>30405</v>
      </c>
      <c r="M34">
        <v>45764</v>
      </c>
      <c r="N34">
        <v>76914</v>
      </c>
      <c r="O34" s="6">
        <v>5587.5</v>
      </c>
      <c r="P34" s="6">
        <v>76012.5</v>
      </c>
      <c r="Q34" s="6">
        <v>54916.800000000003</v>
      </c>
      <c r="R34" s="6">
        <v>136516.79999999999</v>
      </c>
      <c r="S34" s="2">
        <v>6.4450000000000003</v>
      </c>
      <c r="T34" s="2">
        <v>35.06711111111111</v>
      </c>
      <c r="U34" s="2">
        <v>15.834666666666671</v>
      </c>
      <c r="V34" s="2">
        <v>57.346777777777767</v>
      </c>
      <c r="W34">
        <v>26</v>
      </c>
      <c r="X34">
        <v>0</v>
      </c>
      <c r="Y34">
        <v>0</v>
      </c>
      <c r="Z34">
        <v>26</v>
      </c>
      <c r="AA34" s="2">
        <v>1322907.7207515631</v>
      </c>
      <c r="AB34" s="6">
        <v>642.20000000000005</v>
      </c>
      <c r="AC34" s="6">
        <v>0</v>
      </c>
      <c r="AD34" s="6">
        <v>0</v>
      </c>
      <c r="AE34" s="6">
        <v>642.20000000000005</v>
      </c>
      <c r="AF34" s="3">
        <v>13.408117450328721</v>
      </c>
      <c r="AG34">
        <v>26</v>
      </c>
      <c r="AH34">
        <v>0</v>
      </c>
      <c r="AI34">
        <v>0</v>
      </c>
      <c r="AJ34">
        <v>26</v>
      </c>
      <c r="AK34" s="2">
        <v>1321884.703863471</v>
      </c>
      <c r="AL34" s="6">
        <v>199.68</v>
      </c>
      <c r="AM34" s="6">
        <v>0</v>
      </c>
      <c r="AN34" s="6">
        <v>0</v>
      </c>
      <c r="AO34" s="6">
        <v>199.68</v>
      </c>
      <c r="AP34" s="3">
        <v>0.55965412835533268</v>
      </c>
      <c r="AQ34">
        <v>0</v>
      </c>
      <c r="AR34">
        <v>0</v>
      </c>
      <c r="AS34">
        <v>0</v>
      </c>
      <c r="AT34">
        <v>0</v>
      </c>
      <c r="AU34" s="2">
        <v>0</v>
      </c>
      <c r="AV34" s="6">
        <v>0</v>
      </c>
      <c r="AW34" s="6">
        <v>0</v>
      </c>
      <c r="AX34" s="6">
        <v>0</v>
      </c>
      <c r="AY34" s="6">
        <v>0</v>
      </c>
      <c r="AZ34" s="3">
        <v>75.832001904754719</v>
      </c>
      <c r="BA34">
        <v>177</v>
      </c>
      <c r="BB34">
        <v>9</v>
      </c>
      <c r="BC34">
        <v>0</v>
      </c>
      <c r="BD34">
        <v>186</v>
      </c>
      <c r="BE34" s="2">
        <v>3960747.2437767591</v>
      </c>
      <c r="BF34" s="6">
        <v>1014.21</v>
      </c>
      <c r="BG34" s="6">
        <v>780.75</v>
      </c>
      <c r="BH34" s="6">
        <v>0</v>
      </c>
      <c r="BI34" s="6">
        <v>1794.96</v>
      </c>
      <c r="BJ34" s="3">
        <v>83.720548374091464</v>
      </c>
      <c r="BK34" s="6">
        <v>1856.09</v>
      </c>
      <c r="BL34" s="6">
        <v>780.75</v>
      </c>
      <c r="BM34" s="6">
        <v>0</v>
      </c>
      <c r="BN34" s="6">
        <v>2636.84</v>
      </c>
      <c r="BO34" s="3">
        <v>173.52032185753021</v>
      </c>
      <c r="BP34" s="7">
        <v>139153.64000000001</v>
      </c>
      <c r="BQ34" s="2">
        <v>69.26012989059241</v>
      </c>
      <c r="BR34" s="2">
        <v>300.12722952590042</v>
      </c>
    </row>
    <row r="35" spans="1:70" x14ac:dyDescent="0.3">
      <c r="A35">
        <v>2008</v>
      </c>
      <c r="B35" s="1">
        <v>409349</v>
      </c>
      <c r="C35" s="2">
        <v>6970595.8572218288</v>
      </c>
      <c r="D35" s="3">
        <v>17.028491231740709</v>
      </c>
      <c r="E35" s="1">
        <v>245609</v>
      </c>
      <c r="F35" s="4">
        <v>0.42293846928004858</v>
      </c>
      <c r="G35" s="4">
        <v>0.24494459965249021</v>
      </c>
      <c r="H35" s="4">
        <v>9.1359199206196506E-2</v>
      </c>
      <c r="I35" s="4">
        <v>0.2115269857397106</v>
      </c>
      <c r="J35" s="5">
        <v>3.6741689947873541</v>
      </c>
      <c r="K35">
        <v>799</v>
      </c>
      <c r="L35">
        <v>31499</v>
      </c>
      <c r="M35">
        <v>46701</v>
      </c>
      <c r="N35">
        <v>78999</v>
      </c>
      <c r="O35" s="6">
        <v>5992.5</v>
      </c>
      <c r="P35" s="6">
        <v>78747.5</v>
      </c>
      <c r="Q35" s="6">
        <v>56041.2</v>
      </c>
      <c r="R35" s="6">
        <v>140781.20000000001</v>
      </c>
      <c r="S35" s="2">
        <v>6.9016666666666664</v>
      </c>
      <c r="T35" s="2">
        <v>36.270222222222223</v>
      </c>
      <c r="U35" s="2">
        <v>16.132666666666669</v>
      </c>
      <c r="V35" s="2">
        <v>59.304555555555552</v>
      </c>
      <c r="W35">
        <v>27</v>
      </c>
      <c r="X35">
        <v>0</v>
      </c>
      <c r="Y35">
        <v>0</v>
      </c>
      <c r="Z35">
        <v>27</v>
      </c>
      <c r="AA35" s="2">
        <v>1401736.7746669219</v>
      </c>
      <c r="AB35" s="6">
        <v>658.8</v>
      </c>
      <c r="AC35" s="6">
        <v>0</v>
      </c>
      <c r="AD35" s="6">
        <v>0</v>
      </c>
      <c r="AE35" s="6">
        <v>658.8</v>
      </c>
      <c r="AF35" s="3">
        <v>14.064812207565691</v>
      </c>
      <c r="AG35">
        <v>27</v>
      </c>
      <c r="AH35">
        <v>0</v>
      </c>
      <c r="AI35">
        <v>0</v>
      </c>
      <c r="AJ35">
        <v>27</v>
      </c>
      <c r="AK35" s="2">
        <v>1411269.0918403349</v>
      </c>
      <c r="AL35" s="6">
        <v>205.2</v>
      </c>
      <c r="AM35" s="6">
        <v>0</v>
      </c>
      <c r="AN35" s="6">
        <v>0</v>
      </c>
      <c r="AO35" s="6">
        <v>205.2</v>
      </c>
      <c r="AP35" s="3">
        <v>0.57330579209335397</v>
      </c>
      <c r="AQ35">
        <v>0</v>
      </c>
      <c r="AR35">
        <v>0</v>
      </c>
      <c r="AS35">
        <v>0</v>
      </c>
      <c r="AT35">
        <v>0</v>
      </c>
      <c r="AU35" s="2">
        <v>0</v>
      </c>
      <c r="AV35" s="6">
        <v>0</v>
      </c>
      <c r="AW35" s="6">
        <v>0</v>
      </c>
      <c r="AX35" s="6">
        <v>0</v>
      </c>
      <c r="AY35" s="6">
        <v>0</v>
      </c>
      <c r="AZ35" s="3">
        <v>81.180924598129806</v>
      </c>
      <c r="BA35">
        <v>185</v>
      </c>
      <c r="BB35">
        <v>9</v>
      </c>
      <c r="BC35">
        <v>0</v>
      </c>
      <c r="BD35">
        <v>194</v>
      </c>
      <c r="BE35" s="2">
        <v>4157589.9907145728</v>
      </c>
      <c r="BF35" s="6">
        <v>1035.075</v>
      </c>
      <c r="BG35" s="6">
        <v>774.9</v>
      </c>
      <c r="BH35" s="6">
        <v>0</v>
      </c>
      <c r="BI35" s="6">
        <v>1809.9749999999999</v>
      </c>
      <c r="BJ35" s="3">
        <v>87.525008572154817</v>
      </c>
      <c r="BK35" s="6">
        <v>1899.075</v>
      </c>
      <c r="BL35" s="6">
        <v>774.9</v>
      </c>
      <c r="BM35" s="6">
        <v>0</v>
      </c>
      <c r="BN35" s="6">
        <v>2673.9749999999999</v>
      </c>
      <c r="BO35" s="3">
        <v>183.3440511699437</v>
      </c>
      <c r="BP35" s="7">
        <v>143455.17499999999</v>
      </c>
      <c r="BQ35" s="2">
        <v>72.794582017649773</v>
      </c>
      <c r="BR35" s="2">
        <v>315.44318874314899</v>
      </c>
    </row>
    <row r="36" spans="1:70" x14ac:dyDescent="0.3">
      <c r="A36">
        <v>2009</v>
      </c>
      <c r="B36" s="1">
        <v>419778</v>
      </c>
      <c r="C36" s="2">
        <v>7354766.396396949</v>
      </c>
      <c r="D36" s="3">
        <v>17.520609456419699</v>
      </c>
      <c r="E36" s="1">
        <v>251866</v>
      </c>
      <c r="F36" s="4">
        <v>0.42668928310987148</v>
      </c>
      <c r="G36" s="4">
        <v>0.24801490229032311</v>
      </c>
      <c r="H36" s="4">
        <v>9.5527386150514204E-2</v>
      </c>
      <c r="I36" s="4">
        <v>0.2162249484046054</v>
      </c>
      <c r="J36" s="5">
        <v>3.7202235343548469</v>
      </c>
      <c r="K36">
        <v>856</v>
      </c>
      <c r="L36">
        <v>32627</v>
      </c>
      <c r="M36">
        <v>47662</v>
      </c>
      <c r="N36">
        <v>81145</v>
      </c>
      <c r="O36" s="6">
        <v>6420</v>
      </c>
      <c r="P36" s="6">
        <v>81567.5</v>
      </c>
      <c r="Q36" s="6">
        <v>57194.400000000001</v>
      </c>
      <c r="R36" s="6">
        <v>145181.9</v>
      </c>
      <c r="S36" s="2">
        <v>7.3816666666666668</v>
      </c>
      <c r="T36" s="2">
        <v>37.507777777777783</v>
      </c>
      <c r="U36" s="2">
        <v>16.437466666666669</v>
      </c>
      <c r="V36" s="2">
        <v>61.326911111111109</v>
      </c>
      <c r="W36">
        <v>29</v>
      </c>
      <c r="X36">
        <v>0</v>
      </c>
      <c r="Y36">
        <v>0</v>
      </c>
      <c r="Z36">
        <v>29</v>
      </c>
      <c r="AA36" s="2">
        <v>1484674.837343412</v>
      </c>
      <c r="AB36" s="6">
        <v>707.6</v>
      </c>
      <c r="AC36" s="6">
        <v>0</v>
      </c>
      <c r="AD36" s="6">
        <v>0</v>
      </c>
      <c r="AE36" s="6">
        <v>707.6</v>
      </c>
      <c r="AF36" s="3">
        <v>14.740180492914311</v>
      </c>
      <c r="AG36">
        <v>29</v>
      </c>
      <c r="AH36">
        <v>0</v>
      </c>
      <c r="AI36">
        <v>0</v>
      </c>
      <c r="AJ36">
        <v>29</v>
      </c>
      <c r="AK36" s="2">
        <v>1506094.9847994701</v>
      </c>
      <c r="AL36" s="6">
        <v>223.88</v>
      </c>
      <c r="AM36" s="6">
        <v>0</v>
      </c>
      <c r="AN36" s="6">
        <v>0</v>
      </c>
      <c r="AO36" s="6">
        <v>223.88</v>
      </c>
      <c r="AP36" s="3">
        <v>0.58775780620144003</v>
      </c>
      <c r="AQ36">
        <v>0</v>
      </c>
      <c r="AR36">
        <v>0</v>
      </c>
      <c r="AS36">
        <v>0</v>
      </c>
      <c r="AT36">
        <v>0</v>
      </c>
      <c r="AU36" s="2">
        <v>0</v>
      </c>
      <c r="AV36" s="6">
        <v>0</v>
      </c>
      <c r="AW36" s="6">
        <v>0</v>
      </c>
      <c r="AX36" s="6">
        <v>0</v>
      </c>
      <c r="AY36" s="6">
        <v>0</v>
      </c>
      <c r="AZ36" s="3">
        <v>86.555646081861909</v>
      </c>
      <c r="BA36">
        <v>193</v>
      </c>
      <c r="BB36">
        <v>10</v>
      </c>
      <c r="BC36">
        <v>0</v>
      </c>
      <c r="BD36">
        <v>203</v>
      </c>
      <c r="BE36" s="2">
        <v>4363996.5742540667</v>
      </c>
      <c r="BF36" s="6">
        <v>1071.1500000000001</v>
      </c>
      <c r="BG36" s="6">
        <v>835</v>
      </c>
      <c r="BH36" s="6">
        <v>0</v>
      </c>
      <c r="BI36" s="6">
        <v>1906.15</v>
      </c>
      <c r="BJ36" s="3">
        <v>91.432982863294015</v>
      </c>
      <c r="BK36" s="6">
        <v>2002.63</v>
      </c>
      <c r="BL36" s="6">
        <v>835</v>
      </c>
      <c r="BM36" s="6">
        <v>0</v>
      </c>
      <c r="BN36" s="6">
        <v>2837.63</v>
      </c>
      <c r="BO36" s="3">
        <v>193.31656724427171</v>
      </c>
      <c r="BP36" s="7">
        <v>148019.53</v>
      </c>
      <c r="BQ36" s="2">
        <v>76.393043506614831</v>
      </c>
      <c r="BR36" s="2">
        <v>331.03652186199758</v>
      </c>
    </row>
    <row r="37" spans="1:70" x14ac:dyDescent="0.3">
      <c r="A37">
        <v>2010</v>
      </c>
      <c r="B37" s="1">
        <v>430485</v>
      </c>
      <c r="C37" s="2">
        <v>7759085.8545622854</v>
      </c>
      <c r="D37" s="3">
        <v>18.024056249491348</v>
      </c>
      <c r="E37" s="1">
        <v>258291</v>
      </c>
      <c r="F37" s="4">
        <v>0.43038599899480068</v>
      </c>
      <c r="G37" s="4">
        <v>0.25102440886257721</v>
      </c>
      <c r="H37" s="4">
        <v>9.9966723128345536E-2</v>
      </c>
      <c r="I37" s="4">
        <v>0.22104287199257791</v>
      </c>
      <c r="J37" s="5">
        <v>3.7653661329386572</v>
      </c>
      <c r="K37">
        <v>916</v>
      </c>
      <c r="L37">
        <v>33792</v>
      </c>
      <c r="M37">
        <v>48649</v>
      </c>
      <c r="N37">
        <v>83357</v>
      </c>
      <c r="O37" s="6">
        <v>6870</v>
      </c>
      <c r="P37" s="6">
        <v>84480</v>
      </c>
      <c r="Q37" s="6">
        <v>58378.8</v>
      </c>
      <c r="R37" s="6">
        <v>149728.79999999999</v>
      </c>
      <c r="S37" s="2">
        <v>7.8866666666666667</v>
      </c>
      <c r="T37" s="2">
        <v>38.780444444444441</v>
      </c>
      <c r="U37" s="2">
        <v>16.749333333333329</v>
      </c>
      <c r="V37" s="2">
        <v>63.416444444444437</v>
      </c>
      <c r="W37">
        <v>30</v>
      </c>
      <c r="X37">
        <v>0</v>
      </c>
      <c r="Y37">
        <v>0</v>
      </c>
      <c r="Z37">
        <v>30</v>
      </c>
      <c r="AA37" s="2">
        <v>1571937.9568408229</v>
      </c>
      <c r="AB37" s="6">
        <v>726</v>
      </c>
      <c r="AC37" s="6">
        <v>0</v>
      </c>
      <c r="AD37" s="6">
        <v>0</v>
      </c>
      <c r="AE37" s="6">
        <v>726</v>
      </c>
      <c r="AF37" s="3">
        <v>15.434639760608521</v>
      </c>
      <c r="AG37">
        <v>30</v>
      </c>
      <c r="AH37">
        <v>0</v>
      </c>
      <c r="AI37">
        <v>0</v>
      </c>
      <c r="AJ37">
        <v>30</v>
      </c>
      <c r="AK37" s="2">
        <v>1606687.065830542</v>
      </c>
      <c r="AL37" s="6">
        <v>234</v>
      </c>
      <c r="AM37" s="6">
        <v>0</v>
      </c>
      <c r="AN37" s="6">
        <v>0</v>
      </c>
      <c r="AO37" s="6">
        <v>234</v>
      </c>
      <c r="AP37" s="3">
        <v>0.60301819904183573</v>
      </c>
      <c r="AQ37">
        <v>0</v>
      </c>
      <c r="AR37">
        <v>0</v>
      </c>
      <c r="AS37">
        <v>0</v>
      </c>
      <c r="AT37">
        <v>0</v>
      </c>
      <c r="AU37" s="2">
        <v>0</v>
      </c>
      <c r="AV37" s="6">
        <v>0</v>
      </c>
      <c r="AW37" s="6">
        <v>0</v>
      </c>
      <c r="AX37" s="6">
        <v>0</v>
      </c>
      <c r="AY37" s="6">
        <v>0</v>
      </c>
      <c r="AZ37" s="3">
        <v>91.966117030227551</v>
      </c>
      <c r="BA37">
        <v>202</v>
      </c>
      <c r="BB37">
        <v>10</v>
      </c>
      <c r="BC37">
        <v>0</v>
      </c>
      <c r="BD37">
        <v>212</v>
      </c>
      <c r="BE37" s="2">
        <v>4580460.8318909202</v>
      </c>
      <c r="BF37" s="6">
        <v>1193.82</v>
      </c>
      <c r="BG37" s="6">
        <v>854.5</v>
      </c>
      <c r="BH37" s="6">
        <v>0</v>
      </c>
      <c r="BI37" s="6">
        <v>2048.3200000000002</v>
      </c>
      <c r="BJ37" s="3">
        <v>95.446935387540179</v>
      </c>
      <c r="BK37" s="6">
        <v>2153.8200000000002</v>
      </c>
      <c r="BL37" s="6">
        <v>854.5</v>
      </c>
      <c r="BM37" s="6">
        <v>0</v>
      </c>
      <c r="BN37" s="6">
        <v>3008.32</v>
      </c>
      <c r="BO37" s="3">
        <v>203.45071037741809</v>
      </c>
      <c r="BP37" s="7">
        <v>152737.12</v>
      </c>
      <c r="BQ37" s="2">
        <v>80.060146446558761</v>
      </c>
      <c r="BR37" s="2">
        <v>346.92730126842127</v>
      </c>
    </row>
    <row r="38" spans="1:70" x14ac:dyDescent="0.3">
      <c r="A38">
        <v>2011</v>
      </c>
      <c r="B38" s="1">
        <v>441479</v>
      </c>
      <c r="C38" s="2">
        <v>8184565.5081913332</v>
      </c>
      <c r="D38" s="3">
        <v>18.538969029537839</v>
      </c>
      <c r="E38" s="1">
        <v>264887</v>
      </c>
      <c r="F38" s="4">
        <v>0.43386263615342863</v>
      </c>
      <c r="G38" s="4">
        <v>0.25397432321200852</v>
      </c>
      <c r="H38" s="4">
        <v>0.1046959358486029</v>
      </c>
      <c r="I38" s="4">
        <v>0.2259560436465349</v>
      </c>
      <c r="J38" s="5">
        <v>3.8096148481801269</v>
      </c>
      <c r="K38">
        <v>978</v>
      </c>
      <c r="L38">
        <v>34979</v>
      </c>
      <c r="M38">
        <v>49675</v>
      </c>
      <c r="N38">
        <v>85632</v>
      </c>
      <c r="O38" s="6">
        <v>7335</v>
      </c>
      <c r="P38" s="6">
        <v>87447.5</v>
      </c>
      <c r="Q38" s="6">
        <v>59610</v>
      </c>
      <c r="R38" s="6">
        <v>154392.5</v>
      </c>
      <c r="S38" s="2">
        <v>8.41</v>
      </c>
      <c r="T38" s="2">
        <v>40.074222222222232</v>
      </c>
      <c r="U38" s="2">
        <v>17.073133333333331</v>
      </c>
      <c r="V38" s="2">
        <v>65.55735555555556</v>
      </c>
      <c r="W38">
        <v>32</v>
      </c>
      <c r="X38">
        <v>0</v>
      </c>
      <c r="Y38">
        <v>0</v>
      </c>
      <c r="Z38">
        <v>32</v>
      </c>
      <c r="AA38" s="2">
        <v>1663741.4208389099</v>
      </c>
      <c r="AB38" s="6">
        <v>780.8</v>
      </c>
      <c r="AC38" s="6">
        <v>0</v>
      </c>
      <c r="AD38" s="6">
        <v>0</v>
      </c>
      <c r="AE38" s="6">
        <v>780.8</v>
      </c>
      <c r="AF38" s="3">
        <v>16.14859691546706</v>
      </c>
      <c r="AG38">
        <v>32</v>
      </c>
      <c r="AH38">
        <v>0</v>
      </c>
      <c r="AI38">
        <v>0</v>
      </c>
      <c r="AJ38">
        <v>32</v>
      </c>
      <c r="AK38" s="2">
        <v>1713374.2962836099</v>
      </c>
      <c r="AL38" s="6">
        <v>247.04</v>
      </c>
      <c r="AM38" s="6">
        <v>0</v>
      </c>
      <c r="AN38" s="6">
        <v>0</v>
      </c>
      <c r="AO38" s="6">
        <v>247.04</v>
      </c>
      <c r="AP38" s="3">
        <v>0.61909506016422744</v>
      </c>
      <c r="AQ38">
        <v>0</v>
      </c>
      <c r="AR38">
        <v>0</v>
      </c>
      <c r="AS38">
        <v>0</v>
      </c>
      <c r="AT38">
        <v>0</v>
      </c>
      <c r="AU38" s="2">
        <v>0</v>
      </c>
      <c r="AV38" s="6">
        <v>0</v>
      </c>
      <c r="AW38" s="6">
        <v>0</v>
      </c>
      <c r="AX38" s="6">
        <v>0</v>
      </c>
      <c r="AY38" s="6">
        <v>0</v>
      </c>
      <c r="AZ38" s="3">
        <v>92.296494263879922</v>
      </c>
      <c r="BA38">
        <v>211</v>
      </c>
      <c r="BB38">
        <v>10</v>
      </c>
      <c r="BC38">
        <v>0</v>
      </c>
      <c r="BD38">
        <v>221</v>
      </c>
      <c r="BE38" s="2">
        <v>4807449.7910688138</v>
      </c>
      <c r="BF38" s="6">
        <v>1190.04</v>
      </c>
      <c r="BG38" s="6">
        <v>887</v>
      </c>
      <c r="BH38" s="6">
        <v>0</v>
      </c>
      <c r="BI38" s="6">
        <v>2077.04</v>
      </c>
      <c r="BJ38" s="3">
        <v>99.569204686244944</v>
      </c>
      <c r="BK38" s="6">
        <v>2217.88</v>
      </c>
      <c r="BL38" s="6">
        <v>887</v>
      </c>
      <c r="BM38" s="6">
        <v>0</v>
      </c>
      <c r="BN38" s="6">
        <v>3104.88</v>
      </c>
      <c r="BO38" s="3">
        <v>208.63339092575609</v>
      </c>
      <c r="BP38" s="7">
        <v>157497.38</v>
      </c>
      <c r="BQ38" s="2">
        <v>82.257223944393502</v>
      </c>
      <c r="BR38" s="2">
        <v>356.44797042570519</v>
      </c>
    </row>
    <row r="39" spans="1:70" x14ac:dyDescent="0.3">
      <c r="A39">
        <v>2012</v>
      </c>
      <c r="B39" s="1">
        <v>452768</v>
      </c>
      <c r="C39" s="2">
        <v>8632337.2158274464</v>
      </c>
      <c r="D39" s="3">
        <v>19.065696373920961</v>
      </c>
      <c r="E39" s="1">
        <v>271660</v>
      </c>
      <c r="F39" s="4">
        <v>0.43729457198205213</v>
      </c>
      <c r="G39" s="4">
        <v>0.25686582534368968</v>
      </c>
      <c r="H39" s="4">
        <v>0.1097369968902504</v>
      </c>
      <c r="I39" s="4">
        <v>0.23099956479403641</v>
      </c>
      <c r="J39" s="5">
        <v>3.8529873801553451</v>
      </c>
      <c r="K39">
        <v>1044</v>
      </c>
      <c r="L39">
        <v>36205</v>
      </c>
      <c r="M39">
        <v>50728</v>
      </c>
      <c r="N39">
        <v>87977</v>
      </c>
      <c r="O39" s="6">
        <v>7830</v>
      </c>
      <c r="P39" s="6">
        <v>90512.5</v>
      </c>
      <c r="Q39" s="6">
        <v>60873.599999999999</v>
      </c>
      <c r="R39" s="6">
        <v>159216.1</v>
      </c>
      <c r="S39" s="2">
        <v>8.9600000000000009</v>
      </c>
      <c r="T39" s="2">
        <v>41.405555555555559</v>
      </c>
      <c r="U39" s="2">
        <v>17.404399999999999</v>
      </c>
      <c r="V39" s="2">
        <v>67.769955555555555</v>
      </c>
      <c r="W39">
        <v>34</v>
      </c>
      <c r="X39">
        <v>0</v>
      </c>
      <c r="Y39">
        <v>0</v>
      </c>
      <c r="Z39">
        <v>34</v>
      </c>
      <c r="AA39" s="2">
        <v>1760320.6445779919</v>
      </c>
      <c r="AB39" s="6">
        <v>839.8</v>
      </c>
      <c r="AC39" s="6">
        <v>0</v>
      </c>
      <c r="AD39" s="6">
        <v>0</v>
      </c>
      <c r="AE39" s="6">
        <v>839.8</v>
      </c>
      <c r="AF39" s="3">
        <v>16.882463983285469</v>
      </c>
      <c r="AG39">
        <v>34</v>
      </c>
      <c r="AH39">
        <v>0</v>
      </c>
      <c r="AI39">
        <v>0</v>
      </c>
      <c r="AJ39">
        <v>34</v>
      </c>
      <c r="AK39" s="2">
        <v>1826516.7479170291</v>
      </c>
      <c r="AL39" s="6">
        <v>261.12</v>
      </c>
      <c r="AM39" s="6">
        <v>0</v>
      </c>
      <c r="AN39" s="6">
        <v>0</v>
      </c>
      <c r="AO39" s="6">
        <v>261.12</v>
      </c>
      <c r="AP39" s="3">
        <v>0.63599685174985132</v>
      </c>
      <c r="AQ39">
        <v>0</v>
      </c>
      <c r="AR39">
        <v>0</v>
      </c>
      <c r="AS39">
        <v>0</v>
      </c>
      <c r="AT39">
        <v>0</v>
      </c>
      <c r="AU39" s="2">
        <v>0</v>
      </c>
      <c r="AV39" s="6">
        <v>0</v>
      </c>
      <c r="AW39" s="6">
        <v>0</v>
      </c>
      <c r="AX39" s="6">
        <v>0</v>
      </c>
      <c r="AY39" s="6">
        <v>0</v>
      </c>
      <c r="AZ39" s="3">
        <v>92.89456948564343</v>
      </c>
      <c r="BA39">
        <v>220</v>
      </c>
      <c r="BB39">
        <v>11</v>
      </c>
      <c r="BC39">
        <v>0</v>
      </c>
      <c r="BD39">
        <v>231</v>
      </c>
      <c r="BE39" s="2">
        <v>5045499.8233324252</v>
      </c>
      <c r="BF39" s="6">
        <v>1300.2</v>
      </c>
      <c r="BG39" s="6">
        <v>939.95</v>
      </c>
      <c r="BH39" s="6">
        <v>0</v>
      </c>
      <c r="BI39" s="6">
        <v>2240.15</v>
      </c>
      <c r="BJ39" s="3">
        <v>103.8021415738408</v>
      </c>
      <c r="BK39" s="6">
        <v>2401.12</v>
      </c>
      <c r="BL39" s="6">
        <v>939.95</v>
      </c>
      <c r="BM39" s="6">
        <v>0</v>
      </c>
      <c r="BN39" s="6">
        <v>3341.07</v>
      </c>
      <c r="BO39" s="3">
        <v>214.2151718945195</v>
      </c>
      <c r="BP39" s="7">
        <v>162557.17000000001</v>
      </c>
      <c r="BQ39" s="2">
        <v>84.595538235022516</v>
      </c>
      <c r="BR39" s="2">
        <v>366.58066568509759</v>
      </c>
    </row>
    <row r="40" spans="1:70" x14ac:dyDescent="0.3">
      <c r="A40">
        <v>2013</v>
      </c>
      <c r="B40" s="1">
        <v>464362</v>
      </c>
      <c r="C40" s="2">
        <v>9103615.3341475986</v>
      </c>
      <c r="D40" s="3">
        <v>19.604565692601032</v>
      </c>
      <c r="E40" s="1">
        <v>278617</v>
      </c>
      <c r="F40" s="4">
        <v>0.44068158487519782</v>
      </c>
      <c r="G40" s="4">
        <v>0.25970007189702721</v>
      </c>
      <c r="H40" s="4">
        <v>0.115113231011495</v>
      </c>
      <c r="I40" s="4">
        <v>0.23617870599920601</v>
      </c>
      <c r="J40" s="5">
        <v>3.8955010784554078</v>
      </c>
      <c r="K40">
        <v>1113</v>
      </c>
      <c r="L40">
        <v>37470</v>
      </c>
      <c r="M40">
        <v>51809</v>
      </c>
      <c r="N40">
        <v>90392</v>
      </c>
      <c r="O40" s="6">
        <v>8347.5</v>
      </c>
      <c r="P40" s="6">
        <v>93675</v>
      </c>
      <c r="Q40" s="6">
        <v>62170.8</v>
      </c>
      <c r="R40" s="6">
        <v>164193.29999999999</v>
      </c>
      <c r="S40" s="2">
        <v>9.5350000000000001</v>
      </c>
      <c r="T40" s="2">
        <v>42.775555555555563</v>
      </c>
      <c r="U40" s="2">
        <v>17.743333333333329</v>
      </c>
      <c r="V40" s="2">
        <v>70.053888888888878</v>
      </c>
      <c r="W40">
        <v>36</v>
      </c>
      <c r="X40">
        <v>0</v>
      </c>
      <c r="Y40">
        <v>0</v>
      </c>
      <c r="Z40">
        <v>36</v>
      </c>
      <c r="AA40" s="2">
        <v>1861926.3305463521</v>
      </c>
      <c r="AB40" s="6">
        <v>892.8</v>
      </c>
      <c r="AC40" s="6">
        <v>0</v>
      </c>
      <c r="AD40" s="6">
        <v>0</v>
      </c>
      <c r="AE40" s="6">
        <v>892.8</v>
      </c>
      <c r="AF40" s="3">
        <v>17.636667316346429</v>
      </c>
      <c r="AG40">
        <v>36</v>
      </c>
      <c r="AH40">
        <v>0</v>
      </c>
      <c r="AI40">
        <v>0</v>
      </c>
      <c r="AJ40">
        <v>36</v>
      </c>
      <c r="AK40" s="2">
        <v>1946499.619355171</v>
      </c>
      <c r="AL40" s="6">
        <v>280.8</v>
      </c>
      <c r="AM40" s="6">
        <v>0</v>
      </c>
      <c r="AN40" s="6">
        <v>0</v>
      </c>
      <c r="AO40" s="6">
        <v>280.8</v>
      </c>
      <c r="AP40" s="3">
        <v>0.65373259561523256</v>
      </c>
      <c r="AQ40">
        <v>0</v>
      </c>
      <c r="AR40">
        <v>0</v>
      </c>
      <c r="AS40">
        <v>0</v>
      </c>
      <c r="AT40">
        <v>0</v>
      </c>
      <c r="AU40" s="2">
        <v>0</v>
      </c>
      <c r="AV40" s="6">
        <v>0</v>
      </c>
      <c r="AW40" s="6">
        <v>0</v>
      </c>
      <c r="AX40" s="6">
        <v>0</v>
      </c>
      <c r="AY40" s="6">
        <v>0</v>
      </c>
      <c r="AZ40" s="3">
        <v>93.746525045814238</v>
      </c>
      <c r="BA40">
        <v>230</v>
      </c>
      <c r="BB40">
        <v>11</v>
      </c>
      <c r="BC40">
        <v>0</v>
      </c>
      <c r="BD40">
        <v>241</v>
      </c>
      <c r="BE40" s="2">
        <v>5295189.3842460774</v>
      </c>
      <c r="BF40" s="6">
        <v>1359.3</v>
      </c>
      <c r="BG40" s="6">
        <v>918.5</v>
      </c>
      <c r="BH40" s="6">
        <v>0</v>
      </c>
      <c r="BI40" s="6">
        <v>2277.8000000000002</v>
      </c>
      <c r="BJ40" s="3">
        <v>108.1481871836074</v>
      </c>
      <c r="BK40" s="6">
        <v>2532.9</v>
      </c>
      <c r="BL40" s="6">
        <v>918.5</v>
      </c>
      <c r="BM40" s="6">
        <v>0</v>
      </c>
      <c r="BN40" s="6">
        <v>3451.4</v>
      </c>
      <c r="BO40" s="3">
        <v>220.18511214138331</v>
      </c>
      <c r="BP40" s="7">
        <v>167644.70000000001</v>
      </c>
      <c r="BQ40" s="2">
        <v>87.071700309081649</v>
      </c>
      <c r="BR40" s="2">
        <v>377.31070133935378</v>
      </c>
    </row>
    <row r="41" spans="1:70" x14ac:dyDescent="0.3">
      <c r="A41">
        <v>2014</v>
      </c>
      <c r="B41" s="1">
        <v>476271</v>
      </c>
      <c r="C41" s="2">
        <v>9599596.3819309473</v>
      </c>
      <c r="D41" s="3">
        <v>20.155744065733469</v>
      </c>
      <c r="E41" s="1">
        <v>285762</v>
      </c>
      <c r="F41" s="4">
        <v>0.44402222171222122</v>
      </c>
      <c r="G41" s="4">
        <v>0.26247819660843302</v>
      </c>
      <c r="H41" s="4">
        <v>0.1208478571569149</v>
      </c>
      <c r="I41" s="4">
        <v>0.24149731006000141</v>
      </c>
      <c r="J41" s="5">
        <v>3.9371729491264942</v>
      </c>
      <c r="K41">
        <v>1186</v>
      </c>
      <c r="L41">
        <v>38776</v>
      </c>
      <c r="M41">
        <v>52919</v>
      </c>
      <c r="N41">
        <v>92881</v>
      </c>
      <c r="O41" s="6">
        <v>8895</v>
      </c>
      <c r="P41" s="6">
        <v>96940</v>
      </c>
      <c r="Q41" s="6">
        <v>63502.8</v>
      </c>
      <c r="R41" s="6">
        <v>169337.8</v>
      </c>
      <c r="S41" s="2">
        <v>10.13666666666667</v>
      </c>
      <c r="T41" s="2">
        <v>44.184888888888892</v>
      </c>
      <c r="U41" s="2">
        <v>18.090399999999999</v>
      </c>
      <c r="V41" s="2">
        <v>72.411955555555565</v>
      </c>
      <c r="W41">
        <v>38</v>
      </c>
      <c r="X41">
        <v>0</v>
      </c>
      <c r="Y41">
        <v>0</v>
      </c>
      <c r="Z41">
        <v>38</v>
      </c>
      <c r="AA41" s="2">
        <v>1968810.0134689109</v>
      </c>
      <c r="AB41" s="6">
        <v>931</v>
      </c>
      <c r="AC41" s="6">
        <v>0</v>
      </c>
      <c r="AD41" s="6">
        <v>0</v>
      </c>
      <c r="AE41" s="6">
        <v>931</v>
      </c>
      <c r="AF41" s="3">
        <v>18.411639801448342</v>
      </c>
      <c r="AG41">
        <v>38</v>
      </c>
      <c r="AH41">
        <v>0</v>
      </c>
      <c r="AI41">
        <v>0</v>
      </c>
      <c r="AJ41">
        <v>38</v>
      </c>
      <c r="AK41" s="2">
        <v>2073714.699658334</v>
      </c>
      <c r="AL41" s="6">
        <v>299.44</v>
      </c>
      <c r="AM41" s="6">
        <v>0</v>
      </c>
      <c r="AN41" s="6">
        <v>0</v>
      </c>
      <c r="AO41" s="6">
        <v>299.44</v>
      </c>
      <c r="AP41" s="3">
        <v>0.67231171199849848</v>
      </c>
      <c r="AQ41">
        <v>0</v>
      </c>
      <c r="AR41">
        <v>0</v>
      </c>
      <c r="AS41">
        <v>0</v>
      </c>
      <c r="AT41">
        <v>0</v>
      </c>
      <c r="AU41" s="2">
        <v>0</v>
      </c>
      <c r="AV41" s="6">
        <v>0</v>
      </c>
      <c r="AW41" s="6">
        <v>0</v>
      </c>
      <c r="AX41" s="6">
        <v>0</v>
      </c>
      <c r="AY41" s="6">
        <v>0</v>
      </c>
      <c r="AZ41" s="3">
        <v>94.839799248786719</v>
      </c>
      <c r="BA41">
        <v>240</v>
      </c>
      <c r="BB41">
        <v>11</v>
      </c>
      <c r="BC41">
        <v>0</v>
      </c>
      <c r="BD41">
        <v>251</v>
      </c>
      <c r="BE41" s="2">
        <v>5557071.6688037012</v>
      </c>
      <c r="BF41" s="6">
        <v>1353.6</v>
      </c>
      <c r="BG41" s="6">
        <v>932.8</v>
      </c>
      <c r="BH41" s="6">
        <v>0</v>
      </c>
      <c r="BI41" s="6">
        <v>2286.4</v>
      </c>
      <c r="BJ41" s="3">
        <v>112.60980616593579</v>
      </c>
      <c r="BK41" s="6">
        <v>2584.04</v>
      </c>
      <c r="BL41" s="6">
        <v>932.8</v>
      </c>
      <c r="BM41" s="6">
        <v>0</v>
      </c>
      <c r="BN41" s="6">
        <v>3516.84</v>
      </c>
      <c r="BO41" s="3">
        <v>226.5335569281693</v>
      </c>
      <c r="BP41" s="7">
        <v>172854.64</v>
      </c>
      <c r="BQ41" s="2">
        <v>89.683653745117468</v>
      </c>
      <c r="BR41" s="2">
        <v>388.62916622884228</v>
      </c>
    </row>
    <row r="42" spans="1:70" x14ac:dyDescent="0.3">
      <c r="A42">
        <v>2015</v>
      </c>
      <c r="B42" s="1">
        <v>488505</v>
      </c>
      <c r="C42" s="2">
        <v>10121639.618054239</v>
      </c>
      <c r="D42" s="3">
        <v>20.719623377558559</v>
      </c>
      <c r="E42" s="1">
        <v>293103</v>
      </c>
      <c r="F42" s="4">
        <v>0.44731682957855667</v>
      </c>
      <c r="G42" s="4">
        <v>0.26520131076483361</v>
      </c>
      <c r="H42" s="4">
        <v>0.12696794035653461</v>
      </c>
      <c r="I42" s="4">
        <v>0.2469609723053709</v>
      </c>
      <c r="J42" s="5">
        <v>3.9780196614725032</v>
      </c>
      <c r="K42">
        <v>1262</v>
      </c>
      <c r="L42">
        <v>40123</v>
      </c>
      <c r="M42">
        <v>54059</v>
      </c>
      <c r="N42">
        <v>95444</v>
      </c>
      <c r="O42" s="6">
        <v>9465</v>
      </c>
      <c r="P42" s="6">
        <v>100307.5</v>
      </c>
      <c r="Q42" s="6">
        <v>64870.8</v>
      </c>
      <c r="R42" s="6">
        <v>174643.3</v>
      </c>
      <c r="S42" s="2">
        <v>10.766666666666669</v>
      </c>
      <c r="T42" s="2">
        <v>45.635111111111108</v>
      </c>
      <c r="U42" s="2">
        <v>18.445666666666671</v>
      </c>
      <c r="V42" s="2">
        <v>74.847444444444449</v>
      </c>
      <c r="W42">
        <v>40</v>
      </c>
      <c r="X42">
        <v>0</v>
      </c>
      <c r="Y42">
        <v>0</v>
      </c>
      <c r="Z42">
        <v>40</v>
      </c>
      <c r="AA42" s="2">
        <v>2081249.7439846711</v>
      </c>
      <c r="AB42" s="6">
        <v>988</v>
      </c>
      <c r="AC42" s="6">
        <v>0</v>
      </c>
      <c r="AD42" s="6">
        <v>0</v>
      </c>
      <c r="AE42" s="6">
        <v>988</v>
      </c>
      <c r="AF42" s="3">
        <v>19.20781184397768</v>
      </c>
      <c r="AG42">
        <v>40</v>
      </c>
      <c r="AH42">
        <v>0</v>
      </c>
      <c r="AI42">
        <v>0</v>
      </c>
      <c r="AJ42">
        <v>40</v>
      </c>
      <c r="AK42" s="2">
        <v>2208595.2484276318</v>
      </c>
      <c r="AL42" s="6">
        <v>305.60000000000002</v>
      </c>
      <c r="AM42" s="6">
        <v>0</v>
      </c>
      <c r="AN42" s="6">
        <v>0</v>
      </c>
      <c r="AO42" s="6">
        <v>305.60000000000002</v>
      </c>
      <c r="AP42" s="3">
        <v>0.69174382794304867</v>
      </c>
      <c r="AQ42">
        <v>0</v>
      </c>
      <c r="AR42">
        <v>0</v>
      </c>
      <c r="AS42">
        <v>0</v>
      </c>
      <c r="AT42">
        <v>0</v>
      </c>
      <c r="AU42" s="2">
        <v>0</v>
      </c>
      <c r="AV42" s="6">
        <v>0</v>
      </c>
      <c r="AW42" s="6">
        <v>0</v>
      </c>
      <c r="AX42" s="6">
        <v>0</v>
      </c>
      <c r="AY42" s="6">
        <v>0</v>
      </c>
      <c r="AZ42" s="3">
        <v>96.162945452397423</v>
      </c>
      <c r="BA42">
        <v>250</v>
      </c>
      <c r="BB42">
        <v>12</v>
      </c>
      <c r="BC42">
        <v>0</v>
      </c>
      <c r="BD42">
        <v>262</v>
      </c>
      <c r="BE42" s="2">
        <v>5831794.625641942</v>
      </c>
      <c r="BF42" s="6">
        <v>1387.5</v>
      </c>
      <c r="BG42" s="6">
        <v>1009.8</v>
      </c>
      <c r="BH42" s="6">
        <v>0</v>
      </c>
      <c r="BI42" s="6">
        <v>2397.3000000000002</v>
      </c>
      <c r="BJ42" s="3">
        <v>117.18941247114429</v>
      </c>
      <c r="BK42" s="6">
        <v>2681.1</v>
      </c>
      <c r="BL42" s="6">
        <v>1009.8</v>
      </c>
      <c r="BM42" s="6">
        <v>0</v>
      </c>
      <c r="BN42" s="6">
        <v>3690.9</v>
      </c>
      <c r="BO42" s="3">
        <v>233.25191359546241</v>
      </c>
      <c r="BP42" s="7">
        <v>178334.2</v>
      </c>
      <c r="BQ42" s="2">
        <v>92.42980741197205</v>
      </c>
      <c r="BR42" s="2">
        <v>400.5291654518789</v>
      </c>
    </row>
    <row r="43" spans="1:70" x14ac:dyDescent="0.3">
      <c r="A43">
        <v>2016</v>
      </c>
      <c r="B43" s="1">
        <v>501075</v>
      </c>
      <c r="C43" s="2">
        <v>10671091.48752442</v>
      </c>
      <c r="D43" s="3">
        <v>21.296395724241719</v>
      </c>
      <c r="E43" s="1">
        <v>300645</v>
      </c>
      <c r="F43" s="4">
        <v>0.45058969123356701</v>
      </c>
      <c r="G43" s="4">
        <v>0.2678705036482002</v>
      </c>
      <c r="H43" s="4">
        <v>0.13350002356813209</v>
      </c>
      <c r="I43" s="4">
        <v>0.25257817991413278</v>
      </c>
      <c r="J43" s="5">
        <v>4.0180575547230033</v>
      </c>
      <c r="K43">
        <v>1342</v>
      </c>
      <c r="L43">
        <v>41517</v>
      </c>
      <c r="M43">
        <v>55229</v>
      </c>
      <c r="N43">
        <v>98088</v>
      </c>
      <c r="O43" s="6">
        <v>10065</v>
      </c>
      <c r="P43" s="6">
        <v>103792.5</v>
      </c>
      <c r="Q43" s="6">
        <v>66274.8</v>
      </c>
      <c r="R43" s="6">
        <v>180132.3</v>
      </c>
      <c r="S43" s="2">
        <v>11.428333333333329</v>
      </c>
      <c r="T43" s="2">
        <v>47.13</v>
      </c>
      <c r="U43" s="2">
        <v>18.808800000000002</v>
      </c>
      <c r="V43" s="2">
        <v>77.367133333333342</v>
      </c>
      <c r="W43">
        <v>42</v>
      </c>
      <c r="X43">
        <v>0</v>
      </c>
      <c r="Y43">
        <v>0</v>
      </c>
      <c r="Z43">
        <v>42</v>
      </c>
      <c r="AA43" s="2">
        <v>2199525.6700447751</v>
      </c>
      <c r="AB43" s="6">
        <v>1041.5999999999999</v>
      </c>
      <c r="AC43" s="6">
        <v>0</v>
      </c>
      <c r="AD43" s="6">
        <v>0</v>
      </c>
      <c r="AE43" s="6">
        <v>1041.5999999999999</v>
      </c>
      <c r="AF43" s="3">
        <v>20.025630257095401</v>
      </c>
      <c r="AG43">
        <v>42</v>
      </c>
      <c r="AH43">
        <v>0</v>
      </c>
      <c r="AI43">
        <v>0</v>
      </c>
      <c r="AJ43">
        <v>42</v>
      </c>
      <c r="AK43" s="2">
        <v>2351583.1378416489</v>
      </c>
      <c r="AL43" s="6">
        <v>322.56</v>
      </c>
      <c r="AM43" s="6">
        <v>0</v>
      </c>
      <c r="AN43" s="6">
        <v>0</v>
      </c>
      <c r="AO43" s="6">
        <v>322.56</v>
      </c>
      <c r="AP43" s="3">
        <v>0.71203916151634838</v>
      </c>
      <c r="AQ43">
        <v>0</v>
      </c>
      <c r="AR43">
        <v>0</v>
      </c>
      <c r="AS43">
        <v>0</v>
      </c>
      <c r="AT43">
        <v>0</v>
      </c>
      <c r="AU43" s="2">
        <v>0</v>
      </c>
      <c r="AV43" s="6">
        <v>0</v>
      </c>
      <c r="AW43" s="6">
        <v>0</v>
      </c>
      <c r="AX43" s="6">
        <v>0</v>
      </c>
      <c r="AY43" s="6">
        <v>0</v>
      </c>
      <c r="AZ43" s="3">
        <v>97.705630708813644</v>
      </c>
      <c r="BA43">
        <v>261</v>
      </c>
      <c r="BB43">
        <v>12</v>
      </c>
      <c r="BC43">
        <v>0</v>
      </c>
      <c r="BD43">
        <v>273</v>
      </c>
      <c r="BE43" s="2">
        <v>6119982.6796379955</v>
      </c>
      <c r="BF43" s="6">
        <v>1472.04</v>
      </c>
      <c r="BG43" s="6">
        <v>1017.6</v>
      </c>
      <c r="BH43" s="6">
        <v>0</v>
      </c>
      <c r="BI43" s="6">
        <v>2489.64</v>
      </c>
      <c r="BJ43" s="3">
        <v>121.8895305886663</v>
      </c>
      <c r="BK43" s="6">
        <v>2836.2</v>
      </c>
      <c r="BL43" s="6">
        <v>1017.6</v>
      </c>
      <c r="BM43" s="6">
        <v>0</v>
      </c>
      <c r="BN43" s="6">
        <v>3853.8</v>
      </c>
      <c r="BO43" s="3">
        <v>240.33283071609171</v>
      </c>
      <c r="BP43" s="7">
        <v>183986.1</v>
      </c>
      <c r="BQ43" s="2">
        <v>95.30998921482751</v>
      </c>
      <c r="BR43" s="2">
        <v>413.00995326425249</v>
      </c>
    </row>
    <row r="44" spans="1:70" x14ac:dyDescent="0.3">
      <c r="A44">
        <v>2017</v>
      </c>
      <c r="B44" s="1">
        <v>513992</v>
      </c>
      <c r="C44" s="2">
        <v>11249419.383312611</v>
      </c>
      <c r="D44" s="3">
        <v>21.88637057252371</v>
      </c>
      <c r="E44" s="1">
        <v>308395</v>
      </c>
      <c r="F44" s="4">
        <v>0.45381733324661672</v>
      </c>
      <c r="G44" s="4">
        <v>0.27048684297127612</v>
      </c>
      <c r="H44" s="4">
        <v>0.1404734824436186</v>
      </c>
      <c r="I44" s="4">
        <v>0.25834924170476692</v>
      </c>
      <c r="J44" s="5">
        <v>4.0573026445691411</v>
      </c>
      <c r="K44">
        <v>1426</v>
      </c>
      <c r="L44">
        <v>42955</v>
      </c>
      <c r="M44">
        <v>56431</v>
      </c>
      <c r="N44">
        <v>100812</v>
      </c>
      <c r="O44" s="6">
        <v>10695</v>
      </c>
      <c r="P44" s="6">
        <v>107387.5</v>
      </c>
      <c r="Q44" s="6">
        <v>67717.2</v>
      </c>
      <c r="R44" s="6">
        <v>185799.7</v>
      </c>
      <c r="S44" s="2">
        <v>12.118333333333331</v>
      </c>
      <c r="T44" s="2">
        <v>48.668444444444447</v>
      </c>
      <c r="U44" s="2">
        <v>19.180800000000001</v>
      </c>
      <c r="V44" s="2">
        <v>79.967577777777777</v>
      </c>
      <c r="W44">
        <v>44</v>
      </c>
      <c r="X44">
        <v>0</v>
      </c>
      <c r="Y44">
        <v>0</v>
      </c>
      <c r="Z44">
        <v>44</v>
      </c>
      <c r="AA44" s="2">
        <v>2323939.1308745421</v>
      </c>
      <c r="AB44" s="6">
        <v>1091.2</v>
      </c>
      <c r="AC44" s="6">
        <v>0</v>
      </c>
      <c r="AD44" s="6">
        <v>0</v>
      </c>
      <c r="AE44" s="6">
        <v>1091.2</v>
      </c>
      <c r="AF44" s="3">
        <v>20.86554952822231</v>
      </c>
      <c r="AG44">
        <v>44</v>
      </c>
      <c r="AH44">
        <v>0</v>
      </c>
      <c r="AI44">
        <v>0</v>
      </c>
      <c r="AJ44">
        <v>44</v>
      </c>
      <c r="AK44" s="2">
        <v>2503155.228927108</v>
      </c>
      <c r="AL44" s="6">
        <v>343.2</v>
      </c>
      <c r="AM44" s="6">
        <v>0</v>
      </c>
      <c r="AN44" s="6">
        <v>0</v>
      </c>
      <c r="AO44" s="6">
        <v>343.2</v>
      </c>
      <c r="AP44" s="3">
        <v>0.73320834264070445</v>
      </c>
      <c r="AQ44">
        <v>0</v>
      </c>
      <c r="AR44">
        <v>0</v>
      </c>
      <c r="AS44">
        <v>0</v>
      </c>
      <c r="AT44">
        <v>0</v>
      </c>
      <c r="AU44" s="2">
        <v>0</v>
      </c>
      <c r="AV44" s="6">
        <v>0</v>
      </c>
      <c r="AW44" s="6">
        <v>0</v>
      </c>
      <c r="AX44" s="6">
        <v>0</v>
      </c>
      <c r="AY44" s="6">
        <v>0</v>
      </c>
      <c r="AZ44" s="3">
        <v>99.458510345324029</v>
      </c>
      <c r="BA44">
        <v>272</v>
      </c>
      <c r="BB44">
        <v>13</v>
      </c>
      <c r="BC44">
        <v>0</v>
      </c>
      <c r="BD44">
        <v>285</v>
      </c>
      <c r="BE44" s="2">
        <v>6422325.023510959</v>
      </c>
      <c r="BF44" s="6">
        <v>1558.56</v>
      </c>
      <c r="BG44" s="6">
        <v>1119.3</v>
      </c>
      <c r="BH44" s="6">
        <v>0</v>
      </c>
      <c r="BI44" s="6">
        <v>2677.86</v>
      </c>
      <c r="BJ44" s="3">
        <v>126.7127199177383</v>
      </c>
      <c r="BK44" s="6">
        <v>2992.96</v>
      </c>
      <c r="BL44" s="6">
        <v>1119.3</v>
      </c>
      <c r="BM44" s="6">
        <v>0</v>
      </c>
      <c r="BN44" s="6">
        <v>4112.26</v>
      </c>
      <c r="BO44" s="3">
        <v>247.7699881339253</v>
      </c>
      <c r="BP44" s="7">
        <v>189911.96</v>
      </c>
      <c r="BQ44" s="2">
        <v>98.32126977351092</v>
      </c>
      <c r="BR44" s="2">
        <v>426.05883568521398</v>
      </c>
    </row>
    <row r="45" spans="1:70" x14ac:dyDescent="0.3">
      <c r="A45">
        <v>2018</v>
      </c>
      <c r="B45" s="1">
        <v>527267</v>
      </c>
      <c r="C45" s="2">
        <v>11858162.18596149</v>
      </c>
      <c r="D45" s="3">
        <v>22.489862225326998</v>
      </c>
      <c r="E45" s="1">
        <v>316360</v>
      </c>
      <c r="F45" s="4">
        <v>0.45699992073945822</v>
      </c>
      <c r="G45" s="4">
        <v>0.27305137530467533</v>
      </c>
      <c r="H45" s="4">
        <v>0.14791937668306451</v>
      </c>
      <c r="I45" s="4">
        <v>0.26427851251062379</v>
      </c>
      <c r="J45" s="5">
        <v>4.0957706295701302</v>
      </c>
      <c r="K45">
        <v>1514</v>
      </c>
      <c r="L45">
        <v>44441</v>
      </c>
      <c r="M45">
        <v>57666</v>
      </c>
      <c r="N45">
        <v>103621</v>
      </c>
      <c r="O45" s="6">
        <v>11355</v>
      </c>
      <c r="P45" s="6">
        <v>111102.5</v>
      </c>
      <c r="Q45" s="6">
        <v>69199.199999999997</v>
      </c>
      <c r="R45" s="6">
        <v>191656.7</v>
      </c>
      <c r="S45" s="2">
        <v>12.84</v>
      </c>
      <c r="T45" s="2">
        <v>50.251777777777782</v>
      </c>
      <c r="U45" s="2">
        <v>19.561866666666671</v>
      </c>
      <c r="V45" s="2">
        <v>82.653644444444438</v>
      </c>
      <c r="W45">
        <v>46</v>
      </c>
      <c r="X45">
        <v>0</v>
      </c>
      <c r="Y45">
        <v>0</v>
      </c>
      <c r="Z45">
        <v>46</v>
      </c>
      <c r="AA45" s="2">
        <v>2454805.3860527468</v>
      </c>
      <c r="AB45" s="6">
        <v>1136.2</v>
      </c>
      <c r="AC45" s="6">
        <v>0</v>
      </c>
      <c r="AD45" s="6">
        <v>0</v>
      </c>
      <c r="AE45" s="6">
        <v>1136.2</v>
      </c>
      <c r="AF45" s="3">
        <v>21.728021795019728</v>
      </c>
      <c r="AG45">
        <v>46</v>
      </c>
      <c r="AH45">
        <v>0</v>
      </c>
      <c r="AI45">
        <v>0</v>
      </c>
      <c r="AJ45">
        <v>46</v>
      </c>
      <c r="AK45" s="2">
        <v>2663814.5847238521</v>
      </c>
      <c r="AL45" s="6">
        <v>356.96</v>
      </c>
      <c r="AM45" s="6">
        <v>0</v>
      </c>
      <c r="AN45" s="6">
        <v>0</v>
      </c>
      <c r="AO45" s="6">
        <v>356.96</v>
      </c>
      <c r="AP45" s="3">
        <v>0.75526220149670742</v>
      </c>
      <c r="AQ45">
        <v>0</v>
      </c>
      <c r="AR45">
        <v>0</v>
      </c>
      <c r="AS45">
        <v>0</v>
      </c>
      <c r="AT45">
        <v>0</v>
      </c>
      <c r="AU45" s="2">
        <v>0</v>
      </c>
      <c r="AV45" s="6">
        <v>0</v>
      </c>
      <c r="AW45" s="6">
        <v>0</v>
      </c>
      <c r="AX45" s="6">
        <v>0</v>
      </c>
      <c r="AY45" s="6">
        <v>0</v>
      </c>
      <c r="AZ45" s="3">
        <v>101.41310407312361</v>
      </c>
      <c r="BA45">
        <v>284</v>
      </c>
      <c r="BB45">
        <v>13</v>
      </c>
      <c r="BC45">
        <v>0</v>
      </c>
      <c r="BD45">
        <v>297</v>
      </c>
      <c r="BE45" s="2">
        <v>6739542.2151848935</v>
      </c>
      <c r="BF45" s="6">
        <v>1588.98</v>
      </c>
      <c r="BG45" s="6">
        <v>1110.8499999999999</v>
      </c>
      <c r="BH45" s="6">
        <v>0</v>
      </c>
      <c r="BI45" s="6">
        <v>2699.83</v>
      </c>
      <c r="BJ45" s="3">
        <v>131.6614915800541</v>
      </c>
      <c r="BK45" s="6">
        <v>3082.14</v>
      </c>
      <c r="BL45" s="6">
        <v>1110.8499999999999</v>
      </c>
      <c r="BM45" s="6">
        <v>0</v>
      </c>
      <c r="BN45" s="6">
        <v>4192.99</v>
      </c>
      <c r="BO45" s="3">
        <v>255.55787964969409</v>
      </c>
      <c r="BP45" s="7">
        <v>195849.69</v>
      </c>
      <c r="BQ45" s="2">
        <v>101.46345722824159</v>
      </c>
      <c r="BR45" s="2">
        <v>439.67498132238012</v>
      </c>
    </row>
    <row r="46" spans="1:70" x14ac:dyDescent="0.3">
      <c r="A46">
        <v>2019</v>
      </c>
      <c r="B46" s="1">
        <v>540914</v>
      </c>
      <c r="C46" s="2">
        <v>12498966.057223679</v>
      </c>
      <c r="D46" s="3">
        <v>23.10712249493206</v>
      </c>
      <c r="E46" s="1">
        <v>324548</v>
      </c>
      <c r="F46" s="4">
        <v>0.46013730771087569</v>
      </c>
      <c r="G46" s="4">
        <v>0.27556512649552561</v>
      </c>
      <c r="H46" s="4">
        <v>0.15586953082720961</v>
      </c>
      <c r="I46" s="4">
        <v>0.27036946620913549</v>
      </c>
      <c r="J46" s="5">
        <v>4.1334768974328826</v>
      </c>
      <c r="K46">
        <v>1606</v>
      </c>
      <c r="L46">
        <v>45975</v>
      </c>
      <c r="M46">
        <v>58937</v>
      </c>
      <c r="N46">
        <v>106518</v>
      </c>
      <c r="O46" s="6">
        <v>12045</v>
      </c>
      <c r="P46" s="6">
        <v>114937.5</v>
      </c>
      <c r="Q46" s="6">
        <v>70724.399999999994</v>
      </c>
      <c r="R46" s="6">
        <v>197706.9</v>
      </c>
      <c r="S46" s="2">
        <v>13.595000000000001</v>
      </c>
      <c r="T46" s="2">
        <v>51.881555555555558</v>
      </c>
      <c r="U46" s="2">
        <v>19.952533333333339</v>
      </c>
      <c r="V46" s="2">
        <v>85.429088888888899</v>
      </c>
      <c r="W46">
        <v>49</v>
      </c>
      <c r="X46">
        <v>0</v>
      </c>
      <c r="Y46">
        <v>0</v>
      </c>
      <c r="Z46">
        <v>49</v>
      </c>
      <c r="AA46" s="2">
        <v>2592459.6546360929</v>
      </c>
      <c r="AB46" s="6">
        <v>1190.7</v>
      </c>
      <c r="AC46" s="6">
        <v>0</v>
      </c>
      <c r="AD46" s="6">
        <v>0</v>
      </c>
      <c r="AE46" s="6">
        <v>1190.7</v>
      </c>
      <c r="AF46" s="3">
        <v>22.613517610151121</v>
      </c>
      <c r="AG46">
        <v>49</v>
      </c>
      <c r="AH46">
        <v>0</v>
      </c>
      <c r="AI46">
        <v>0</v>
      </c>
      <c r="AJ46">
        <v>49</v>
      </c>
      <c r="AK46" s="2">
        <v>2834098.443763752</v>
      </c>
      <c r="AL46" s="6">
        <v>378.28</v>
      </c>
      <c r="AM46" s="6">
        <v>0</v>
      </c>
      <c r="AN46" s="6">
        <v>0</v>
      </c>
      <c r="AO46" s="6">
        <v>378.28</v>
      </c>
      <c r="AP46" s="3">
        <v>0.77821219217748483</v>
      </c>
      <c r="AQ46">
        <v>0</v>
      </c>
      <c r="AR46">
        <v>0</v>
      </c>
      <c r="AS46">
        <v>0</v>
      </c>
      <c r="AT46">
        <v>0</v>
      </c>
      <c r="AU46" s="2">
        <v>0</v>
      </c>
      <c r="AV46" s="6">
        <v>0</v>
      </c>
      <c r="AW46" s="6">
        <v>0</v>
      </c>
      <c r="AX46" s="6">
        <v>0</v>
      </c>
      <c r="AY46" s="6">
        <v>0</v>
      </c>
      <c r="AZ46" s="3">
        <v>103.56182351055141</v>
      </c>
      <c r="BA46">
        <v>297</v>
      </c>
      <c r="BB46">
        <v>14</v>
      </c>
      <c r="BC46">
        <v>0</v>
      </c>
      <c r="BD46">
        <v>311</v>
      </c>
      <c r="BE46" s="2">
        <v>7072407.9588238373</v>
      </c>
      <c r="BF46" s="6">
        <v>1648.35</v>
      </c>
      <c r="BG46" s="6">
        <v>1232.7</v>
      </c>
      <c r="BH46" s="6">
        <v>0</v>
      </c>
      <c r="BI46" s="6">
        <v>2881.05</v>
      </c>
      <c r="BJ46" s="3">
        <v>136.73848511232021</v>
      </c>
      <c r="BK46" s="6">
        <v>3217.33</v>
      </c>
      <c r="BL46" s="6">
        <v>1232.7</v>
      </c>
      <c r="BM46" s="6">
        <v>0</v>
      </c>
      <c r="BN46" s="6">
        <v>4450.03</v>
      </c>
      <c r="BO46" s="3">
        <v>263.69203842520022</v>
      </c>
      <c r="BP46" s="7">
        <v>202156.93</v>
      </c>
      <c r="BQ46" s="2">
        <v>104.7363381942267</v>
      </c>
      <c r="BR46" s="2">
        <v>453.85746550831578</v>
      </c>
    </row>
    <row r="47" spans="1:70" x14ac:dyDescent="0.3">
      <c r="A47">
        <v>2020</v>
      </c>
      <c r="B47" s="1">
        <v>554945</v>
      </c>
      <c r="C47" s="2">
        <v>13173559.735006999</v>
      </c>
      <c r="D47" s="3">
        <v>23.738496130259751</v>
      </c>
      <c r="E47" s="1">
        <v>332967</v>
      </c>
      <c r="F47" s="4">
        <v>0.46323017991253013</v>
      </c>
      <c r="G47" s="4">
        <v>0.27802910207782028</v>
      </c>
      <c r="H47" s="4">
        <v>0.16435840230957779</v>
      </c>
      <c r="I47" s="4">
        <v>0.27662600502750623</v>
      </c>
      <c r="J47" s="5">
        <v>4.1704365311673044</v>
      </c>
      <c r="K47">
        <v>1703</v>
      </c>
      <c r="L47">
        <v>47560</v>
      </c>
      <c r="M47">
        <v>60245</v>
      </c>
      <c r="N47">
        <v>109508</v>
      </c>
      <c r="O47" s="6">
        <v>12772.5</v>
      </c>
      <c r="P47" s="6">
        <v>118900</v>
      </c>
      <c r="Q47" s="6">
        <v>72294</v>
      </c>
      <c r="R47" s="6">
        <v>203966.5</v>
      </c>
      <c r="S47" s="2">
        <v>14.383333333333329</v>
      </c>
      <c r="T47" s="2">
        <v>53.559555555555548</v>
      </c>
      <c r="U47" s="2">
        <v>20.35306666666667</v>
      </c>
      <c r="V47" s="2">
        <v>88.295955555555551</v>
      </c>
      <c r="W47">
        <v>51</v>
      </c>
      <c r="X47">
        <v>0</v>
      </c>
      <c r="Y47">
        <v>0</v>
      </c>
      <c r="Z47">
        <v>51</v>
      </c>
      <c r="AA47" s="2">
        <v>2737253.3977152859</v>
      </c>
      <c r="AB47" s="6">
        <v>1224</v>
      </c>
      <c r="AC47" s="6">
        <v>0</v>
      </c>
      <c r="AD47" s="6">
        <v>0</v>
      </c>
      <c r="AE47" s="6">
        <v>1224</v>
      </c>
      <c r="AF47" s="3">
        <v>23.522516187797471</v>
      </c>
      <c r="AG47">
        <v>51</v>
      </c>
      <c r="AH47">
        <v>0</v>
      </c>
      <c r="AI47">
        <v>0</v>
      </c>
      <c r="AJ47">
        <v>51</v>
      </c>
      <c r="AK47" s="2">
        <v>3014574.148258531</v>
      </c>
      <c r="AL47" s="6">
        <v>393.72</v>
      </c>
      <c r="AM47" s="6">
        <v>0</v>
      </c>
      <c r="AN47" s="6">
        <v>0</v>
      </c>
      <c r="AO47" s="6">
        <v>393.72</v>
      </c>
      <c r="AP47" s="3">
        <v>0.80207019379248157</v>
      </c>
      <c r="AQ47">
        <v>0</v>
      </c>
      <c r="AR47">
        <v>0</v>
      </c>
      <c r="AS47">
        <v>0</v>
      </c>
      <c r="AT47">
        <v>0</v>
      </c>
      <c r="AU47" s="2">
        <v>0</v>
      </c>
      <c r="AV47" s="6">
        <v>0</v>
      </c>
      <c r="AW47" s="6">
        <v>0</v>
      </c>
      <c r="AX47" s="6">
        <v>0</v>
      </c>
      <c r="AY47" s="6">
        <v>0</v>
      </c>
      <c r="AZ47" s="3">
        <v>105.8978602902796</v>
      </c>
      <c r="BA47">
        <v>309</v>
      </c>
      <c r="BB47">
        <v>14</v>
      </c>
      <c r="BC47">
        <v>1</v>
      </c>
      <c r="BD47">
        <v>324</v>
      </c>
      <c r="BE47" s="2">
        <v>7421732.1890331833</v>
      </c>
      <c r="BF47" s="6">
        <v>1784.4749999999999</v>
      </c>
      <c r="BG47" s="6">
        <v>1187.2</v>
      </c>
      <c r="BH47" s="6">
        <v>2395</v>
      </c>
      <c r="BI47" s="6">
        <v>5366.6750000000002</v>
      </c>
      <c r="BJ47" s="3">
        <v>141.94638355321669</v>
      </c>
      <c r="BK47" s="6">
        <v>3402.1950000000002</v>
      </c>
      <c r="BL47" s="6">
        <v>1187.2</v>
      </c>
      <c r="BM47" s="6">
        <v>2395</v>
      </c>
      <c r="BN47" s="6">
        <v>6984.3950000000004</v>
      </c>
      <c r="BO47" s="3">
        <v>272.16883022508631</v>
      </c>
      <c r="BP47" s="7">
        <v>210950.89499999999</v>
      </c>
      <c r="BQ47" s="2">
        <v>108.1394357341925</v>
      </c>
      <c r="BR47" s="2">
        <v>468.60422151483442</v>
      </c>
    </row>
    <row r="48" spans="1:70" x14ac:dyDescent="0.3">
      <c r="A48">
        <v>2021</v>
      </c>
      <c r="B48" s="1">
        <v>569373</v>
      </c>
      <c r="C48" s="2">
        <v>13883693.320117541</v>
      </c>
      <c r="D48" s="3">
        <v>24.3841792991897</v>
      </c>
      <c r="E48" s="1">
        <v>341623</v>
      </c>
      <c r="F48" s="4">
        <v>0.46627849681914618</v>
      </c>
      <c r="G48" s="4">
        <v>0.2804442876746458</v>
      </c>
      <c r="H48" s="4">
        <v>0.17341974746195471</v>
      </c>
      <c r="I48" s="4">
        <v>0.28305022982453881</v>
      </c>
      <c r="J48" s="5">
        <v>4.2066643151196867</v>
      </c>
      <c r="K48">
        <v>1804</v>
      </c>
      <c r="L48">
        <v>49198</v>
      </c>
      <c r="M48">
        <v>61589</v>
      </c>
      <c r="N48">
        <v>112591</v>
      </c>
      <c r="O48" s="6">
        <v>13530</v>
      </c>
      <c r="P48" s="6">
        <v>122995</v>
      </c>
      <c r="Q48" s="6">
        <v>73906.8</v>
      </c>
      <c r="R48" s="6">
        <v>210431.8</v>
      </c>
      <c r="S48" s="2">
        <v>15.205</v>
      </c>
      <c r="T48" s="2">
        <v>55.287111111111109</v>
      </c>
      <c r="U48" s="2">
        <v>20.763733333333331</v>
      </c>
      <c r="V48" s="2">
        <v>91.255844444444449</v>
      </c>
      <c r="W48">
        <v>54</v>
      </c>
      <c r="X48">
        <v>0</v>
      </c>
      <c r="Y48">
        <v>0</v>
      </c>
      <c r="Z48">
        <v>54</v>
      </c>
      <c r="AA48" s="2">
        <v>2889545.1123504182</v>
      </c>
      <c r="AB48" s="6">
        <v>1339.2</v>
      </c>
      <c r="AC48" s="6">
        <v>0</v>
      </c>
      <c r="AD48" s="6">
        <v>0</v>
      </c>
      <c r="AE48" s="6">
        <v>1339.2</v>
      </c>
      <c r="AF48" s="3">
        <v>24.455494288476999</v>
      </c>
      <c r="AG48">
        <v>54</v>
      </c>
      <c r="AH48">
        <v>0</v>
      </c>
      <c r="AI48">
        <v>0</v>
      </c>
      <c r="AJ48">
        <v>54</v>
      </c>
      <c r="AK48" s="2">
        <v>3205827.1977968779</v>
      </c>
      <c r="AL48" s="6">
        <v>421.2</v>
      </c>
      <c r="AM48" s="6">
        <v>0</v>
      </c>
      <c r="AN48" s="6">
        <v>0</v>
      </c>
      <c r="AO48" s="6">
        <v>421.2</v>
      </c>
      <c r="AP48" s="3">
        <v>0.82684827697761054</v>
      </c>
      <c r="AQ48">
        <v>0</v>
      </c>
      <c r="AR48">
        <v>0</v>
      </c>
      <c r="AS48">
        <v>0</v>
      </c>
      <c r="AT48">
        <v>0</v>
      </c>
      <c r="AU48" s="2">
        <v>0</v>
      </c>
      <c r="AV48" s="6">
        <v>0</v>
      </c>
      <c r="AW48" s="6">
        <v>0</v>
      </c>
      <c r="AX48" s="6">
        <v>0</v>
      </c>
      <c r="AY48" s="6">
        <v>0</v>
      </c>
      <c r="AZ48" s="3">
        <v>108.4150739918105</v>
      </c>
      <c r="BA48">
        <v>323</v>
      </c>
      <c r="BB48">
        <v>15</v>
      </c>
      <c r="BC48">
        <v>1</v>
      </c>
      <c r="BD48">
        <v>339</v>
      </c>
      <c r="BE48" s="2">
        <v>7788321.0099702394</v>
      </c>
      <c r="BF48" s="6">
        <v>1850.79</v>
      </c>
      <c r="BG48" s="6">
        <v>1311</v>
      </c>
      <c r="BH48" s="6">
        <v>2458</v>
      </c>
      <c r="BI48" s="6">
        <v>5619.79</v>
      </c>
      <c r="BJ48" s="3">
        <v>147.28782079745639</v>
      </c>
      <c r="BK48" s="6">
        <v>3611.19</v>
      </c>
      <c r="BL48" s="6">
        <v>1311</v>
      </c>
      <c r="BM48" s="6">
        <v>2458</v>
      </c>
      <c r="BN48" s="6">
        <v>7380.19</v>
      </c>
      <c r="BO48" s="3">
        <v>280.98523735472162</v>
      </c>
      <c r="BP48" s="7">
        <v>217811.99</v>
      </c>
      <c r="BQ48" s="2">
        <v>111.67232453974979</v>
      </c>
      <c r="BR48" s="2">
        <v>483.91340633891582</v>
      </c>
    </row>
    <row r="49" spans="1:70" x14ac:dyDescent="0.3">
      <c r="A49">
        <v>2022</v>
      </c>
      <c r="B49" s="1">
        <v>584213</v>
      </c>
      <c r="C49" s="2">
        <v>14631364.55819493</v>
      </c>
      <c r="D49" s="3">
        <v>25.044572028001649</v>
      </c>
      <c r="E49" s="1">
        <v>350527</v>
      </c>
      <c r="F49" s="4">
        <v>0.46928371293817112</v>
      </c>
      <c r="G49" s="4">
        <v>0.28281164939244369</v>
      </c>
      <c r="H49" s="4">
        <v>0.18309124100662719</v>
      </c>
      <c r="I49" s="4">
        <v>0.28964549733890083</v>
      </c>
      <c r="J49" s="5">
        <v>4.2421747408866546</v>
      </c>
      <c r="K49">
        <v>1910</v>
      </c>
      <c r="L49">
        <v>50890</v>
      </c>
      <c r="M49">
        <v>62974</v>
      </c>
      <c r="N49">
        <v>115774</v>
      </c>
      <c r="O49" s="6">
        <v>14325</v>
      </c>
      <c r="P49" s="6">
        <v>127225</v>
      </c>
      <c r="Q49" s="6">
        <v>75568.800000000003</v>
      </c>
      <c r="R49" s="6">
        <v>217118.8</v>
      </c>
      <c r="S49" s="2">
        <v>16.063333333333329</v>
      </c>
      <c r="T49" s="2">
        <v>57.066222222222223</v>
      </c>
      <c r="U49" s="2">
        <v>21.184999999999999</v>
      </c>
      <c r="V49" s="2">
        <v>94.314555555555557</v>
      </c>
      <c r="W49">
        <v>57</v>
      </c>
      <c r="X49">
        <v>0</v>
      </c>
      <c r="Y49">
        <v>0</v>
      </c>
      <c r="Z49">
        <v>57</v>
      </c>
      <c r="AA49" s="2">
        <v>3049734.3936537802</v>
      </c>
      <c r="AB49" s="6">
        <v>1402.2</v>
      </c>
      <c r="AC49" s="6">
        <v>0</v>
      </c>
      <c r="AD49" s="6">
        <v>0</v>
      </c>
      <c r="AE49" s="6">
        <v>1402.2</v>
      </c>
      <c r="AF49" s="3">
        <v>25.412948958835369</v>
      </c>
      <c r="AG49">
        <v>57</v>
      </c>
      <c r="AH49">
        <v>0</v>
      </c>
      <c r="AI49">
        <v>0</v>
      </c>
      <c r="AJ49">
        <v>57</v>
      </c>
      <c r="AK49" s="2">
        <v>3408508.7189537901</v>
      </c>
      <c r="AL49" s="6">
        <v>451.44</v>
      </c>
      <c r="AM49" s="6">
        <v>0</v>
      </c>
      <c r="AN49" s="6">
        <v>0</v>
      </c>
      <c r="AO49" s="6">
        <v>451.44</v>
      </c>
      <c r="AP49" s="3">
        <v>0.85255916882801142</v>
      </c>
      <c r="AQ49">
        <v>0</v>
      </c>
      <c r="AR49">
        <v>0</v>
      </c>
      <c r="AS49">
        <v>0</v>
      </c>
      <c r="AT49">
        <v>0</v>
      </c>
      <c r="AU49" s="2">
        <v>0</v>
      </c>
      <c r="AV49" s="6">
        <v>0</v>
      </c>
      <c r="AW49" s="6">
        <v>0</v>
      </c>
      <c r="AX49" s="6">
        <v>0</v>
      </c>
      <c r="AY49" s="6">
        <v>0</v>
      </c>
      <c r="AZ49" s="3">
        <v>111.1080446084047</v>
      </c>
      <c r="BA49">
        <v>337</v>
      </c>
      <c r="BB49">
        <v>15</v>
      </c>
      <c r="BC49">
        <v>1</v>
      </c>
      <c r="BD49">
        <v>353</v>
      </c>
      <c r="BE49" s="2">
        <v>8173121.4455873566</v>
      </c>
      <c r="BF49" s="6">
        <v>1900.68</v>
      </c>
      <c r="BG49" s="6">
        <v>1272</v>
      </c>
      <c r="BH49" s="6">
        <v>2416</v>
      </c>
      <c r="BI49" s="6">
        <v>5588.68</v>
      </c>
      <c r="BJ49" s="3">
        <v>152.76557478160251</v>
      </c>
      <c r="BK49" s="6">
        <v>3754.32</v>
      </c>
      <c r="BL49" s="6">
        <v>1272</v>
      </c>
      <c r="BM49" s="6">
        <v>2416</v>
      </c>
      <c r="BN49" s="6">
        <v>7442.32</v>
      </c>
      <c r="BO49" s="3">
        <v>290.13912751767049</v>
      </c>
      <c r="BP49" s="7">
        <v>224561.12</v>
      </c>
      <c r="BQ49" s="2">
        <v>115.3361049219678</v>
      </c>
      <c r="BR49" s="2">
        <v>499.78978799519388</v>
      </c>
    </row>
    <row r="50" spans="1:70" x14ac:dyDescent="0.3">
      <c r="A50">
        <v>2023</v>
      </c>
      <c r="B50" s="1">
        <v>599480</v>
      </c>
      <c r="C50" s="2">
        <v>15418608.49434145</v>
      </c>
      <c r="D50" s="3">
        <v>25.719971465839471</v>
      </c>
      <c r="E50" s="1">
        <v>359688</v>
      </c>
      <c r="F50" s="4">
        <v>0.47224688359837408</v>
      </c>
      <c r="G50" s="4">
        <v>0.28513213420746641</v>
      </c>
      <c r="H50" s="4">
        <v>0.19341005354584551</v>
      </c>
      <c r="I50" s="4">
        <v>0.29641358467005968</v>
      </c>
      <c r="J50" s="5">
        <v>4.2769820131119953</v>
      </c>
      <c r="K50">
        <v>2021</v>
      </c>
      <c r="L50">
        <v>52639</v>
      </c>
      <c r="M50">
        <v>64400</v>
      </c>
      <c r="N50">
        <v>119060</v>
      </c>
      <c r="O50" s="6">
        <v>15157.5</v>
      </c>
      <c r="P50" s="6">
        <v>131597.5</v>
      </c>
      <c r="Q50" s="6">
        <v>77280</v>
      </c>
      <c r="R50" s="6">
        <v>224035</v>
      </c>
      <c r="S50" s="2">
        <v>16.96</v>
      </c>
      <c r="T50" s="2">
        <v>58.898666666666657</v>
      </c>
      <c r="U50" s="2">
        <v>21.617266666666669</v>
      </c>
      <c r="V50" s="2">
        <v>97.47593333333333</v>
      </c>
      <c r="W50">
        <v>60</v>
      </c>
      <c r="X50">
        <v>0</v>
      </c>
      <c r="Y50">
        <v>0</v>
      </c>
      <c r="Z50">
        <v>60</v>
      </c>
      <c r="AA50" s="2">
        <v>3218231.0237345109</v>
      </c>
      <c r="AB50" s="6">
        <v>1458</v>
      </c>
      <c r="AC50" s="6">
        <v>0</v>
      </c>
      <c r="AD50" s="6">
        <v>0</v>
      </c>
      <c r="AE50" s="6">
        <v>1458</v>
      </c>
      <c r="AF50" s="3">
        <v>26.395386660055301</v>
      </c>
      <c r="AG50">
        <v>60</v>
      </c>
      <c r="AH50">
        <v>0</v>
      </c>
      <c r="AI50">
        <v>0</v>
      </c>
      <c r="AJ50">
        <v>60</v>
      </c>
      <c r="AK50" s="2">
        <v>3623293.4521733392</v>
      </c>
      <c r="AL50" s="6">
        <v>472.8</v>
      </c>
      <c r="AM50" s="6">
        <v>0</v>
      </c>
      <c r="AN50" s="6">
        <v>0</v>
      </c>
      <c r="AO50" s="6">
        <v>472.8</v>
      </c>
      <c r="AP50" s="3">
        <v>0.87921603207046362</v>
      </c>
      <c r="AQ50">
        <v>0</v>
      </c>
      <c r="AR50">
        <v>0</v>
      </c>
      <c r="AS50">
        <v>0</v>
      </c>
      <c r="AT50">
        <v>0</v>
      </c>
      <c r="AU50" s="2">
        <v>0</v>
      </c>
      <c r="AV50" s="6">
        <v>0</v>
      </c>
      <c r="AW50" s="6">
        <v>0</v>
      </c>
      <c r="AX50" s="6">
        <v>0</v>
      </c>
      <c r="AY50" s="6">
        <v>0</v>
      </c>
      <c r="AZ50" s="3">
        <v>113.97196965887321</v>
      </c>
      <c r="BA50">
        <v>352</v>
      </c>
      <c r="BB50">
        <v>16</v>
      </c>
      <c r="BC50">
        <v>1</v>
      </c>
      <c r="BD50">
        <v>369</v>
      </c>
      <c r="BE50" s="2">
        <v>8577084.0184335969</v>
      </c>
      <c r="BF50" s="6">
        <v>2048.64</v>
      </c>
      <c r="BG50" s="6">
        <v>1346.4</v>
      </c>
      <c r="BH50" s="6">
        <v>2437</v>
      </c>
      <c r="BI50" s="6">
        <v>5832.04</v>
      </c>
      <c r="BJ50" s="3">
        <v>158.38247262635929</v>
      </c>
      <c r="BK50" s="6">
        <v>3979.44</v>
      </c>
      <c r="BL50" s="6">
        <v>1346.4</v>
      </c>
      <c r="BM50" s="6">
        <v>2437</v>
      </c>
      <c r="BN50" s="6">
        <v>7762.84</v>
      </c>
      <c r="BO50" s="3">
        <v>299.62904497735832</v>
      </c>
      <c r="BP50" s="7">
        <v>231797.84</v>
      </c>
      <c r="BQ50" s="2">
        <v>119.1314934932075</v>
      </c>
      <c r="BR50" s="2">
        <v>516.23647180389912</v>
      </c>
    </row>
    <row r="51" spans="1:70" x14ac:dyDescent="0.3">
      <c r="A51">
        <v>2024</v>
      </c>
      <c r="B51" s="1">
        <v>615190</v>
      </c>
      <c r="C51" s="2">
        <v>16247527.747446351</v>
      </c>
      <c r="D51" s="3">
        <v>26.410584937086671</v>
      </c>
      <c r="E51" s="1">
        <v>369114</v>
      </c>
      <c r="F51" s="4">
        <v>0.47516881847034381</v>
      </c>
      <c r="G51" s="4">
        <v>0.28740667034458017</v>
      </c>
      <c r="H51" s="4">
        <v>0.20441238910295709</v>
      </c>
      <c r="I51" s="4">
        <v>0.30335465506511428</v>
      </c>
      <c r="J51" s="5">
        <v>4.3111000551687022</v>
      </c>
      <c r="K51">
        <v>2137</v>
      </c>
      <c r="L51">
        <v>54448</v>
      </c>
      <c r="M51">
        <v>65868</v>
      </c>
      <c r="N51">
        <v>122453</v>
      </c>
      <c r="O51" s="6">
        <v>16027.5</v>
      </c>
      <c r="P51" s="6">
        <v>136120</v>
      </c>
      <c r="Q51" s="6">
        <v>79041.600000000006</v>
      </c>
      <c r="R51" s="6">
        <v>231189.1</v>
      </c>
      <c r="S51" s="2">
        <v>17.893333333333331</v>
      </c>
      <c r="T51" s="2">
        <v>60.786666666666669</v>
      </c>
      <c r="U51" s="2">
        <v>22.060866666666669</v>
      </c>
      <c r="V51" s="2">
        <v>100.7408666666667</v>
      </c>
      <c r="W51">
        <v>63</v>
      </c>
      <c r="X51">
        <v>0</v>
      </c>
      <c r="Y51">
        <v>0</v>
      </c>
      <c r="Z51">
        <v>63</v>
      </c>
      <c r="AA51" s="2">
        <v>3395459.5102260951</v>
      </c>
      <c r="AB51" s="6">
        <v>1549.8</v>
      </c>
      <c r="AC51" s="6">
        <v>0</v>
      </c>
      <c r="AD51" s="6">
        <v>0</v>
      </c>
      <c r="AE51" s="6">
        <v>1549.8</v>
      </c>
      <c r="AF51" s="3">
        <v>27.403323438189041</v>
      </c>
      <c r="AG51">
        <v>63</v>
      </c>
      <c r="AH51">
        <v>0</v>
      </c>
      <c r="AI51">
        <v>0</v>
      </c>
      <c r="AJ51">
        <v>63</v>
      </c>
      <c r="AK51" s="2">
        <v>3850886.4732204429</v>
      </c>
      <c r="AL51" s="6">
        <v>493.92</v>
      </c>
      <c r="AM51" s="6">
        <v>0</v>
      </c>
      <c r="AN51" s="6">
        <v>0</v>
      </c>
      <c r="AO51" s="6">
        <v>493.92</v>
      </c>
      <c r="AP51" s="3">
        <v>0.90683246731120526</v>
      </c>
      <c r="AQ51">
        <v>0</v>
      </c>
      <c r="AR51">
        <v>0</v>
      </c>
      <c r="AS51">
        <v>0</v>
      </c>
      <c r="AT51">
        <v>0</v>
      </c>
      <c r="AU51" s="2">
        <v>0</v>
      </c>
      <c r="AV51" s="6">
        <v>0</v>
      </c>
      <c r="AW51" s="6">
        <v>0</v>
      </c>
      <c r="AX51" s="6">
        <v>0</v>
      </c>
      <c r="AY51" s="6">
        <v>0</v>
      </c>
      <c r="AZ51" s="3">
        <v>117.0026182318058</v>
      </c>
      <c r="BA51">
        <v>367</v>
      </c>
      <c r="BB51">
        <v>17</v>
      </c>
      <c r="BC51">
        <v>1</v>
      </c>
      <c r="BD51">
        <v>385</v>
      </c>
      <c r="BE51" s="2">
        <v>9001181.7639998086</v>
      </c>
      <c r="BF51" s="6">
        <v>2168.9699999999998</v>
      </c>
      <c r="BG51" s="6">
        <v>1507.9</v>
      </c>
      <c r="BH51" s="6">
        <v>2395</v>
      </c>
      <c r="BI51" s="6">
        <v>6071.87</v>
      </c>
      <c r="BJ51" s="3">
        <v>164.14139184486561</v>
      </c>
      <c r="BK51" s="6">
        <v>4212.6899999999996</v>
      </c>
      <c r="BL51" s="6">
        <v>1507.9</v>
      </c>
      <c r="BM51" s="6">
        <v>2395</v>
      </c>
      <c r="BN51" s="6">
        <v>8115.59</v>
      </c>
      <c r="BO51" s="3">
        <v>309.45416598217162</v>
      </c>
      <c r="BP51" s="7">
        <v>239304.69</v>
      </c>
      <c r="BQ51" s="2">
        <v>123.0585097946515</v>
      </c>
      <c r="BR51" s="2">
        <v>533.25354244348978</v>
      </c>
    </row>
    <row r="52" spans="1:70" x14ac:dyDescent="0.3">
      <c r="A52">
        <v>2025</v>
      </c>
      <c r="B52" s="1">
        <v>631358</v>
      </c>
      <c r="C52" s="2">
        <v>17120361.231016491</v>
      </c>
      <c r="D52" s="3">
        <v>27.116724950054461</v>
      </c>
      <c r="E52" s="1">
        <v>378814</v>
      </c>
      <c r="F52" s="4">
        <v>0.47805116141488629</v>
      </c>
      <c r="G52" s="4">
        <v>0.28963616764856731</v>
      </c>
      <c r="H52" s="4">
        <v>0.21613603248488289</v>
      </c>
      <c r="I52" s="4">
        <v>0.31046890864290011</v>
      </c>
      <c r="J52" s="5">
        <v>4.3445425147285093</v>
      </c>
      <c r="K52">
        <v>2258</v>
      </c>
      <c r="L52">
        <v>56318</v>
      </c>
      <c r="M52">
        <v>67380</v>
      </c>
      <c r="N52">
        <v>125956</v>
      </c>
      <c r="O52" s="6">
        <v>16935</v>
      </c>
      <c r="P52" s="6">
        <v>140795</v>
      </c>
      <c r="Q52" s="6">
        <v>80856</v>
      </c>
      <c r="R52" s="6">
        <v>238586</v>
      </c>
      <c r="S52" s="2">
        <v>18.866666666666671</v>
      </c>
      <c r="T52" s="2">
        <v>62.731999999999999</v>
      </c>
      <c r="U52" s="2">
        <v>22.516133333333329</v>
      </c>
      <c r="V52" s="2">
        <v>104.1148</v>
      </c>
      <c r="W52">
        <v>66</v>
      </c>
      <c r="X52">
        <v>0</v>
      </c>
      <c r="Y52">
        <v>0</v>
      </c>
      <c r="Z52">
        <v>66</v>
      </c>
      <c r="AA52" s="2">
        <v>3581868.8915204648</v>
      </c>
      <c r="AB52" s="6">
        <v>1630.2</v>
      </c>
      <c r="AC52" s="6">
        <v>0</v>
      </c>
      <c r="AD52" s="6">
        <v>0</v>
      </c>
      <c r="AE52" s="6">
        <v>1630.2</v>
      </c>
      <c r="AF52" s="3">
        <v>28.43727215133163</v>
      </c>
      <c r="AG52">
        <v>66</v>
      </c>
      <c r="AH52">
        <v>0</v>
      </c>
      <c r="AI52">
        <v>0</v>
      </c>
      <c r="AJ52">
        <v>66</v>
      </c>
      <c r="AK52" s="2">
        <v>4092038.500573928</v>
      </c>
      <c r="AL52" s="6">
        <v>512.16</v>
      </c>
      <c r="AM52" s="6">
        <v>0</v>
      </c>
      <c r="AN52" s="6">
        <v>0</v>
      </c>
      <c r="AO52" s="6">
        <v>512.16</v>
      </c>
      <c r="AP52" s="3">
        <v>0.93542224578007593</v>
      </c>
      <c r="AQ52">
        <v>0</v>
      </c>
      <c r="AR52">
        <v>0</v>
      </c>
      <c r="AS52">
        <v>0</v>
      </c>
      <c r="AT52">
        <v>0</v>
      </c>
      <c r="AU52" s="2">
        <v>0</v>
      </c>
      <c r="AV52" s="6">
        <v>0</v>
      </c>
      <c r="AW52" s="6">
        <v>0</v>
      </c>
      <c r="AX52" s="6">
        <v>0</v>
      </c>
      <c r="AY52" s="6">
        <v>0</v>
      </c>
      <c r="AZ52" s="3">
        <v>120.1962280831079</v>
      </c>
      <c r="BA52">
        <v>383</v>
      </c>
      <c r="BB52">
        <v>18</v>
      </c>
      <c r="BC52">
        <v>1</v>
      </c>
      <c r="BD52">
        <v>402</v>
      </c>
      <c r="BE52" s="2">
        <v>9446453.8389220946</v>
      </c>
      <c r="BF52" s="6">
        <v>2229.06</v>
      </c>
      <c r="BG52" s="6">
        <v>1573.2</v>
      </c>
      <c r="BH52" s="6">
        <v>2458</v>
      </c>
      <c r="BI52" s="6">
        <v>6260.26</v>
      </c>
      <c r="BJ52" s="3">
        <v>170.04515365566181</v>
      </c>
      <c r="BK52" s="6">
        <v>4371.42</v>
      </c>
      <c r="BL52" s="6">
        <v>1573.2</v>
      </c>
      <c r="BM52" s="6">
        <v>2458</v>
      </c>
      <c r="BN52" s="6">
        <v>8402.6200000000008</v>
      </c>
      <c r="BO52" s="3">
        <v>319.61407613588142</v>
      </c>
      <c r="BP52" s="7">
        <v>246988.62</v>
      </c>
      <c r="BQ52" s="2">
        <v>127.1186628407644</v>
      </c>
      <c r="BR52" s="2">
        <v>550.84753897664586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52"/>
  <sheetViews>
    <sheetView topLeftCell="AZ1" workbookViewId="0">
      <selection activeCell="B2" sqref="B2:BR52"/>
    </sheetView>
  </sheetViews>
  <sheetFormatPr defaultRowHeight="14.4" x14ac:dyDescent="0.3"/>
  <cols>
    <col min="1" max="1" width="5" bestFit="1" customWidth="1"/>
    <col min="2" max="2" width="11.44140625" bestFit="1" customWidth="1"/>
    <col min="3" max="3" width="13.77734375" bestFit="1" customWidth="1"/>
    <col min="4" max="4" width="6.5546875" bestFit="1" customWidth="1"/>
    <col min="5" max="5" width="7.5546875" bestFit="1" customWidth="1"/>
    <col min="6" max="9" width="6.5546875" bestFit="1" customWidth="1"/>
    <col min="10" max="10" width="12.77734375" bestFit="1" customWidth="1"/>
    <col min="11" max="11" width="10.21875" bestFit="1" customWidth="1"/>
    <col min="12" max="12" width="12" bestFit="1" customWidth="1"/>
    <col min="13" max="13" width="11.44140625" bestFit="1" customWidth="1"/>
    <col min="14" max="14" width="7" bestFit="1" customWidth="1"/>
    <col min="15" max="17" width="14.77734375" bestFit="1" customWidth="1"/>
    <col min="18" max="18" width="16.33203125" bestFit="1" customWidth="1"/>
    <col min="19" max="19" width="8.109375" bestFit="1" customWidth="1"/>
    <col min="20" max="20" width="8.44140625" bestFit="1" customWidth="1"/>
    <col min="21" max="21" width="8.109375" bestFit="1" customWidth="1"/>
    <col min="22" max="22" width="6.6640625" bestFit="1" customWidth="1"/>
    <col min="23" max="23" width="8.109375" bestFit="1" customWidth="1"/>
    <col min="24" max="24" width="8.44140625" bestFit="1" customWidth="1"/>
    <col min="25" max="25" width="8.33203125" bestFit="1" customWidth="1"/>
    <col min="26" max="26" width="6.6640625" bestFit="1" customWidth="1"/>
    <col min="27" max="28" width="13.77734375" bestFit="1" customWidth="1"/>
    <col min="29" max="29" width="12.6640625" bestFit="1" customWidth="1"/>
    <col min="30" max="31" width="13.77734375" bestFit="1" customWidth="1"/>
    <col min="32" max="32" width="6.5546875" bestFit="1" customWidth="1"/>
    <col min="33" max="33" width="8.21875" bestFit="1" customWidth="1"/>
    <col min="34" max="34" width="8.5546875" bestFit="1" customWidth="1"/>
    <col min="35" max="35" width="8.44140625" bestFit="1" customWidth="1"/>
    <col min="36" max="36" width="6.77734375" bestFit="1" customWidth="1"/>
    <col min="37" max="37" width="13.77734375" bestFit="1" customWidth="1"/>
    <col min="38" max="40" width="12.6640625" bestFit="1" customWidth="1"/>
    <col min="41" max="41" width="13.77734375" bestFit="1" customWidth="1"/>
    <col min="42" max="42" width="6.6640625" bestFit="1" customWidth="1"/>
    <col min="43" max="43" width="8.33203125" bestFit="1" customWidth="1"/>
    <col min="44" max="44" width="8.6640625" bestFit="1" customWidth="1"/>
    <col min="45" max="45" width="8.5546875" bestFit="1" customWidth="1"/>
    <col min="46" max="46" width="6.88671875" bestFit="1" customWidth="1"/>
    <col min="47" max="47" width="12.6640625" bestFit="1" customWidth="1"/>
    <col min="48" max="48" width="13.77734375" bestFit="1" customWidth="1"/>
    <col min="49" max="49" width="12.6640625" bestFit="1" customWidth="1"/>
    <col min="50" max="50" width="8.21875" bestFit="1" customWidth="1"/>
    <col min="51" max="51" width="13.77734375" bestFit="1" customWidth="1"/>
    <col min="52" max="52" width="6.77734375" bestFit="1" customWidth="1"/>
    <col min="53" max="53" width="8.6640625" bestFit="1" customWidth="1"/>
    <col min="54" max="54" width="9" bestFit="1" customWidth="1"/>
    <col min="56" max="56" width="7.21875" bestFit="1" customWidth="1"/>
    <col min="57" max="60" width="12.6640625" bestFit="1" customWidth="1"/>
    <col min="61" max="61" width="13.77734375" bestFit="1" customWidth="1"/>
    <col min="62" max="62" width="7.5546875" bestFit="1" customWidth="1"/>
    <col min="63" max="66" width="13.77734375" bestFit="1" customWidth="1"/>
    <col min="67" max="67" width="7.5546875" bestFit="1" customWidth="1"/>
    <col min="68" max="68" width="14.6640625" bestFit="1" customWidth="1"/>
    <col min="69" max="69" width="7" bestFit="1" customWidth="1"/>
    <col min="70" max="70" width="8.664062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2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2" spans="1:70" x14ac:dyDescent="0.3">
      <c r="A2">
        <v>1975</v>
      </c>
      <c r="B2" s="1">
        <v>600000</v>
      </c>
      <c r="C2" s="2">
        <v>9536025.7543300819</v>
      </c>
      <c r="D2" s="3">
        <v>15.893376257216801</v>
      </c>
      <c r="E2" s="1">
        <v>360000</v>
      </c>
      <c r="F2" s="4">
        <v>0.41780541521876541</v>
      </c>
      <c r="G2" s="4">
        <v>0.2344444444444444</v>
      </c>
      <c r="H2" s="4">
        <v>0.40607775502623372</v>
      </c>
      <c r="I2" s="4">
        <v>0.34135615390848328</v>
      </c>
      <c r="J2" s="5">
        <v>3.5166666666666671</v>
      </c>
      <c r="K2">
        <v>3036</v>
      </c>
      <c r="L2">
        <v>60455</v>
      </c>
      <c r="M2">
        <v>97228</v>
      </c>
      <c r="N2">
        <v>160719</v>
      </c>
      <c r="O2" s="6">
        <v>22770</v>
      </c>
      <c r="P2" s="6">
        <v>151137.5</v>
      </c>
      <c r="Q2" s="6">
        <v>116673.60000000001</v>
      </c>
      <c r="R2" s="6">
        <f>O2+P2+Q2</f>
        <v>290581.09999999998</v>
      </c>
      <c r="S2" s="2">
        <v>15.02333333333333</v>
      </c>
      <c r="T2" s="2">
        <v>46.588666666666668</v>
      </c>
      <c r="U2" s="2">
        <v>25.422000000000001</v>
      </c>
      <c r="V2" s="2">
        <v>87.034000000000006</v>
      </c>
      <c r="W2">
        <v>32</v>
      </c>
      <c r="X2">
        <v>0</v>
      </c>
      <c r="Y2">
        <v>0</v>
      </c>
      <c r="Z2">
        <v>32</v>
      </c>
      <c r="AA2" s="2">
        <v>1513801.4103091841</v>
      </c>
      <c r="AB2" s="6">
        <v>778.8</v>
      </c>
      <c r="AC2" s="6">
        <v>0</v>
      </c>
      <c r="AD2" s="6">
        <v>0</v>
      </c>
      <c r="AE2" s="6">
        <v>778.8</v>
      </c>
      <c r="AF2" s="3">
        <v>1.5224</v>
      </c>
      <c r="AG2">
        <v>32</v>
      </c>
      <c r="AH2">
        <v>0</v>
      </c>
      <c r="AI2">
        <v>0</v>
      </c>
      <c r="AJ2">
        <v>32</v>
      </c>
      <c r="AK2" s="2">
        <v>6607996.1757288855</v>
      </c>
      <c r="AL2" s="6">
        <v>248</v>
      </c>
      <c r="AM2" s="6">
        <v>0</v>
      </c>
      <c r="AN2" s="6">
        <v>0</v>
      </c>
      <c r="AO2" s="6">
        <v>248</v>
      </c>
      <c r="AP2" s="3">
        <v>0.16325000000000001</v>
      </c>
      <c r="AQ2">
        <v>11</v>
      </c>
      <c r="AR2">
        <v>0</v>
      </c>
      <c r="AS2">
        <v>0</v>
      </c>
      <c r="AT2">
        <v>11</v>
      </c>
      <c r="AU2" s="2">
        <v>105404.7214475221</v>
      </c>
      <c r="AV2" s="6">
        <v>97.68</v>
      </c>
      <c r="AW2" s="6">
        <v>0</v>
      </c>
      <c r="AX2" s="6">
        <v>0</v>
      </c>
      <c r="AY2" s="6">
        <v>97.68</v>
      </c>
      <c r="AZ2" s="3">
        <v>2</v>
      </c>
      <c r="BA2">
        <v>71</v>
      </c>
      <c r="BB2">
        <v>3</v>
      </c>
      <c r="BC2">
        <v>0</v>
      </c>
      <c r="BD2">
        <v>74</v>
      </c>
      <c r="BE2" s="2">
        <v>1308823.44684449</v>
      </c>
      <c r="BF2" s="6">
        <v>415.11</v>
      </c>
      <c r="BG2" s="6">
        <v>264.14999999999998</v>
      </c>
      <c r="BH2" s="6">
        <v>0</v>
      </c>
      <c r="BI2" s="6">
        <v>679.26</v>
      </c>
      <c r="BJ2" s="3">
        <v>20.975999999999999</v>
      </c>
      <c r="BK2" s="6">
        <v>1539.59</v>
      </c>
      <c r="BL2" s="6">
        <v>264.14999999999998</v>
      </c>
      <c r="BM2" s="6">
        <v>0</v>
      </c>
      <c r="BN2" s="6">
        <v>1803.74</v>
      </c>
      <c r="BO2" s="3">
        <v>24.661650000000002</v>
      </c>
      <c r="BP2" s="7">
        <v>292474.21000000002</v>
      </c>
      <c r="BQ2" s="2">
        <v>33.508695000000003</v>
      </c>
      <c r="BR2" s="2">
        <v>145.20434499999999</v>
      </c>
    </row>
    <row r="3" spans="1:70" x14ac:dyDescent="0.3">
      <c r="A3">
        <v>1976</v>
      </c>
      <c r="B3" s="1">
        <v>613824</v>
      </c>
      <c r="C3" s="2">
        <v>11234814.39365905</v>
      </c>
      <c r="D3" s="3">
        <v>18.302989771757129</v>
      </c>
      <c r="E3" s="1">
        <v>368293</v>
      </c>
      <c r="F3" s="4">
        <v>0.43874569073698721</v>
      </c>
      <c r="G3" s="4">
        <v>0.2513777098176514</v>
      </c>
      <c r="H3" s="4">
        <v>0.43034004888258071</v>
      </c>
      <c r="I3" s="4">
        <v>0.36206271023896058</v>
      </c>
      <c r="J3" s="5">
        <v>3.7706656472647708</v>
      </c>
      <c r="K3">
        <v>3825</v>
      </c>
      <c r="L3">
        <v>67438</v>
      </c>
      <c r="M3">
        <v>96672</v>
      </c>
      <c r="N3">
        <v>167935</v>
      </c>
      <c r="O3" s="6">
        <v>28687.5</v>
      </c>
      <c r="P3" s="6">
        <v>168595</v>
      </c>
      <c r="Q3" s="6">
        <v>116006.39999999999</v>
      </c>
      <c r="R3" s="6">
        <v>313288.90000000002</v>
      </c>
      <c r="S3" s="2">
        <v>18.65666666666667</v>
      </c>
      <c r="T3" s="2">
        <v>51.351777777777777</v>
      </c>
      <c r="U3" s="2">
        <v>24.769333333333339</v>
      </c>
      <c r="V3" s="2">
        <v>94.777777777777771</v>
      </c>
      <c r="W3">
        <v>48</v>
      </c>
      <c r="X3">
        <v>0</v>
      </c>
      <c r="Y3">
        <v>0</v>
      </c>
      <c r="Z3">
        <v>48</v>
      </c>
      <c r="AA3" s="2">
        <v>2332952.9204411842</v>
      </c>
      <c r="AB3" s="6">
        <v>1165.8</v>
      </c>
      <c r="AC3" s="6">
        <v>0</v>
      </c>
      <c r="AD3" s="6">
        <v>0</v>
      </c>
      <c r="AE3" s="6">
        <v>1165.8</v>
      </c>
      <c r="AF3" s="3">
        <v>3.03629596524065</v>
      </c>
      <c r="AG3">
        <v>48</v>
      </c>
      <c r="AH3">
        <v>0</v>
      </c>
      <c r="AI3">
        <v>0</v>
      </c>
      <c r="AJ3">
        <v>48</v>
      </c>
      <c r="AK3" s="2">
        <v>7360688.714263157</v>
      </c>
      <c r="AL3" s="6">
        <v>377.44</v>
      </c>
      <c r="AM3" s="6">
        <v>0</v>
      </c>
      <c r="AN3" s="6">
        <v>0</v>
      </c>
      <c r="AO3" s="6">
        <v>377.44</v>
      </c>
      <c r="AP3" s="3">
        <v>0.20134999906894599</v>
      </c>
      <c r="AQ3">
        <v>13</v>
      </c>
      <c r="AR3">
        <v>0</v>
      </c>
      <c r="AS3">
        <v>0</v>
      </c>
      <c r="AT3">
        <v>13</v>
      </c>
      <c r="AU3" s="2">
        <v>123511.2081829637</v>
      </c>
      <c r="AV3" s="6">
        <v>109.72</v>
      </c>
      <c r="AW3" s="6">
        <v>0</v>
      </c>
      <c r="AX3" s="6">
        <v>0</v>
      </c>
      <c r="AY3" s="6">
        <v>109.72</v>
      </c>
      <c r="AZ3" s="3">
        <v>3.9898749534472988</v>
      </c>
      <c r="BA3">
        <v>77</v>
      </c>
      <c r="BB3">
        <v>3</v>
      </c>
      <c r="BC3">
        <v>0</v>
      </c>
      <c r="BD3">
        <v>80</v>
      </c>
      <c r="BE3" s="2">
        <v>1417661.5507717449</v>
      </c>
      <c r="BF3" s="6">
        <v>441.03</v>
      </c>
      <c r="BG3" s="6">
        <v>254.4</v>
      </c>
      <c r="BH3" s="6">
        <v>0</v>
      </c>
      <c r="BI3" s="6">
        <v>695.43</v>
      </c>
      <c r="BJ3" s="3">
        <v>34.166399668958569</v>
      </c>
      <c r="BK3" s="6">
        <v>2093.9899999999998</v>
      </c>
      <c r="BL3" s="6">
        <v>254.4</v>
      </c>
      <c r="BM3" s="6">
        <v>0</v>
      </c>
      <c r="BN3" s="6">
        <v>2348.39</v>
      </c>
      <c r="BO3" s="3">
        <v>41.393920586715467</v>
      </c>
      <c r="BP3" s="7">
        <v>315637.28999999998</v>
      </c>
      <c r="BQ3" s="2">
        <v>40.85150950934797</v>
      </c>
      <c r="BR3" s="2">
        <v>177.02320787384119</v>
      </c>
    </row>
    <row r="4" spans="1:70" x14ac:dyDescent="0.3">
      <c r="A4">
        <v>1977</v>
      </c>
      <c r="B4" s="1">
        <v>627684</v>
      </c>
      <c r="C4" s="2">
        <v>12746871.80500653</v>
      </c>
      <c r="D4" s="3">
        <v>20.307785135524451</v>
      </c>
      <c r="E4" s="1">
        <v>376608</v>
      </c>
      <c r="F4" s="4">
        <v>0.45417049176284369</v>
      </c>
      <c r="G4" s="4">
        <v>0.26749678968622931</v>
      </c>
      <c r="H4" s="4">
        <v>0.44824466927463491</v>
      </c>
      <c r="I4" s="4">
        <v>0.37903927022663841</v>
      </c>
      <c r="J4" s="5">
        <v>4.0124518452934392</v>
      </c>
      <c r="K4">
        <v>4641</v>
      </c>
      <c r="L4">
        <v>71893</v>
      </c>
      <c r="M4">
        <v>97598</v>
      </c>
      <c r="N4">
        <v>174132</v>
      </c>
      <c r="O4" s="6">
        <v>34807.5</v>
      </c>
      <c r="P4" s="6">
        <v>179732.5</v>
      </c>
      <c r="Q4" s="6">
        <v>117117.6</v>
      </c>
      <c r="R4" s="6">
        <v>331657.59999999998</v>
      </c>
      <c r="S4" s="2">
        <v>22.31</v>
      </c>
      <c r="T4" s="2">
        <v>54.00888888888889</v>
      </c>
      <c r="U4" s="2">
        <v>24.75</v>
      </c>
      <c r="V4" s="2">
        <v>101.06888888888891</v>
      </c>
      <c r="W4">
        <v>60</v>
      </c>
      <c r="X4">
        <v>0</v>
      </c>
      <c r="Y4">
        <v>0</v>
      </c>
      <c r="Z4">
        <v>60</v>
      </c>
      <c r="AA4" s="2">
        <v>3002660.0402908348</v>
      </c>
      <c r="AB4" s="6">
        <v>1458.7</v>
      </c>
      <c r="AC4" s="6">
        <v>0</v>
      </c>
      <c r="AD4" s="6">
        <v>0</v>
      </c>
      <c r="AE4" s="6">
        <v>1458.7</v>
      </c>
      <c r="AF4" s="3">
        <v>4.6744291260884632</v>
      </c>
      <c r="AG4">
        <v>60</v>
      </c>
      <c r="AH4">
        <v>0</v>
      </c>
      <c r="AI4">
        <v>0</v>
      </c>
      <c r="AJ4">
        <v>60</v>
      </c>
      <c r="AK4" s="2">
        <v>8085713.574472771</v>
      </c>
      <c r="AL4" s="6">
        <v>464.56</v>
      </c>
      <c r="AM4" s="6">
        <v>0</v>
      </c>
      <c r="AN4" s="6">
        <v>0</v>
      </c>
      <c r="AO4" s="6">
        <v>464.56</v>
      </c>
      <c r="AP4" s="3">
        <v>0.24406782727800941</v>
      </c>
      <c r="AQ4">
        <v>14</v>
      </c>
      <c r="AR4">
        <v>0</v>
      </c>
      <c r="AS4">
        <v>0</v>
      </c>
      <c r="AT4">
        <v>14</v>
      </c>
      <c r="AU4" s="2">
        <v>140793.51705907591</v>
      </c>
      <c r="AV4" s="6">
        <v>127.4</v>
      </c>
      <c r="AW4" s="6">
        <v>0</v>
      </c>
      <c r="AX4" s="6">
        <v>0</v>
      </c>
      <c r="AY4" s="6">
        <v>127.4</v>
      </c>
      <c r="AZ4" s="3">
        <v>6.108601366228104</v>
      </c>
      <c r="BA4">
        <v>83</v>
      </c>
      <c r="BB4">
        <v>3</v>
      </c>
      <c r="BC4">
        <v>0</v>
      </c>
      <c r="BD4">
        <v>86</v>
      </c>
      <c r="BE4" s="2">
        <v>1517704.6731838461</v>
      </c>
      <c r="BF4" s="6">
        <v>479.23500000000001</v>
      </c>
      <c r="BG4" s="6">
        <v>253.75</v>
      </c>
      <c r="BH4" s="6">
        <v>0</v>
      </c>
      <c r="BI4" s="6">
        <v>732.98500000000001</v>
      </c>
      <c r="BJ4" s="3">
        <v>48.086054166465118</v>
      </c>
      <c r="BK4" s="6">
        <v>2529.895</v>
      </c>
      <c r="BL4" s="6">
        <v>253.75</v>
      </c>
      <c r="BM4" s="6">
        <v>0</v>
      </c>
      <c r="BN4" s="6">
        <v>2783.645</v>
      </c>
      <c r="BO4" s="3">
        <v>59.11315248605969</v>
      </c>
      <c r="BP4" s="7">
        <v>334441.245</v>
      </c>
      <c r="BQ4" s="2">
        <v>48.054612412484573</v>
      </c>
      <c r="BR4" s="2">
        <v>208.23665378743311</v>
      </c>
    </row>
    <row r="5" spans="1:70" x14ac:dyDescent="0.3">
      <c r="A5">
        <v>1978</v>
      </c>
      <c r="B5" s="1">
        <v>641503</v>
      </c>
      <c r="C5" s="2">
        <v>14232498.71124671</v>
      </c>
      <c r="D5" s="3">
        <v>22.186176387712472</v>
      </c>
      <c r="E5" s="1">
        <v>384900</v>
      </c>
      <c r="F5" s="4">
        <v>0.46732119407571299</v>
      </c>
      <c r="G5" s="4">
        <v>0.28281396877820841</v>
      </c>
      <c r="H5" s="4">
        <v>0.46665127186402799</v>
      </c>
      <c r="I5" s="4">
        <v>0.39509626969795769</v>
      </c>
      <c r="J5" s="5">
        <v>4.242209531673125</v>
      </c>
      <c r="K5">
        <v>5525</v>
      </c>
      <c r="L5">
        <v>76060</v>
      </c>
      <c r="M5">
        <v>98647</v>
      </c>
      <c r="N5">
        <v>180232</v>
      </c>
      <c r="O5" s="6">
        <v>41437.5</v>
      </c>
      <c r="P5" s="6">
        <v>190150</v>
      </c>
      <c r="Q5" s="6">
        <v>118376.4</v>
      </c>
      <c r="R5" s="6">
        <v>349963.9</v>
      </c>
      <c r="S5" s="2">
        <v>26.198333333333331</v>
      </c>
      <c r="T5" s="2">
        <v>56.417777777777793</v>
      </c>
      <c r="U5" s="2">
        <v>24.792999999999999</v>
      </c>
      <c r="V5" s="2">
        <v>107.4091111111111</v>
      </c>
      <c r="W5">
        <v>70</v>
      </c>
      <c r="X5">
        <v>0</v>
      </c>
      <c r="Y5">
        <v>0</v>
      </c>
      <c r="Z5">
        <v>70</v>
      </c>
      <c r="AA5" s="2">
        <v>3633664.7908619968</v>
      </c>
      <c r="AB5" s="6">
        <v>1726</v>
      </c>
      <c r="AC5" s="6">
        <v>0</v>
      </c>
      <c r="AD5" s="6">
        <v>0</v>
      </c>
      <c r="AE5" s="6">
        <v>1726</v>
      </c>
      <c r="AF5" s="3">
        <v>6.4107876933781922</v>
      </c>
      <c r="AG5">
        <v>70</v>
      </c>
      <c r="AH5">
        <v>0</v>
      </c>
      <c r="AI5">
        <v>0</v>
      </c>
      <c r="AJ5">
        <v>70</v>
      </c>
      <c r="AK5" s="2">
        <v>8826437.3613349069</v>
      </c>
      <c r="AL5" s="6">
        <v>540.48</v>
      </c>
      <c r="AM5" s="6">
        <v>0</v>
      </c>
      <c r="AN5" s="6">
        <v>0</v>
      </c>
      <c r="AO5" s="6">
        <v>540.48</v>
      </c>
      <c r="AP5" s="3">
        <v>0.29076787232185758</v>
      </c>
      <c r="AQ5">
        <v>16</v>
      </c>
      <c r="AR5">
        <v>0</v>
      </c>
      <c r="AS5">
        <v>0</v>
      </c>
      <c r="AT5">
        <v>16</v>
      </c>
      <c r="AU5" s="2">
        <v>158484.23011608349</v>
      </c>
      <c r="AV5" s="6">
        <v>152.63999999999999</v>
      </c>
      <c r="AW5" s="6">
        <v>0</v>
      </c>
      <c r="AX5" s="6">
        <v>0</v>
      </c>
      <c r="AY5" s="6">
        <v>152.63999999999999</v>
      </c>
      <c r="AZ5" s="3">
        <v>8.3210172500392794</v>
      </c>
      <c r="BA5">
        <v>88</v>
      </c>
      <c r="BB5">
        <v>3</v>
      </c>
      <c r="BC5">
        <v>0</v>
      </c>
      <c r="BD5">
        <v>91</v>
      </c>
      <c r="BE5" s="2">
        <v>1613912.3289337209</v>
      </c>
      <c r="BF5" s="6">
        <v>502.84500000000003</v>
      </c>
      <c r="BG5" s="6">
        <v>258.3</v>
      </c>
      <c r="BH5" s="6">
        <v>0</v>
      </c>
      <c r="BI5" s="6">
        <v>761.14499999999998</v>
      </c>
      <c r="BJ5" s="3">
        <v>62.485299367485617</v>
      </c>
      <c r="BK5" s="6">
        <v>2921.9650000000001</v>
      </c>
      <c r="BL5" s="6">
        <v>258.3</v>
      </c>
      <c r="BM5" s="6">
        <v>0</v>
      </c>
      <c r="BN5" s="6">
        <v>3180.2649999999999</v>
      </c>
      <c r="BO5" s="3">
        <v>77.507872183224947</v>
      </c>
      <c r="BP5" s="7">
        <v>353144.16499999998</v>
      </c>
      <c r="BQ5" s="2">
        <v>55.475094988300818</v>
      </c>
      <c r="BR5" s="2">
        <v>240.3920782826369</v>
      </c>
    </row>
    <row r="6" spans="1:70" x14ac:dyDescent="0.3">
      <c r="A6">
        <v>1979</v>
      </c>
      <c r="B6" s="1">
        <v>655253</v>
      </c>
      <c r="C6" s="2">
        <v>15734352.27374129</v>
      </c>
      <c r="D6" s="3">
        <v>24.012636758231231</v>
      </c>
      <c r="E6" s="1">
        <v>393149</v>
      </c>
      <c r="F6" s="4">
        <v>0.47910508255162332</v>
      </c>
      <c r="G6" s="4">
        <v>0.29734747844610648</v>
      </c>
      <c r="H6" s="4">
        <v>0.48569272950425618</v>
      </c>
      <c r="I6" s="4">
        <v>0.41053691407372039</v>
      </c>
      <c r="J6" s="5">
        <v>4.4602121766915976</v>
      </c>
      <c r="K6">
        <v>6481</v>
      </c>
      <c r="L6">
        <v>80072</v>
      </c>
      <c r="M6">
        <v>99727</v>
      </c>
      <c r="N6">
        <v>186280</v>
      </c>
      <c r="O6" s="6">
        <v>48607.5</v>
      </c>
      <c r="P6" s="6">
        <v>200180</v>
      </c>
      <c r="Q6" s="6">
        <v>119672.4</v>
      </c>
      <c r="R6" s="6">
        <v>368459.9</v>
      </c>
      <c r="S6" s="2">
        <v>30.318333333333339</v>
      </c>
      <c r="T6" s="2">
        <v>58.680888888888902</v>
      </c>
      <c r="U6" s="2">
        <v>24.865933333333331</v>
      </c>
      <c r="V6" s="2">
        <v>113.8651555555556</v>
      </c>
      <c r="W6">
        <v>83</v>
      </c>
      <c r="X6">
        <v>0</v>
      </c>
      <c r="Y6">
        <v>0</v>
      </c>
      <c r="Z6">
        <v>83</v>
      </c>
      <c r="AA6" s="2">
        <v>4255970.984839743</v>
      </c>
      <c r="AB6" s="6">
        <v>2015.4</v>
      </c>
      <c r="AC6" s="6">
        <v>0</v>
      </c>
      <c r="AD6" s="6">
        <v>0</v>
      </c>
      <c r="AE6" s="6">
        <v>2015.4</v>
      </c>
      <c r="AF6" s="3">
        <v>8.2358452443715819</v>
      </c>
      <c r="AG6">
        <v>83</v>
      </c>
      <c r="AH6">
        <v>0</v>
      </c>
      <c r="AI6">
        <v>0</v>
      </c>
      <c r="AJ6">
        <v>83</v>
      </c>
      <c r="AK6" s="2">
        <v>9592540.5444736667</v>
      </c>
      <c r="AL6" s="6">
        <v>640.24</v>
      </c>
      <c r="AM6" s="6">
        <v>0</v>
      </c>
      <c r="AN6" s="6">
        <v>0</v>
      </c>
      <c r="AO6" s="6">
        <v>640.24</v>
      </c>
      <c r="AP6" s="3">
        <v>0.34123335791816828</v>
      </c>
      <c r="AQ6">
        <v>18</v>
      </c>
      <c r="AR6">
        <v>0</v>
      </c>
      <c r="AS6">
        <v>0</v>
      </c>
      <c r="AT6">
        <v>18</v>
      </c>
      <c r="AU6" s="2">
        <v>177103.13543777651</v>
      </c>
      <c r="AV6" s="6">
        <v>183.6</v>
      </c>
      <c r="AW6" s="6">
        <v>0</v>
      </c>
      <c r="AX6" s="6">
        <v>0</v>
      </c>
      <c r="AY6" s="6">
        <v>183.6</v>
      </c>
      <c r="AZ6" s="3">
        <v>10.61476195833446</v>
      </c>
      <c r="BA6">
        <v>93</v>
      </c>
      <c r="BB6">
        <v>4</v>
      </c>
      <c r="BC6">
        <v>0</v>
      </c>
      <c r="BD6">
        <v>97</v>
      </c>
      <c r="BE6" s="2">
        <v>1708737.6089901009</v>
      </c>
      <c r="BF6" s="6">
        <v>530.95500000000004</v>
      </c>
      <c r="BG6" s="6">
        <v>337.25</v>
      </c>
      <c r="BH6" s="6">
        <v>0</v>
      </c>
      <c r="BI6" s="6">
        <v>868.20500000000004</v>
      </c>
      <c r="BJ6" s="3">
        <v>77.281577169747379</v>
      </c>
      <c r="BK6" s="6">
        <v>3370.1950000000002</v>
      </c>
      <c r="BL6" s="6">
        <v>337.25</v>
      </c>
      <c r="BM6" s="6">
        <v>0</v>
      </c>
      <c r="BN6" s="6">
        <v>3707.4450000000002</v>
      </c>
      <c r="BO6" s="3">
        <v>96.473417730371594</v>
      </c>
      <c r="BP6" s="7">
        <v>372167.34499999997</v>
      </c>
      <c r="BQ6" s="2">
        <v>63.101571985778151</v>
      </c>
      <c r="BR6" s="2">
        <v>273.44014527170532</v>
      </c>
    </row>
    <row r="7" spans="1:70" x14ac:dyDescent="0.3">
      <c r="A7">
        <v>1980</v>
      </c>
      <c r="B7" s="1">
        <v>668937</v>
      </c>
      <c r="C7" s="2">
        <v>17273681.498042651</v>
      </c>
      <c r="D7" s="3">
        <v>25.82258343916191</v>
      </c>
      <c r="E7" s="1">
        <v>401359</v>
      </c>
      <c r="F7" s="4">
        <v>0.48995128889003531</v>
      </c>
      <c r="G7" s="4">
        <v>0.3111246737618229</v>
      </c>
      <c r="H7" s="4">
        <v>0.50463977715788644</v>
      </c>
      <c r="I7" s="4">
        <v>0.42529434967971358</v>
      </c>
      <c r="J7" s="5">
        <v>4.6668701064273437</v>
      </c>
      <c r="K7">
        <v>7503</v>
      </c>
      <c r="L7">
        <v>83986</v>
      </c>
      <c r="M7">
        <v>100807</v>
      </c>
      <c r="N7">
        <v>192296</v>
      </c>
      <c r="O7" s="6">
        <v>56272.5</v>
      </c>
      <c r="P7" s="6">
        <v>209965</v>
      </c>
      <c r="Q7" s="6">
        <v>120968.4</v>
      </c>
      <c r="R7" s="6">
        <v>387205.9</v>
      </c>
      <c r="S7" s="2">
        <v>34.663333333333327</v>
      </c>
      <c r="T7" s="2">
        <v>60.844444444444441</v>
      </c>
      <c r="U7" s="2">
        <v>24.955400000000001</v>
      </c>
      <c r="V7" s="2">
        <v>120.4631777777778</v>
      </c>
      <c r="W7">
        <v>93</v>
      </c>
      <c r="X7">
        <v>0</v>
      </c>
      <c r="Y7">
        <v>0</v>
      </c>
      <c r="Z7">
        <v>93</v>
      </c>
      <c r="AA7" s="2">
        <v>4883717.1617511325</v>
      </c>
      <c r="AB7" s="6">
        <v>2255.6</v>
      </c>
      <c r="AC7" s="6">
        <v>0</v>
      </c>
      <c r="AD7" s="6">
        <v>0</v>
      </c>
      <c r="AE7" s="6">
        <v>2255.6</v>
      </c>
      <c r="AF7" s="3">
        <v>10.144334344479489</v>
      </c>
      <c r="AG7">
        <v>93</v>
      </c>
      <c r="AH7">
        <v>0</v>
      </c>
      <c r="AI7">
        <v>0</v>
      </c>
      <c r="AJ7">
        <v>93</v>
      </c>
      <c r="AK7" s="2">
        <v>10389390.328519469</v>
      </c>
      <c r="AL7" s="6">
        <v>725.92</v>
      </c>
      <c r="AM7" s="6">
        <v>0</v>
      </c>
      <c r="AN7" s="6">
        <v>0</v>
      </c>
      <c r="AO7" s="6">
        <v>725.92</v>
      </c>
      <c r="AP7" s="3">
        <v>0.39535278079053948</v>
      </c>
      <c r="AQ7">
        <v>20</v>
      </c>
      <c r="AR7">
        <v>0</v>
      </c>
      <c r="AS7">
        <v>0</v>
      </c>
      <c r="AT7">
        <v>20</v>
      </c>
      <c r="AU7" s="2">
        <v>196978.51312141589</v>
      </c>
      <c r="AV7" s="6">
        <v>182</v>
      </c>
      <c r="AW7" s="6">
        <v>0</v>
      </c>
      <c r="AX7" s="6">
        <v>0</v>
      </c>
      <c r="AY7" s="6">
        <v>182</v>
      </c>
      <c r="AZ7" s="3">
        <v>12.983402182163511</v>
      </c>
      <c r="BA7">
        <v>97</v>
      </c>
      <c r="BB7">
        <v>4</v>
      </c>
      <c r="BC7">
        <v>0</v>
      </c>
      <c r="BD7">
        <v>101</v>
      </c>
      <c r="BE7" s="2">
        <v>1803595.4946506319</v>
      </c>
      <c r="BF7" s="6">
        <v>556.755</v>
      </c>
      <c r="BG7" s="6">
        <v>343.1</v>
      </c>
      <c r="BH7" s="6">
        <v>0</v>
      </c>
      <c r="BI7" s="6">
        <v>899.85500000000002</v>
      </c>
      <c r="BJ7" s="3">
        <v>92.435703402965075</v>
      </c>
      <c r="BK7" s="6">
        <v>3720.2750000000001</v>
      </c>
      <c r="BL7" s="6">
        <v>343.1</v>
      </c>
      <c r="BM7" s="6">
        <v>0</v>
      </c>
      <c r="BN7" s="6">
        <v>4063.375</v>
      </c>
      <c r="BO7" s="3">
        <v>115.9587927103986</v>
      </c>
      <c r="BP7" s="7">
        <v>391269.27500000002</v>
      </c>
      <c r="BQ7" s="2">
        <v>70.926591146452907</v>
      </c>
      <c r="BR7" s="2">
        <v>307.34856163462928</v>
      </c>
    </row>
    <row r="8" spans="1:70" x14ac:dyDescent="0.3">
      <c r="A8">
        <v>1981</v>
      </c>
      <c r="B8" s="1">
        <v>682586</v>
      </c>
      <c r="C8" s="2">
        <v>18865440.592978109</v>
      </c>
      <c r="D8" s="3">
        <v>27.638188584263538</v>
      </c>
      <c r="E8" s="1">
        <v>409550</v>
      </c>
      <c r="F8" s="4">
        <v>0.5001118804738004</v>
      </c>
      <c r="G8" s="4">
        <v>0.32418143712885739</v>
      </c>
      <c r="H8" s="4">
        <v>0.52234466485675468</v>
      </c>
      <c r="I8" s="4">
        <v>0.43914117477549691</v>
      </c>
      <c r="J8" s="5">
        <v>4.8627215569328612</v>
      </c>
      <c r="K8">
        <v>8595</v>
      </c>
      <c r="L8">
        <v>87845</v>
      </c>
      <c r="M8">
        <v>101873</v>
      </c>
      <c r="N8">
        <v>198313</v>
      </c>
      <c r="O8" s="6">
        <v>64462.5</v>
      </c>
      <c r="P8" s="6">
        <v>219612.5</v>
      </c>
      <c r="Q8" s="6">
        <v>122247.6</v>
      </c>
      <c r="R8" s="6">
        <v>406322.6</v>
      </c>
      <c r="S8" s="2">
        <v>39.225000000000001</v>
      </c>
      <c r="T8" s="2">
        <v>62.939777777777778</v>
      </c>
      <c r="U8" s="2">
        <v>25.054333333333329</v>
      </c>
      <c r="V8" s="2">
        <v>127.2191111111111</v>
      </c>
      <c r="W8">
        <v>103</v>
      </c>
      <c r="X8">
        <v>0</v>
      </c>
      <c r="Y8">
        <v>0</v>
      </c>
      <c r="Z8">
        <v>103</v>
      </c>
      <c r="AA8" s="2">
        <v>5525768.7941063503</v>
      </c>
      <c r="AB8" s="6">
        <v>2492.8000000000002</v>
      </c>
      <c r="AC8" s="6">
        <v>0</v>
      </c>
      <c r="AD8" s="6">
        <v>0</v>
      </c>
      <c r="AE8" s="6">
        <v>2492.8000000000002</v>
      </c>
      <c r="AF8" s="3">
        <v>12.13266502352649</v>
      </c>
      <c r="AG8">
        <v>103</v>
      </c>
      <c r="AH8">
        <v>0</v>
      </c>
      <c r="AI8">
        <v>0</v>
      </c>
      <c r="AJ8">
        <v>103</v>
      </c>
      <c r="AK8" s="2">
        <v>11221869.01636146</v>
      </c>
      <c r="AL8" s="6">
        <v>791.52</v>
      </c>
      <c r="AM8" s="6">
        <v>0</v>
      </c>
      <c r="AN8" s="6">
        <v>0</v>
      </c>
      <c r="AO8" s="6">
        <v>791.52</v>
      </c>
      <c r="AP8" s="3">
        <v>0.45305444932349548</v>
      </c>
      <c r="AQ8">
        <v>22</v>
      </c>
      <c r="AR8">
        <v>0</v>
      </c>
      <c r="AS8">
        <v>0</v>
      </c>
      <c r="AT8">
        <v>22</v>
      </c>
      <c r="AU8" s="2">
        <v>218352.57519718079</v>
      </c>
      <c r="AV8" s="6">
        <v>190.52</v>
      </c>
      <c r="AW8" s="6">
        <v>0</v>
      </c>
      <c r="AX8" s="6">
        <v>0</v>
      </c>
      <c r="AY8" s="6">
        <v>190.52</v>
      </c>
      <c r="AZ8" s="3">
        <v>15.42284260542405</v>
      </c>
      <c r="BA8">
        <v>101</v>
      </c>
      <c r="BB8">
        <v>5</v>
      </c>
      <c r="BC8">
        <v>0</v>
      </c>
      <c r="BD8">
        <v>106</v>
      </c>
      <c r="BE8" s="2">
        <v>1899450.207313119</v>
      </c>
      <c r="BF8" s="6">
        <v>580.21500000000003</v>
      </c>
      <c r="BG8" s="6">
        <v>431.8</v>
      </c>
      <c r="BH8" s="6">
        <v>0</v>
      </c>
      <c r="BI8" s="6">
        <v>1012.015</v>
      </c>
      <c r="BJ8" s="3">
        <v>107.92537820281871</v>
      </c>
      <c r="BK8" s="6">
        <v>4055.0549999999998</v>
      </c>
      <c r="BL8" s="6">
        <v>431.8</v>
      </c>
      <c r="BM8" s="6">
        <v>0</v>
      </c>
      <c r="BN8" s="6">
        <v>4486.8549999999996</v>
      </c>
      <c r="BO8" s="3">
        <v>135.93394028109279</v>
      </c>
      <c r="BP8" s="7">
        <v>410809.45500000002</v>
      </c>
      <c r="BQ8" s="2">
        <v>78.945915417661155</v>
      </c>
      <c r="BR8" s="2">
        <v>342.09896680986498</v>
      </c>
    </row>
    <row r="9" spans="1:70" x14ac:dyDescent="0.3">
      <c r="A9">
        <v>1982</v>
      </c>
      <c r="B9" s="1">
        <v>696231</v>
      </c>
      <c r="C9" s="2">
        <v>20522766.34183614</v>
      </c>
      <c r="D9" s="3">
        <v>29.47694995172024</v>
      </c>
      <c r="E9" s="1">
        <v>417737</v>
      </c>
      <c r="F9" s="4">
        <v>0.50975903884978302</v>
      </c>
      <c r="G9" s="4">
        <v>0.33656166801190862</v>
      </c>
      <c r="H9" s="4">
        <v>0.53768876895079465</v>
      </c>
      <c r="I9" s="4">
        <v>0.45184226347632939</v>
      </c>
      <c r="J9" s="5">
        <v>5.0484250201786276</v>
      </c>
      <c r="K9">
        <v>9760</v>
      </c>
      <c r="L9">
        <v>91680</v>
      </c>
      <c r="M9">
        <v>102914</v>
      </c>
      <c r="N9">
        <v>204354</v>
      </c>
      <c r="O9" s="6">
        <v>73200</v>
      </c>
      <c r="P9" s="6">
        <v>229200</v>
      </c>
      <c r="Q9" s="6">
        <v>123496.8</v>
      </c>
      <c r="R9" s="6">
        <v>425896.8</v>
      </c>
      <c r="S9" s="2">
        <v>43.991666666666667</v>
      </c>
      <c r="T9" s="2">
        <v>64.987555555555559</v>
      </c>
      <c r="U9" s="2">
        <v>25.158999999999999</v>
      </c>
      <c r="V9" s="2">
        <v>134.13822222222231</v>
      </c>
      <c r="W9">
        <v>114</v>
      </c>
      <c r="X9">
        <v>0</v>
      </c>
      <c r="Y9">
        <v>0</v>
      </c>
      <c r="Z9">
        <v>114</v>
      </c>
      <c r="AA9" s="2">
        <v>6188950.1690201182</v>
      </c>
      <c r="AB9" s="6">
        <v>2775.1</v>
      </c>
      <c r="AC9" s="6">
        <v>0</v>
      </c>
      <c r="AD9" s="6">
        <v>0</v>
      </c>
      <c r="AE9" s="6">
        <v>2775.1</v>
      </c>
      <c r="AF9" s="3">
        <v>14.19822247781687</v>
      </c>
      <c r="AG9">
        <v>114</v>
      </c>
      <c r="AH9">
        <v>0</v>
      </c>
      <c r="AI9">
        <v>0</v>
      </c>
      <c r="AJ9">
        <v>114</v>
      </c>
      <c r="AK9" s="2">
        <v>12095480.195102571</v>
      </c>
      <c r="AL9" s="6">
        <v>884.76</v>
      </c>
      <c r="AM9" s="6">
        <v>0</v>
      </c>
      <c r="AN9" s="6">
        <v>0</v>
      </c>
      <c r="AO9" s="6">
        <v>884.76</v>
      </c>
      <c r="AP9" s="3">
        <v>0.51428917358580772</v>
      </c>
      <c r="AQ9">
        <v>24</v>
      </c>
      <c r="AR9">
        <v>0</v>
      </c>
      <c r="AS9">
        <v>0</v>
      </c>
      <c r="AT9">
        <v>24</v>
      </c>
      <c r="AU9" s="2">
        <v>241396.71637124851</v>
      </c>
      <c r="AV9" s="6">
        <v>234.24</v>
      </c>
      <c r="AW9" s="6">
        <v>0</v>
      </c>
      <c r="AX9" s="6">
        <v>0</v>
      </c>
      <c r="AY9" s="6">
        <v>234.24</v>
      </c>
      <c r="AZ9" s="3">
        <v>17.930333084090979</v>
      </c>
      <c r="BA9">
        <v>105</v>
      </c>
      <c r="BB9">
        <v>5</v>
      </c>
      <c r="BC9">
        <v>0</v>
      </c>
      <c r="BD9">
        <v>110</v>
      </c>
      <c r="BE9" s="2">
        <v>1996939.261342197</v>
      </c>
      <c r="BF9" s="6">
        <v>605.16</v>
      </c>
      <c r="BG9" s="6">
        <v>433.75</v>
      </c>
      <c r="BH9" s="6">
        <v>0</v>
      </c>
      <c r="BI9" s="6">
        <v>1038.9100000000001</v>
      </c>
      <c r="BJ9" s="3">
        <v>123.7377675796985</v>
      </c>
      <c r="BK9" s="6">
        <v>4499.26</v>
      </c>
      <c r="BL9" s="6">
        <v>433.75</v>
      </c>
      <c r="BM9" s="6">
        <v>0</v>
      </c>
      <c r="BN9" s="6">
        <v>4933.01</v>
      </c>
      <c r="BO9" s="3">
        <v>156.38061231519211</v>
      </c>
      <c r="BP9" s="7">
        <v>430829.81</v>
      </c>
      <c r="BQ9" s="2">
        <v>87.155650361224303</v>
      </c>
      <c r="BR9" s="2">
        <v>377.67448489863858</v>
      </c>
    </row>
    <row r="10" spans="1:70" x14ac:dyDescent="0.3">
      <c r="A10">
        <v>1983</v>
      </c>
      <c r="B10" s="1">
        <v>709888</v>
      </c>
      <c r="C10" s="2">
        <v>22258985.48514178</v>
      </c>
      <c r="D10" s="3">
        <v>31.355630022118671</v>
      </c>
      <c r="E10" s="1">
        <v>425931</v>
      </c>
      <c r="F10" s="4">
        <v>0.51902585895571829</v>
      </c>
      <c r="G10" s="4">
        <v>0.34830916397532341</v>
      </c>
      <c r="H10" s="4">
        <v>0.54993269959495772</v>
      </c>
      <c r="I10" s="4">
        <v>0.46325610026735109</v>
      </c>
      <c r="J10" s="5">
        <v>5.2246374596298502</v>
      </c>
      <c r="K10">
        <v>10997</v>
      </c>
      <c r="L10">
        <v>95520</v>
      </c>
      <c r="M10">
        <v>103926</v>
      </c>
      <c r="N10">
        <v>210443</v>
      </c>
      <c r="O10" s="6">
        <v>82477.5</v>
      </c>
      <c r="P10" s="6">
        <v>238800</v>
      </c>
      <c r="Q10" s="6">
        <v>124711.2</v>
      </c>
      <c r="R10" s="6">
        <v>445988.7</v>
      </c>
      <c r="S10" s="2">
        <v>48.961666666666673</v>
      </c>
      <c r="T10" s="2">
        <v>67.00355555555555</v>
      </c>
      <c r="U10" s="2">
        <v>25.265799999999999</v>
      </c>
      <c r="V10" s="2">
        <v>141.23102222222221</v>
      </c>
      <c r="W10">
        <v>125</v>
      </c>
      <c r="X10">
        <v>0</v>
      </c>
      <c r="Y10">
        <v>0</v>
      </c>
      <c r="Z10">
        <v>125</v>
      </c>
      <c r="AA10" s="2">
        <v>6879392.4645191133</v>
      </c>
      <c r="AB10" s="6">
        <v>3049.2</v>
      </c>
      <c r="AC10" s="6">
        <v>0</v>
      </c>
      <c r="AD10" s="6">
        <v>0</v>
      </c>
      <c r="AE10" s="6">
        <v>3049.2</v>
      </c>
      <c r="AF10" s="3">
        <v>16.339241100763889</v>
      </c>
      <c r="AG10">
        <v>125</v>
      </c>
      <c r="AH10">
        <v>0</v>
      </c>
      <c r="AI10">
        <v>0</v>
      </c>
      <c r="AJ10">
        <v>125</v>
      </c>
      <c r="AK10" s="2">
        <v>13016813.917636</v>
      </c>
      <c r="AL10" s="6">
        <v>963.92</v>
      </c>
      <c r="AM10" s="6">
        <v>0</v>
      </c>
      <c r="AN10" s="6">
        <v>0</v>
      </c>
      <c r="AO10" s="6">
        <v>963.92</v>
      </c>
      <c r="AP10" s="3">
        <v>0.57902778333223415</v>
      </c>
      <c r="AQ10">
        <v>26</v>
      </c>
      <c r="AR10">
        <v>0</v>
      </c>
      <c r="AS10">
        <v>0</v>
      </c>
      <c r="AT10">
        <v>26</v>
      </c>
      <c r="AU10" s="2">
        <v>266206.41380510258</v>
      </c>
      <c r="AV10" s="6">
        <v>236.6</v>
      </c>
      <c r="AW10" s="6">
        <v>0</v>
      </c>
      <c r="AX10" s="6">
        <v>0</v>
      </c>
      <c r="AY10" s="6">
        <v>236.6</v>
      </c>
      <c r="AZ10" s="3">
        <v>20.504270685063741</v>
      </c>
      <c r="BA10">
        <v>110</v>
      </c>
      <c r="BB10">
        <v>5</v>
      </c>
      <c r="BC10">
        <v>0</v>
      </c>
      <c r="BD10">
        <v>115</v>
      </c>
      <c r="BE10" s="2">
        <v>2096572.6891815581</v>
      </c>
      <c r="BF10" s="6">
        <v>614.82000000000005</v>
      </c>
      <c r="BG10" s="6">
        <v>432.45</v>
      </c>
      <c r="BH10" s="6">
        <v>0</v>
      </c>
      <c r="BI10" s="6">
        <v>1047.27</v>
      </c>
      <c r="BJ10" s="3">
        <v>139.86791436092889</v>
      </c>
      <c r="BK10" s="6">
        <v>4864.54</v>
      </c>
      <c r="BL10" s="6">
        <v>432.45</v>
      </c>
      <c r="BM10" s="6">
        <v>0</v>
      </c>
      <c r="BN10" s="6">
        <v>5296.99</v>
      </c>
      <c r="BO10" s="3">
        <v>177.29045393008869</v>
      </c>
      <c r="BP10" s="7">
        <v>451285.69</v>
      </c>
      <c r="BQ10" s="2">
        <v>95.556442845693297</v>
      </c>
      <c r="BR10" s="2">
        <v>414.07791899800429</v>
      </c>
    </row>
    <row r="11" spans="1:70" x14ac:dyDescent="0.3">
      <c r="A11">
        <v>1984</v>
      </c>
      <c r="B11" s="1">
        <v>723534</v>
      </c>
      <c r="C11" s="2">
        <v>24087537.69220145</v>
      </c>
      <c r="D11" s="3">
        <v>33.291507644701497</v>
      </c>
      <c r="E11" s="1">
        <v>434118</v>
      </c>
      <c r="F11" s="4">
        <v>0.528021446750775</v>
      </c>
      <c r="G11" s="4">
        <v>0.35945734428615389</v>
      </c>
      <c r="H11" s="4">
        <v>0.55884816628108669</v>
      </c>
      <c r="I11" s="4">
        <v>0.47336657082577599</v>
      </c>
      <c r="J11" s="5">
        <v>5.3918601642923081</v>
      </c>
      <c r="K11">
        <v>12307</v>
      </c>
      <c r="L11">
        <v>99382</v>
      </c>
      <c r="M11">
        <v>104895</v>
      </c>
      <c r="N11">
        <v>216584</v>
      </c>
      <c r="O11" s="6">
        <v>92302.5</v>
      </c>
      <c r="P11" s="6">
        <v>248455</v>
      </c>
      <c r="Q11" s="6">
        <v>125874</v>
      </c>
      <c r="R11" s="6">
        <v>466631.5</v>
      </c>
      <c r="S11" s="2">
        <v>54.133333333333333</v>
      </c>
      <c r="T11" s="2">
        <v>68.99711111111111</v>
      </c>
      <c r="U11" s="2">
        <v>25.370533333333331</v>
      </c>
      <c r="V11" s="2">
        <v>148.50097777777779</v>
      </c>
      <c r="W11">
        <v>136</v>
      </c>
      <c r="X11">
        <v>0</v>
      </c>
      <c r="Y11">
        <v>0</v>
      </c>
      <c r="Z11">
        <v>136</v>
      </c>
      <c r="AA11" s="2">
        <v>7602964.3491436923</v>
      </c>
      <c r="AB11" s="6">
        <v>3300.6</v>
      </c>
      <c r="AC11" s="6">
        <v>0</v>
      </c>
      <c r="AD11" s="6">
        <v>0</v>
      </c>
      <c r="AE11" s="6">
        <v>3300.6</v>
      </c>
      <c r="AF11" s="3">
        <v>18.554849637818361</v>
      </c>
      <c r="AG11">
        <v>136</v>
      </c>
      <c r="AH11">
        <v>0</v>
      </c>
      <c r="AI11">
        <v>0</v>
      </c>
      <c r="AJ11">
        <v>136</v>
      </c>
      <c r="AK11" s="2">
        <v>13992958.318323821</v>
      </c>
      <c r="AL11" s="6">
        <v>1051.5999999999999</v>
      </c>
      <c r="AM11" s="6">
        <v>0</v>
      </c>
      <c r="AN11" s="6">
        <v>0</v>
      </c>
      <c r="AO11" s="6">
        <v>1051.5999999999999</v>
      </c>
      <c r="AP11" s="3">
        <v>0.64726310170102552</v>
      </c>
      <c r="AQ11">
        <v>28</v>
      </c>
      <c r="AR11">
        <v>0</v>
      </c>
      <c r="AS11">
        <v>0</v>
      </c>
      <c r="AT11">
        <v>28</v>
      </c>
      <c r="AU11" s="2">
        <v>292816.10169484501</v>
      </c>
      <c r="AV11" s="6">
        <v>279.44</v>
      </c>
      <c r="AW11" s="6">
        <v>0</v>
      </c>
      <c r="AX11" s="6">
        <v>0</v>
      </c>
      <c r="AY11" s="6">
        <v>279.44</v>
      </c>
      <c r="AZ11" s="3">
        <v>23.14423662369656</v>
      </c>
      <c r="BA11">
        <v>114</v>
      </c>
      <c r="BB11">
        <v>6</v>
      </c>
      <c r="BC11">
        <v>0</v>
      </c>
      <c r="BD11">
        <v>120</v>
      </c>
      <c r="BE11" s="2">
        <v>2198798.9230390992</v>
      </c>
      <c r="BF11" s="6">
        <v>661.09500000000003</v>
      </c>
      <c r="BG11" s="6">
        <v>515.29999999999995</v>
      </c>
      <c r="BH11" s="6">
        <v>0</v>
      </c>
      <c r="BI11" s="6">
        <v>1176.395</v>
      </c>
      <c r="BJ11" s="3">
        <v>156.3188658115057</v>
      </c>
      <c r="BK11" s="6">
        <v>5292.7349999999997</v>
      </c>
      <c r="BL11" s="6">
        <v>515.29999999999995</v>
      </c>
      <c r="BM11" s="6">
        <v>0</v>
      </c>
      <c r="BN11" s="6">
        <v>5808.0349999999999</v>
      </c>
      <c r="BO11" s="3">
        <v>198.6652151747216</v>
      </c>
      <c r="BP11" s="7">
        <v>472439.53499999997</v>
      </c>
      <c r="BQ11" s="2">
        <v>104.1498578857498</v>
      </c>
      <c r="BR11" s="2">
        <v>451.31605083824923</v>
      </c>
    </row>
    <row r="12" spans="1:70" x14ac:dyDescent="0.3">
      <c r="A12">
        <v>1985</v>
      </c>
      <c r="B12" s="1">
        <v>737108</v>
      </c>
      <c r="C12" s="2">
        <v>26022602.905550178</v>
      </c>
      <c r="D12" s="3">
        <v>35.30365008323092</v>
      </c>
      <c r="E12" s="1">
        <v>442263</v>
      </c>
      <c r="F12" s="4">
        <v>0.5368412526106896</v>
      </c>
      <c r="G12" s="4">
        <v>0.3700353664135157</v>
      </c>
      <c r="H12" s="4">
        <v>0.56463790464228247</v>
      </c>
      <c r="I12" s="4">
        <v>0.48226570736374791</v>
      </c>
      <c r="J12" s="5">
        <v>5.5505304962027351</v>
      </c>
      <c r="K12">
        <v>13693</v>
      </c>
      <c r="L12">
        <v>103278</v>
      </c>
      <c r="M12">
        <v>105804</v>
      </c>
      <c r="N12">
        <v>222775</v>
      </c>
      <c r="O12" s="6">
        <v>102697.5</v>
      </c>
      <c r="P12" s="6">
        <v>258195</v>
      </c>
      <c r="Q12" s="6">
        <v>126964.8</v>
      </c>
      <c r="R12" s="6">
        <v>487857.3</v>
      </c>
      <c r="S12" s="2">
        <v>59.5</v>
      </c>
      <c r="T12" s="2">
        <v>70.971111111111114</v>
      </c>
      <c r="U12" s="2">
        <v>25.468733333333329</v>
      </c>
      <c r="V12" s="2">
        <v>155.9398444444445</v>
      </c>
      <c r="W12">
        <v>146</v>
      </c>
      <c r="X12">
        <v>0</v>
      </c>
      <c r="Y12">
        <v>0</v>
      </c>
      <c r="Z12">
        <v>146</v>
      </c>
      <c r="AA12" s="2">
        <v>8365588.2283664467</v>
      </c>
      <c r="AB12" s="6">
        <v>3596.9</v>
      </c>
      <c r="AC12" s="6">
        <v>0</v>
      </c>
      <c r="AD12" s="6">
        <v>0</v>
      </c>
      <c r="AE12" s="6">
        <v>3596.9</v>
      </c>
      <c r="AF12" s="3">
        <v>20.844938465112691</v>
      </c>
      <c r="AG12">
        <v>146</v>
      </c>
      <c r="AH12">
        <v>0</v>
      </c>
      <c r="AI12">
        <v>0</v>
      </c>
      <c r="AJ12">
        <v>146</v>
      </c>
      <c r="AK12" s="2">
        <v>15031878.58281943</v>
      </c>
      <c r="AL12" s="6">
        <v>1134.1600000000001</v>
      </c>
      <c r="AM12" s="6">
        <v>0</v>
      </c>
      <c r="AN12" s="6">
        <v>0</v>
      </c>
      <c r="AO12" s="6">
        <v>1134.1600000000001</v>
      </c>
      <c r="AP12" s="3">
        <v>0.71900716772758666</v>
      </c>
      <c r="AQ12">
        <v>31</v>
      </c>
      <c r="AR12">
        <v>0</v>
      </c>
      <c r="AS12">
        <v>0</v>
      </c>
      <c r="AT12">
        <v>31</v>
      </c>
      <c r="AU12" s="2">
        <v>321170.93229547702</v>
      </c>
      <c r="AV12" s="6">
        <v>295.74</v>
      </c>
      <c r="AW12" s="6">
        <v>0</v>
      </c>
      <c r="AX12" s="6">
        <v>0</v>
      </c>
      <c r="AY12" s="6">
        <v>295.74</v>
      </c>
      <c r="AZ12" s="3">
        <v>25.850795647680421</v>
      </c>
      <c r="BA12">
        <v>119</v>
      </c>
      <c r="BB12">
        <v>6</v>
      </c>
      <c r="BC12">
        <v>0</v>
      </c>
      <c r="BD12">
        <v>125</v>
      </c>
      <c r="BE12" s="2">
        <v>2303965.1620688201</v>
      </c>
      <c r="BF12" s="6">
        <v>678.13499999999999</v>
      </c>
      <c r="BG12" s="6">
        <v>503.6</v>
      </c>
      <c r="BH12" s="6">
        <v>0</v>
      </c>
      <c r="BI12" s="6">
        <v>1181.7349999999999</v>
      </c>
      <c r="BJ12" s="3">
        <v>173.10012023572111</v>
      </c>
      <c r="BK12" s="6">
        <v>5704.9350000000004</v>
      </c>
      <c r="BL12" s="6">
        <v>503.6</v>
      </c>
      <c r="BM12" s="6">
        <v>0</v>
      </c>
      <c r="BN12" s="6">
        <v>6208.5349999999999</v>
      </c>
      <c r="BO12" s="3">
        <v>220.51486151624181</v>
      </c>
      <c r="BP12" s="7">
        <v>494065.83500000002</v>
      </c>
      <c r="BQ12" s="2">
        <v>112.9364117882059</v>
      </c>
      <c r="BR12" s="2">
        <v>489.39111774889221</v>
      </c>
    </row>
    <row r="13" spans="1:70" x14ac:dyDescent="0.3">
      <c r="A13">
        <v>1986</v>
      </c>
      <c r="B13" s="1">
        <v>750507</v>
      </c>
      <c r="C13" s="2">
        <v>28077947.467889551</v>
      </c>
      <c r="D13" s="3">
        <v>37.411972796908692</v>
      </c>
      <c r="E13" s="1">
        <v>450302</v>
      </c>
      <c r="F13" s="4">
        <v>0.54556525236735365</v>
      </c>
      <c r="G13" s="4">
        <v>0.38006059549767068</v>
      </c>
      <c r="H13" s="4">
        <v>0.56775173471251938</v>
      </c>
      <c r="I13" s="4">
        <v>0.4901014702998418</v>
      </c>
      <c r="J13" s="5">
        <v>5.7009089324650608</v>
      </c>
      <c r="K13">
        <v>15155</v>
      </c>
      <c r="L13">
        <v>107208</v>
      </c>
      <c r="M13">
        <v>106625</v>
      </c>
      <c r="N13">
        <v>228988</v>
      </c>
      <c r="O13" s="6">
        <v>113662.5</v>
      </c>
      <c r="P13" s="6">
        <v>268020</v>
      </c>
      <c r="Q13" s="6">
        <v>127950</v>
      </c>
      <c r="R13" s="6">
        <v>509632.5</v>
      </c>
      <c r="S13" s="2">
        <v>65.053333333333342</v>
      </c>
      <c r="T13" s="2">
        <v>72.920666666666676</v>
      </c>
      <c r="U13" s="2">
        <v>25.554933333333331</v>
      </c>
      <c r="V13" s="2">
        <v>163.5289333333333</v>
      </c>
      <c r="W13">
        <v>158</v>
      </c>
      <c r="X13">
        <v>0</v>
      </c>
      <c r="Y13">
        <v>0</v>
      </c>
      <c r="Z13">
        <v>158</v>
      </c>
      <c r="AA13" s="2">
        <v>9173031.3514194302</v>
      </c>
      <c r="AB13" s="6">
        <v>3913.9</v>
      </c>
      <c r="AC13" s="6">
        <v>0</v>
      </c>
      <c r="AD13" s="6">
        <v>0</v>
      </c>
      <c r="AE13" s="6">
        <v>3913.9</v>
      </c>
      <c r="AF13" s="3">
        <v>23.210142814455409</v>
      </c>
      <c r="AG13">
        <v>158</v>
      </c>
      <c r="AH13">
        <v>0</v>
      </c>
      <c r="AI13">
        <v>0</v>
      </c>
      <c r="AJ13">
        <v>158</v>
      </c>
      <c r="AK13" s="2">
        <v>16141388.01609154</v>
      </c>
      <c r="AL13" s="6">
        <v>1219.5999999999999</v>
      </c>
      <c r="AM13" s="6">
        <v>0</v>
      </c>
      <c r="AN13" s="6">
        <v>0</v>
      </c>
      <c r="AO13" s="6">
        <v>1219.5999999999999</v>
      </c>
      <c r="AP13" s="3">
        <v>0.79429143458636997</v>
      </c>
      <c r="AQ13">
        <v>33</v>
      </c>
      <c r="AR13">
        <v>0</v>
      </c>
      <c r="AS13">
        <v>0</v>
      </c>
      <c r="AT13">
        <v>33</v>
      </c>
      <c r="AU13" s="2">
        <v>351167.41445912229</v>
      </c>
      <c r="AV13" s="6">
        <v>322.08</v>
      </c>
      <c r="AW13" s="6">
        <v>0</v>
      </c>
      <c r="AX13" s="6">
        <v>0</v>
      </c>
      <c r="AY13" s="6">
        <v>322.08</v>
      </c>
      <c r="AZ13" s="3">
        <v>28.62545609039654</v>
      </c>
      <c r="BA13">
        <v>125</v>
      </c>
      <c r="BB13">
        <v>6</v>
      </c>
      <c r="BC13">
        <v>0</v>
      </c>
      <c r="BD13">
        <v>131</v>
      </c>
      <c r="BE13" s="2">
        <v>2412360.6859194571</v>
      </c>
      <c r="BF13" s="6">
        <v>726.6</v>
      </c>
      <c r="BG13" s="6">
        <v>512.70000000000005</v>
      </c>
      <c r="BH13" s="6">
        <v>0</v>
      </c>
      <c r="BI13" s="6">
        <v>1239.3</v>
      </c>
      <c r="BJ13" s="3">
        <v>190.22725732881071</v>
      </c>
      <c r="BK13" s="6">
        <v>6182.18</v>
      </c>
      <c r="BL13" s="6">
        <v>512.70000000000005</v>
      </c>
      <c r="BM13" s="6">
        <v>0</v>
      </c>
      <c r="BN13" s="6">
        <v>6694.88</v>
      </c>
      <c r="BO13" s="3">
        <v>242.85714766824901</v>
      </c>
      <c r="BP13" s="7">
        <v>516327.38</v>
      </c>
      <c r="BQ13" s="2">
        <v>121.9158243004747</v>
      </c>
      <c r="BR13" s="2">
        <v>528.30190530205698</v>
      </c>
    </row>
    <row r="14" spans="1:70" x14ac:dyDescent="0.3">
      <c r="A14">
        <v>1987</v>
      </c>
      <c r="B14" s="1">
        <v>763607</v>
      </c>
      <c r="C14" s="2">
        <v>30266452.568387039</v>
      </c>
      <c r="D14" s="3">
        <v>39.636164373017849</v>
      </c>
      <c r="E14" s="1">
        <v>458161</v>
      </c>
      <c r="F14" s="4">
        <v>0.55425611755385551</v>
      </c>
      <c r="G14" s="4">
        <v>0.38954396899253768</v>
      </c>
      <c r="H14" s="4">
        <v>0.56873383256688903</v>
      </c>
      <c r="I14" s="4">
        <v>0.49704077156920101</v>
      </c>
      <c r="J14" s="5">
        <v>5.8431595348880663</v>
      </c>
      <c r="K14">
        <v>16693</v>
      </c>
      <c r="L14">
        <v>111158</v>
      </c>
      <c r="M14">
        <v>107328</v>
      </c>
      <c r="N14">
        <v>235179</v>
      </c>
      <c r="O14" s="6">
        <v>125197.5</v>
      </c>
      <c r="P14" s="6">
        <v>277895</v>
      </c>
      <c r="Q14" s="6">
        <v>128793.60000000001</v>
      </c>
      <c r="R14" s="6">
        <v>531886.1</v>
      </c>
      <c r="S14" s="2">
        <v>70.778333333333336</v>
      </c>
      <c r="T14" s="2">
        <v>74.837111111111113</v>
      </c>
      <c r="U14" s="2">
        <v>25.62426666666666</v>
      </c>
      <c r="V14" s="2">
        <v>171.23971111111109</v>
      </c>
      <c r="W14">
        <v>169</v>
      </c>
      <c r="X14">
        <v>0</v>
      </c>
      <c r="Y14">
        <v>0</v>
      </c>
      <c r="Z14">
        <v>169</v>
      </c>
      <c r="AA14" s="2">
        <v>10030713.10708065</v>
      </c>
      <c r="AB14" s="6">
        <v>4133.1000000000004</v>
      </c>
      <c r="AC14" s="6">
        <v>0</v>
      </c>
      <c r="AD14" s="6">
        <v>0</v>
      </c>
      <c r="AE14" s="6">
        <v>4133.1000000000004</v>
      </c>
      <c r="AF14" s="3">
        <v>25.651648407656349</v>
      </c>
      <c r="AG14">
        <v>169</v>
      </c>
      <c r="AH14">
        <v>0</v>
      </c>
      <c r="AI14">
        <v>0</v>
      </c>
      <c r="AJ14">
        <v>169</v>
      </c>
      <c r="AK14" s="2">
        <v>17328857.29911175</v>
      </c>
      <c r="AL14" s="6">
        <v>1308.76</v>
      </c>
      <c r="AM14" s="6">
        <v>0</v>
      </c>
      <c r="AN14" s="6">
        <v>0</v>
      </c>
      <c r="AO14" s="6">
        <v>1308.76</v>
      </c>
      <c r="AP14" s="3">
        <v>0.87316217803275054</v>
      </c>
      <c r="AQ14">
        <v>36</v>
      </c>
      <c r="AR14">
        <v>0</v>
      </c>
      <c r="AS14">
        <v>0</v>
      </c>
      <c r="AT14">
        <v>36</v>
      </c>
      <c r="AU14" s="2">
        <v>382649.54927667952</v>
      </c>
      <c r="AV14" s="6">
        <v>311.76</v>
      </c>
      <c r="AW14" s="6">
        <v>0</v>
      </c>
      <c r="AX14" s="6">
        <v>0</v>
      </c>
      <c r="AY14" s="6">
        <v>311.76</v>
      </c>
      <c r="AZ14" s="3">
        <v>31.4703939273634</v>
      </c>
      <c r="BA14">
        <v>129</v>
      </c>
      <c r="BB14">
        <v>6</v>
      </c>
      <c r="BC14">
        <v>0</v>
      </c>
      <c r="BD14">
        <v>135</v>
      </c>
      <c r="BE14" s="2">
        <v>2524232.6129179699</v>
      </c>
      <c r="BF14" s="6">
        <v>740.61</v>
      </c>
      <c r="BG14" s="6">
        <v>511.4</v>
      </c>
      <c r="BH14" s="6">
        <v>0</v>
      </c>
      <c r="BI14" s="6">
        <v>1252.01</v>
      </c>
      <c r="BJ14" s="3">
        <v>207.71990456800839</v>
      </c>
      <c r="BK14" s="6">
        <v>6494.23</v>
      </c>
      <c r="BL14" s="6">
        <v>511.4</v>
      </c>
      <c r="BM14" s="6">
        <v>0</v>
      </c>
      <c r="BN14" s="6">
        <v>7005.63</v>
      </c>
      <c r="BO14" s="3">
        <v>265.71510908106092</v>
      </c>
      <c r="BP14" s="7">
        <v>538891.73</v>
      </c>
      <c r="BQ14" s="2">
        <v>131.08644605765161</v>
      </c>
      <c r="BR14" s="2">
        <v>568.04126624982371</v>
      </c>
    </row>
    <row r="15" spans="1:70" x14ac:dyDescent="0.3">
      <c r="A15">
        <v>1988</v>
      </c>
      <c r="B15" s="1">
        <v>776307</v>
      </c>
      <c r="C15" s="2">
        <v>32599229.897721019</v>
      </c>
      <c r="D15" s="3">
        <v>41.992703785642817</v>
      </c>
      <c r="E15" s="1">
        <v>465782</v>
      </c>
      <c r="F15" s="4">
        <v>0.56295129120900955</v>
      </c>
      <c r="G15" s="4">
        <v>0.39849413781285808</v>
      </c>
      <c r="H15" s="4">
        <v>0.56812130293224905</v>
      </c>
      <c r="I15" s="4">
        <v>0.50324323288376183</v>
      </c>
      <c r="J15" s="5">
        <v>5.9774120671928719</v>
      </c>
      <c r="K15">
        <v>18307</v>
      </c>
      <c r="L15">
        <v>115104</v>
      </c>
      <c r="M15">
        <v>107884</v>
      </c>
      <c r="N15">
        <v>241295</v>
      </c>
      <c r="O15" s="6">
        <v>137302.5</v>
      </c>
      <c r="P15" s="6">
        <v>287760</v>
      </c>
      <c r="Q15" s="6">
        <v>129460.8</v>
      </c>
      <c r="R15" s="6">
        <v>554523.30000000005</v>
      </c>
      <c r="S15" s="2">
        <v>76.648333333333326</v>
      </c>
      <c r="T15" s="2">
        <v>76.709333333333333</v>
      </c>
      <c r="U15" s="2">
        <v>25.674666666666671</v>
      </c>
      <c r="V15" s="2">
        <v>179.0323333333333</v>
      </c>
      <c r="W15">
        <v>179</v>
      </c>
      <c r="X15">
        <v>0</v>
      </c>
      <c r="Y15">
        <v>0</v>
      </c>
      <c r="Z15">
        <v>179</v>
      </c>
      <c r="AA15" s="2">
        <v>10943385.59417163</v>
      </c>
      <c r="AB15" s="6">
        <v>4430</v>
      </c>
      <c r="AC15" s="6">
        <v>0</v>
      </c>
      <c r="AD15" s="6">
        <v>0</v>
      </c>
      <c r="AE15" s="6">
        <v>4430</v>
      </c>
      <c r="AF15" s="3">
        <v>28.17107111340146</v>
      </c>
      <c r="AG15">
        <v>179</v>
      </c>
      <c r="AH15">
        <v>0</v>
      </c>
      <c r="AI15">
        <v>0</v>
      </c>
      <c r="AJ15">
        <v>179</v>
      </c>
      <c r="AK15" s="2">
        <v>18600561.751735911</v>
      </c>
      <c r="AL15" s="6">
        <v>1398.16</v>
      </c>
      <c r="AM15" s="6">
        <v>0</v>
      </c>
      <c r="AN15" s="6">
        <v>0</v>
      </c>
      <c r="AO15" s="6">
        <v>1398.16</v>
      </c>
      <c r="AP15" s="3">
        <v>0.95567771296510262</v>
      </c>
      <c r="AQ15">
        <v>39</v>
      </c>
      <c r="AR15">
        <v>0</v>
      </c>
      <c r="AS15">
        <v>0</v>
      </c>
      <c r="AT15">
        <v>39</v>
      </c>
      <c r="AU15" s="2">
        <v>415437.94359318598</v>
      </c>
      <c r="AV15" s="6">
        <v>363.48</v>
      </c>
      <c r="AW15" s="6">
        <v>0</v>
      </c>
      <c r="AX15" s="6">
        <v>0</v>
      </c>
      <c r="AY15" s="6">
        <v>363.48</v>
      </c>
      <c r="AZ15" s="3">
        <v>34.388282426841052</v>
      </c>
      <c r="BA15">
        <v>135</v>
      </c>
      <c r="BB15">
        <v>6</v>
      </c>
      <c r="BC15">
        <v>0</v>
      </c>
      <c r="BD15">
        <v>141</v>
      </c>
      <c r="BE15" s="2">
        <v>2639844.6082203048</v>
      </c>
      <c r="BF15" s="6">
        <v>773.91</v>
      </c>
      <c r="BG15" s="6">
        <v>511.4</v>
      </c>
      <c r="BH15" s="6">
        <v>0</v>
      </c>
      <c r="BI15" s="6">
        <v>1285.31</v>
      </c>
      <c r="BJ15" s="3">
        <v>225.60050087505991</v>
      </c>
      <c r="BK15" s="6">
        <v>6965.55</v>
      </c>
      <c r="BL15" s="6">
        <v>511.4</v>
      </c>
      <c r="BM15" s="6">
        <v>0</v>
      </c>
      <c r="BN15" s="6">
        <v>7476.95</v>
      </c>
      <c r="BO15" s="3">
        <v>289.11553212826738</v>
      </c>
      <c r="BP15" s="7">
        <v>562000.25</v>
      </c>
      <c r="BQ15" s="2">
        <v>140.44435963848019</v>
      </c>
      <c r="BR15" s="2">
        <v>608.59222510008101</v>
      </c>
    </row>
    <row r="16" spans="1:70" x14ac:dyDescent="0.3">
      <c r="A16">
        <v>1989</v>
      </c>
      <c r="B16" s="1">
        <v>788571</v>
      </c>
      <c r="C16" s="2">
        <v>35084218.885654561</v>
      </c>
      <c r="D16" s="3">
        <v>44.490881462359837</v>
      </c>
      <c r="E16" s="1">
        <v>473140</v>
      </c>
      <c r="F16" s="4">
        <v>0.57165469342867081</v>
      </c>
      <c r="G16" s="4">
        <v>0.40692382071462391</v>
      </c>
      <c r="H16" s="4">
        <v>0.56639285478297019</v>
      </c>
      <c r="I16" s="4">
        <v>0.50884817081445588</v>
      </c>
      <c r="J16" s="5">
        <v>6.1038573107193574</v>
      </c>
      <c r="K16">
        <v>19984</v>
      </c>
      <c r="L16">
        <v>119006</v>
      </c>
      <c r="M16">
        <v>108278</v>
      </c>
      <c r="N16">
        <v>247268</v>
      </c>
      <c r="O16" s="6">
        <v>149880</v>
      </c>
      <c r="P16" s="6">
        <v>297515</v>
      </c>
      <c r="Q16" s="6">
        <v>129933.6</v>
      </c>
      <c r="R16" s="6">
        <v>577328.6</v>
      </c>
      <c r="S16" s="2">
        <v>82.64</v>
      </c>
      <c r="T16" s="2">
        <v>78.529555555555561</v>
      </c>
      <c r="U16" s="2">
        <v>25.706533333333329</v>
      </c>
      <c r="V16" s="2">
        <v>186.87608888888889</v>
      </c>
      <c r="W16">
        <v>192</v>
      </c>
      <c r="X16">
        <v>0</v>
      </c>
      <c r="Y16">
        <v>0</v>
      </c>
      <c r="Z16">
        <v>192</v>
      </c>
      <c r="AA16" s="2">
        <v>11914749.039258691</v>
      </c>
      <c r="AB16" s="6">
        <v>4692.3</v>
      </c>
      <c r="AC16" s="6">
        <v>0</v>
      </c>
      <c r="AD16" s="6">
        <v>0</v>
      </c>
      <c r="AE16" s="6">
        <v>4692.3</v>
      </c>
      <c r="AF16" s="3">
        <v>30.770361677301661</v>
      </c>
      <c r="AG16">
        <v>192</v>
      </c>
      <c r="AH16">
        <v>0</v>
      </c>
      <c r="AI16">
        <v>0</v>
      </c>
      <c r="AJ16">
        <v>192</v>
      </c>
      <c r="AK16" s="2">
        <v>19960677.145310771</v>
      </c>
      <c r="AL16" s="6">
        <v>1486.4</v>
      </c>
      <c r="AM16" s="6">
        <v>0</v>
      </c>
      <c r="AN16" s="6">
        <v>0</v>
      </c>
      <c r="AO16" s="6">
        <v>1486.4</v>
      </c>
      <c r="AP16" s="3">
        <v>1.0419061716843001</v>
      </c>
      <c r="AQ16">
        <v>41</v>
      </c>
      <c r="AR16">
        <v>0</v>
      </c>
      <c r="AS16">
        <v>0</v>
      </c>
      <c r="AT16">
        <v>41</v>
      </c>
      <c r="AU16" s="2">
        <v>449395.06506890198</v>
      </c>
      <c r="AV16" s="6">
        <v>382.12</v>
      </c>
      <c r="AW16" s="6">
        <v>0</v>
      </c>
      <c r="AX16" s="6">
        <v>0</v>
      </c>
      <c r="AY16" s="6">
        <v>382.12</v>
      </c>
      <c r="AZ16" s="3">
        <v>37.38215933810131</v>
      </c>
      <c r="BA16">
        <v>140</v>
      </c>
      <c r="BB16">
        <v>7</v>
      </c>
      <c r="BC16">
        <v>0</v>
      </c>
      <c r="BD16">
        <v>147</v>
      </c>
      <c r="BE16" s="2">
        <v>2759397.6360161938</v>
      </c>
      <c r="BF16" s="6">
        <v>783.255</v>
      </c>
      <c r="BG16" s="6">
        <v>600.1</v>
      </c>
      <c r="BH16" s="6">
        <v>0</v>
      </c>
      <c r="BI16" s="6">
        <v>1383.355</v>
      </c>
      <c r="BJ16" s="3">
        <v>243.89335393711849</v>
      </c>
      <c r="BK16" s="6">
        <v>7344.0749999999998</v>
      </c>
      <c r="BL16" s="6">
        <v>600.1</v>
      </c>
      <c r="BM16" s="6">
        <v>0</v>
      </c>
      <c r="BN16" s="6">
        <v>7944.1750000000002</v>
      </c>
      <c r="BO16" s="3">
        <v>313.08778112420578</v>
      </c>
      <c r="BP16" s="7">
        <v>585272.77500000002</v>
      </c>
      <c r="BQ16" s="2">
        <v>149.98916100392839</v>
      </c>
      <c r="BR16" s="2">
        <v>649.95303101702314</v>
      </c>
    </row>
    <row r="17" spans="1:70" x14ac:dyDescent="0.3">
      <c r="A17">
        <v>1990</v>
      </c>
      <c r="B17" s="1">
        <v>800459</v>
      </c>
      <c r="C17" s="2">
        <v>39680470.142950743</v>
      </c>
      <c r="D17" s="3">
        <v>49.572145660115929</v>
      </c>
      <c r="E17" s="1">
        <v>480273</v>
      </c>
      <c r="F17" s="4">
        <v>0.58796716533706628</v>
      </c>
      <c r="G17" s="4">
        <v>0.41485810070887502</v>
      </c>
      <c r="H17" s="4">
        <v>0.56403632326899344</v>
      </c>
      <c r="I17" s="4">
        <v>0.51624188812279925</v>
      </c>
      <c r="J17" s="5">
        <v>6.2228715106331256</v>
      </c>
      <c r="K17">
        <v>22471</v>
      </c>
      <c r="L17">
        <v>125685</v>
      </c>
      <c r="M17">
        <v>107698</v>
      </c>
      <c r="N17">
        <v>255854</v>
      </c>
      <c r="O17" s="6">
        <v>168532.5</v>
      </c>
      <c r="P17" s="6">
        <v>314212.5</v>
      </c>
      <c r="Q17" s="6">
        <v>129237.6</v>
      </c>
      <c r="R17" s="6">
        <v>611982.6</v>
      </c>
      <c r="S17" s="2">
        <v>90.56</v>
      </c>
      <c r="T17" s="2">
        <v>80.949111111111094</v>
      </c>
      <c r="U17" s="2">
        <v>25.45633333333333</v>
      </c>
      <c r="V17" s="2">
        <v>196.96544444444439</v>
      </c>
      <c r="W17">
        <v>224</v>
      </c>
      <c r="X17">
        <v>0</v>
      </c>
      <c r="Y17">
        <v>0</v>
      </c>
      <c r="Z17">
        <v>224</v>
      </c>
      <c r="AA17" s="2">
        <v>14901677.719357399</v>
      </c>
      <c r="AB17" s="6">
        <v>5464.9</v>
      </c>
      <c r="AC17" s="6">
        <v>0</v>
      </c>
      <c r="AD17" s="6">
        <v>0</v>
      </c>
      <c r="AE17" s="6">
        <v>5464.9</v>
      </c>
      <c r="AF17" s="3">
        <v>33.45166847950977</v>
      </c>
      <c r="AG17">
        <v>224</v>
      </c>
      <c r="AH17">
        <v>0</v>
      </c>
      <c r="AI17">
        <v>0</v>
      </c>
      <c r="AJ17">
        <v>224</v>
      </c>
      <c r="AK17" s="2">
        <v>21411268.681887381</v>
      </c>
      <c r="AL17" s="6">
        <v>1740.04</v>
      </c>
      <c r="AM17" s="6">
        <v>0</v>
      </c>
      <c r="AN17" s="6">
        <v>0</v>
      </c>
      <c r="AO17" s="6">
        <v>1740.04</v>
      </c>
      <c r="AP17" s="3">
        <v>1.131922071431438</v>
      </c>
      <c r="AQ17">
        <v>44</v>
      </c>
      <c r="AR17">
        <v>0</v>
      </c>
      <c r="AS17">
        <v>0</v>
      </c>
      <c r="AT17">
        <v>44</v>
      </c>
      <c r="AU17" s="2">
        <v>484436.62734823639</v>
      </c>
      <c r="AV17" s="6">
        <v>439.12</v>
      </c>
      <c r="AW17" s="6">
        <v>0</v>
      </c>
      <c r="AX17" s="6">
        <v>0</v>
      </c>
      <c r="AY17" s="6">
        <v>439.12</v>
      </c>
      <c r="AZ17" s="3">
        <v>40.455240835936522</v>
      </c>
      <c r="BA17">
        <v>145</v>
      </c>
      <c r="BB17">
        <v>7</v>
      </c>
      <c r="BC17">
        <v>0</v>
      </c>
      <c r="BD17">
        <v>152</v>
      </c>
      <c r="BE17" s="2">
        <v>2883087.1143577248</v>
      </c>
      <c r="BF17" s="6">
        <v>821.49</v>
      </c>
      <c r="BG17" s="6">
        <v>604.65</v>
      </c>
      <c r="BH17" s="6">
        <v>0</v>
      </c>
      <c r="BI17" s="6">
        <v>1426.14</v>
      </c>
      <c r="BJ17" s="3">
        <v>262.6233376181325</v>
      </c>
      <c r="BK17" s="6">
        <v>8465.5499999999993</v>
      </c>
      <c r="BL17" s="6">
        <v>604.65</v>
      </c>
      <c r="BM17" s="6">
        <v>0</v>
      </c>
      <c r="BN17" s="6">
        <v>9070.2000000000007</v>
      </c>
      <c r="BO17" s="3">
        <v>337.66216900501018</v>
      </c>
      <c r="BP17" s="7">
        <v>621052.80000000005</v>
      </c>
      <c r="BQ17" s="2">
        <v>160.3882840348364</v>
      </c>
      <c r="BR17" s="2">
        <v>695.01589748429103</v>
      </c>
    </row>
    <row r="18" spans="1:70" x14ac:dyDescent="0.3">
      <c r="A18">
        <v>1991</v>
      </c>
      <c r="B18" s="1">
        <v>811819</v>
      </c>
      <c r="C18" s="2">
        <v>42604642.165427811</v>
      </c>
      <c r="D18" s="3">
        <v>52.480469372394353</v>
      </c>
      <c r="E18" s="1">
        <v>487089</v>
      </c>
      <c r="F18" s="4">
        <v>0.59655879806559498</v>
      </c>
      <c r="G18" s="4">
        <v>0.42229194630042421</v>
      </c>
      <c r="H18" s="4">
        <v>0.56097719942596658</v>
      </c>
      <c r="I18" s="4">
        <v>0.52087928715087572</v>
      </c>
      <c r="J18" s="5">
        <v>6.3343791945063632</v>
      </c>
      <c r="K18">
        <v>24256</v>
      </c>
      <c r="L18">
        <v>129172</v>
      </c>
      <c r="M18">
        <v>107633</v>
      </c>
      <c r="N18">
        <v>261061</v>
      </c>
      <c r="O18" s="6">
        <v>181920</v>
      </c>
      <c r="P18" s="6">
        <v>322930</v>
      </c>
      <c r="Q18" s="6">
        <v>129159.6</v>
      </c>
      <c r="R18" s="6">
        <v>634009.59999999998</v>
      </c>
      <c r="S18" s="2">
        <v>96.715000000000018</v>
      </c>
      <c r="T18" s="2">
        <v>82.609333333333325</v>
      </c>
      <c r="U18" s="2">
        <v>25.4694</v>
      </c>
      <c r="V18" s="2">
        <v>204.79373333333331</v>
      </c>
      <c r="W18">
        <v>238</v>
      </c>
      <c r="X18">
        <v>0</v>
      </c>
      <c r="Y18">
        <v>0</v>
      </c>
      <c r="Z18">
        <v>238</v>
      </c>
      <c r="AA18" s="2">
        <v>16170464.15121771</v>
      </c>
      <c r="AB18" s="6">
        <v>5767</v>
      </c>
      <c r="AC18" s="6">
        <v>0</v>
      </c>
      <c r="AD18" s="6">
        <v>0</v>
      </c>
      <c r="AE18" s="6">
        <v>5767</v>
      </c>
      <c r="AF18" s="3">
        <v>36.080935764813923</v>
      </c>
      <c r="AG18">
        <v>238</v>
      </c>
      <c r="AH18">
        <v>0</v>
      </c>
      <c r="AI18">
        <v>0</v>
      </c>
      <c r="AJ18">
        <v>238</v>
      </c>
      <c r="AK18" s="2">
        <v>22902621.256007109</v>
      </c>
      <c r="AL18" s="6">
        <v>1829.2</v>
      </c>
      <c r="AM18" s="6">
        <v>0</v>
      </c>
      <c r="AN18" s="6">
        <v>0</v>
      </c>
      <c r="AO18" s="6">
        <v>1829.2</v>
      </c>
      <c r="AP18" s="3">
        <v>1.220123599205905</v>
      </c>
      <c r="AQ18">
        <v>47</v>
      </c>
      <c r="AR18">
        <v>0</v>
      </c>
      <c r="AS18">
        <v>0</v>
      </c>
      <c r="AT18">
        <v>47</v>
      </c>
      <c r="AU18" s="2">
        <v>520514.61598906107</v>
      </c>
      <c r="AV18" s="6">
        <v>417.36</v>
      </c>
      <c r="AW18" s="6">
        <v>0</v>
      </c>
      <c r="AX18" s="6">
        <v>0</v>
      </c>
      <c r="AY18" s="6">
        <v>417.36</v>
      </c>
      <c r="AZ18" s="3">
        <v>43.610872204274933</v>
      </c>
      <c r="BA18">
        <v>151</v>
      </c>
      <c r="BB18">
        <v>7</v>
      </c>
      <c r="BC18">
        <v>0</v>
      </c>
      <c r="BD18">
        <v>158</v>
      </c>
      <c r="BE18" s="2">
        <v>3011042.1422139299</v>
      </c>
      <c r="BF18" s="6">
        <v>854.65499999999997</v>
      </c>
      <c r="BG18" s="6">
        <v>595.54999999999995</v>
      </c>
      <c r="BH18" s="6">
        <v>0</v>
      </c>
      <c r="BI18" s="6">
        <v>1450.2049999999999</v>
      </c>
      <c r="BJ18" s="3">
        <v>281.81558615116973</v>
      </c>
      <c r="BK18" s="6">
        <v>8868.2150000000001</v>
      </c>
      <c r="BL18" s="6">
        <v>595.54999999999995</v>
      </c>
      <c r="BM18" s="6">
        <v>0</v>
      </c>
      <c r="BN18" s="6">
        <v>9463.7649999999994</v>
      </c>
      <c r="BO18" s="3">
        <v>362.72751771946452</v>
      </c>
      <c r="BP18" s="7">
        <v>643473.36499999999</v>
      </c>
      <c r="BQ18" s="2">
        <v>170.25637531583931</v>
      </c>
      <c r="BR18" s="2">
        <v>737.77762636863713</v>
      </c>
    </row>
    <row r="19" spans="1:70" x14ac:dyDescent="0.3">
      <c r="A19">
        <v>1992</v>
      </c>
      <c r="B19" s="1">
        <v>823244</v>
      </c>
      <c r="C19" s="2">
        <v>45698760.973099373</v>
      </c>
      <c r="D19" s="3">
        <v>55.51059099501407</v>
      </c>
      <c r="E19" s="1">
        <v>493945</v>
      </c>
      <c r="F19" s="4">
        <v>0.60501920033636858</v>
      </c>
      <c r="G19" s="4">
        <v>0.42931380776241612</v>
      </c>
      <c r="H19" s="4">
        <v>0.55781488883326225</v>
      </c>
      <c r="I19" s="4">
        <v>0.52522417225309104</v>
      </c>
      <c r="J19" s="5">
        <v>6.4397071164362414</v>
      </c>
      <c r="K19">
        <v>26068</v>
      </c>
      <c r="L19">
        <v>132538</v>
      </c>
      <c r="M19">
        <v>107484</v>
      </c>
      <c r="N19">
        <v>266090</v>
      </c>
      <c r="O19" s="6">
        <v>195510</v>
      </c>
      <c r="P19" s="6">
        <v>331345</v>
      </c>
      <c r="Q19" s="6">
        <v>128980.8</v>
      </c>
      <c r="R19" s="6">
        <v>655835.80000000005</v>
      </c>
      <c r="S19" s="2">
        <v>102.94</v>
      </c>
      <c r="T19" s="2">
        <v>84.257111111111101</v>
      </c>
      <c r="U19" s="2">
        <v>25.487733333333331</v>
      </c>
      <c r="V19" s="2">
        <v>212.68484444444439</v>
      </c>
      <c r="W19">
        <v>251</v>
      </c>
      <c r="X19">
        <v>1</v>
      </c>
      <c r="Y19">
        <v>1</v>
      </c>
      <c r="Z19">
        <v>253</v>
      </c>
      <c r="AA19" s="2">
        <v>17518789.09882737</v>
      </c>
      <c r="AB19" s="6">
        <v>6132.5</v>
      </c>
      <c r="AC19" s="6">
        <v>247</v>
      </c>
      <c r="AD19" s="6">
        <v>0</v>
      </c>
      <c r="AE19" s="6">
        <v>6379.5</v>
      </c>
      <c r="AF19" s="3">
        <v>38.797862806020639</v>
      </c>
      <c r="AG19">
        <v>251</v>
      </c>
      <c r="AH19">
        <v>1</v>
      </c>
      <c r="AI19">
        <v>0</v>
      </c>
      <c r="AJ19">
        <v>252</v>
      </c>
      <c r="AK19" s="2">
        <v>24478629.51309276</v>
      </c>
      <c r="AL19" s="6">
        <v>1928.88</v>
      </c>
      <c r="AM19" s="6">
        <v>97</v>
      </c>
      <c r="AN19" s="6">
        <v>0</v>
      </c>
      <c r="AO19" s="6">
        <v>2025.88</v>
      </c>
      <c r="AP19" s="3">
        <v>1.312145306085799</v>
      </c>
      <c r="AQ19">
        <v>50</v>
      </c>
      <c r="AR19">
        <v>0</v>
      </c>
      <c r="AS19">
        <v>0</v>
      </c>
      <c r="AT19">
        <v>50</v>
      </c>
      <c r="AU19" s="2">
        <v>557675.42167740571</v>
      </c>
      <c r="AV19" s="6">
        <v>510</v>
      </c>
      <c r="AW19" s="6">
        <v>0</v>
      </c>
      <c r="AX19" s="6">
        <v>0</v>
      </c>
      <c r="AY19" s="6">
        <v>510</v>
      </c>
      <c r="AZ19" s="3">
        <v>46.852402042494823</v>
      </c>
      <c r="BA19">
        <v>156</v>
      </c>
      <c r="BB19">
        <v>7</v>
      </c>
      <c r="BC19">
        <v>0</v>
      </c>
      <c r="BD19">
        <v>163</v>
      </c>
      <c r="BE19" s="2">
        <v>3143666.9395018262</v>
      </c>
      <c r="BF19" s="6">
        <v>886.86</v>
      </c>
      <c r="BG19" s="6">
        <v>604</v>
      </c>
      <c r="BH19" s="6">
        <v>0</v>
      </c>
      <c r="BI19" s="6">
        <v>1490.86</v>
      </c>
      <c r="BJ19" s="3">
        <v>301.49464701738168</v>
      </c>
      <c r="BK19" s="6">
        <v>9458.24</v>
      </c>
      <c r="BL19" s="6">
        <v>948</v>
      </c>
      <c r="BM19" s="6">
        <v>0</v>
      </c>
      <c r="BN19" s="6">
        <v>10406.24</v>
      </c>
      <c r="BO19" s="3">
        <v>388.45705717198291</v>
      </c>
      <c r="BP19" s="7">
        <v>666242.04</v>
      </c>
      <c r="BQ19" s="2">
        <v>180.34257048492819</v>
      </c>
      <c r="BR19" s="2">
        <v>781.48447210135544</v>
      </c>
    </row>
    <row r="20" spans="1:70" x14ac:dyDescent="0.3">
      <c r="A20">
        <v>1993</v>
      </c>
      <c r="B20" s="1">
        <v>834792</v>
      </c>
      <c r="C20" s="2">
        <v>48947802.167864487</v>
      </c>
      <c r="D20" s="3">
        <v>58.634728372893477</v>
      </c>
      <c r="E20" s="1">
        <v>500873</v>
      </c>
      <c r="F20" s="4">
        <v>0.61327253492474521</v>
      </c>
      <c r="G20" s="4">
        <v>0.43594911957466231</v>
      </c>
      <c r="H20" s="4">
        <v>0.55461933129290408</v>
      </c>
      <c r="I20" s="4">
        <v>0.52929132303740545</v>
      </c>
      <c r="J20" s="5">
        <v>6.539236793619934</v>
      </c>
      <c r="K20">
        <v>27890</v>
      </c>
      <c r="L20">
        <v>135763</v>
      </c>
      <c r="M20">
        <v>107278</v>
      </c>
      <c r="N20">
        <v>270931</v>
      </c>
      <c r="O20" s="6">
        <v>209175</v>
      </c>
      <c r="P20" s="6">
        <v>339407.5</v>
      </c>
      <c r="Q20" s="6">
        <v>128733.6</v>
      </c>
      <c r="R20" s="6">
        <v>677316.1</v>
      </c>
      <c r="S20" s="2">
        <v>109.205</v>
      </c>
      <c r="T20" s="2">
        <v>85.896222222222207</v>
      </c>
      <c r="U20" s="2">
        <v>25.5152</v>
      </c>
      <c r="V20" s="2">
        <v>220.61642222222221</v>
      </c>
      <c r="W20">
        <v>264</v>
      </c>
      <c r="X20">
        <v>1</v>
      </c>
      <c r="Y20">
        <v>1</v>
      </c>
      <c r="Z20">
        <v>266</v>
      </c>
      <c r="AA20" s="2">
        <v>18940595.13579201</v>
      </c>
      <c r="AB20" s="6">
        <v>6411.9</v>
      </c>
      <c r="AC20" s="6">
        <v>240</v>
      </c>
      <c r="AD20" s="6">
        <v>0</v>
      </c>
      <c r="AE20" s="6">
        <v>6651.9</v>
      </c>
      <c r="AF20" s="3">
        <v>41.604662169959433</v>
      </c>
      <c r="AG20">
        <v>264</v>
      </c>
      <c r="AH20">
        <v>1</v>
      </c>
      <c r="AI20">
        <v>0</v>
      </c>
      <c r="AJ20">
        <v>265</v>
      </c>
      <c r="AK20" s="2">
        <v>26130079.213233139</v>
      </c>
      <c r="AL20" s="6">
        <v>2025.84</v>
      </c>
      <c r="AM20" s="6">
        <v>97.5</v>
      </c>
      <c r="AN20" s="6">
        <v>0</v>
      </c>
      <c r="AO20" s="6">
        <v>2123.34</v>
      </c>
      <c r="AP20" s="3">
        <v>1.408069463256719</v>
      </c>
      <c r="AQ20">
        <v>52</v>
      </c>
      <c r="AR20">
        <v>0</v>
      </c>
      <c r="AS20">
        <v>0</v>
      </c>
      <c r="AT20">
        <v>52</v>
      </c>
      <c r="AU20" s="2">
        <v>596028.66381796426</v>
      </c>
      <c r="AV20" s="6">
        <v>496.08</v>
      </c>
      <c r="AW20" s="6">
        <v>0</v>
      </c>
      <c r="AX20" s="6">
        <v>0</v>
      </c>
      <c r="AY20" s="6">
        <v>496.08</v>
      </c>
      <c r="AZ20" s="3">
        <v>50.183260153405939</v>
      </c>
      <c r="BA20">
        <v>162</v>
      </c>
      <c r="BB20">
        <v>7</v>
      </c>
      <c r="BC20">
        <v>0</v>
      </c>
      <c r="BD20">
        <v>169</v>
      </c>
      <c r="BE20" s="2">
        <v>3281099.1550213778</v>
      </c>
      <c r="BF20" s="6">
        <v>937.48500000000001</v>
      </c>
      <c r="BG20" s="6">
        <v>589.04999999999995</v>
      </c>
      <c r="BH20" s="6">
        <v>0</v>
      </c>
      <c r="BI20" s="6">
        <v>1526.5350000000001</v>
      </c>
      <c r="BJ20" s="3">
        <v>321.68509537740852</v>
      </c>
      <c r="BK20" s="6">
        <v>9871.3050000000003</v>
      </c>
      <c r="BL20" s="6">
        <v>926.55</v>
      </c>
      <c r="BM20" s="6">
        <v>0</v>
      </c>
      <c r="BN20" s="6">
        <v>10797.855</v>
      </c>
      <c r="BO20" s="3">
        <v>414.88108716403059</v>
      </c>
      <c r="BP20" s="7">
        <v>688113.95499999996</v>
      </c>
      <c r="BQ20" s="2">
        <v>190.64925281587591</v>
      </c>
      <c r="BR20" s="2">
        <v>826.14676220212868</v>
      </c>
    </row>
    <row r="21" spans="1:70" x14ac:dyDescent="0.3">
      <c r="A21">
        <v>1994</v>
      </c>
      <c r="B21" s="1">
        <v>846508</v>
      </c>
      <c r="C21" s="2">
        <v>52334234.908384837</v>
      </c>
      <c r="D21" s="3">
        <v>61.823674328399548</v>
      </c>
      <c r="E21" s="1">
        <v>507903</v>
      </c>
      <c r="F21" s="4">
        <v>0.62125587124236847</v>
      </c>
      <c r="G21" s="4">
        <v>0.44221801315996462</v>
      </c>
      <c r="H21" s="4">
        <v>0.551437149589318</v>
      </c>
      <c r="I21" s="4">
        <v>0.53309055160086671</v>
      </c>
      <c r="J21" s="5">
        <v>6.6332701973994697</v>
      </c>
      <c r="K21">
        <v>29713</v>
      </c>
      <c r="L21">
        <v>138836</v>
      </c>
      <c r="M21">
        <v>107044</v>
      </c>
      <c r="N21">
        <v>275593</v>
      </c>
      <c r="O21" s="6">
        <v>222847.5</v>
      </c>
      <c r="P21" s="6">
        <v>347090</v>
      </c>
      <c r="Q21" s="6">
        <v>128452.8</v>
      </c>
      <c r="R21" s="6">
        <v>698390.3</v>
      </c>
      <c r="S21" s="2">
        <v>115.4883333333333</v>
      </c>
      <c r="T21" s="2">
        <v>87.53</v>
      </c>
      <c r="U21" s="2">
        <v>25.554866666666669</v>
      </c>
      <c r="V21" s="2">
        <v>228.57320000000001</v>
      </c>
      <c r="W21">
        <v>278</v>
      </c>
      <c r="X21">
        <v>1</v>
      </c>
      <c r="Y21">
        <v>1</v>
      </c>
      <c r="Z21">
        <v>280</v>
      </c>
      <c r="AA21" s="2">
        <v>20428347.733711932</v>
      </c>
      <c r="AB21" s="6">
        <v>6765.8</v>
      </c>
      <c r="AC21" s="6">
        <v>242</v>
      </c>
      <c r="AD21" s="6">
        <v>0</v>
      </c>
      <c r="AE21" s="6">
        <v>7007.8</v>
      </c>
      <c r="AF21" s="3">
        <v>44.503570388633008</v>
      </c>
      <c r="AG21">
        <v>278</v>
      </c>
      <c r="AH21">
        <v>1</v>
      </c>
      <c r="AI21">
        <v>0</v>
      </c>
      <c r="AJ21">
        <v>279</v>
      </c>
      <c r="AK21" s="2">
        <v>27846561.190179139</v>
      </c>
      <c r="AL21" s="6">
        <v>2134.12</v>
      </c>
      <c r="AM21" s="6">
        <v>97</v>
      </c>
      <c r="AN21" s="6">
        <v>0</v>
      </c>
      <c r="AO21" s="6">
        <v>2231.12</v>
      </c>
      <c r="AP21" s="3">
        <v>1.507980003011872</v>
      </c>
      <c r="AQ21">
        <v>55</v>
      </c>
      <c r="AR21">
        <v>0</v>
      </c>
      <c r="AS21">
        <v>0</v>
      </c>
      <c r="AT21">
        <v>55</v>
      </c>
      <c r="AU21" s="2">
        <v>635730.57653211057</v>
      </c>
      <c r="AV21" s="6">
        <v>488.4</v>
      </c>
      <c r="AW21" s="6">
        <v>0</v>
      </c>
      <c r="AX21" s="6">
        <v>0</v>
      </c>
      <c r="AY21" s="6">
        <v>488.4</v>
      </c>
      <c r="AZ21" s="3">
        <v>53.60681802064331</v>
      </c>
      <c r="BA21">
        <v>166</v>
      </c>
      <c r="BB21">
        <v>8</v>
      </c>
      <c r="BC21">
        <v>0</v>
      </c>
      <c r="BD21">
        <v>174</v>
      </c>
      <c r="BE21" s="2">
        <v>3423595.4079616638</v>
      </c>
      <c r="BF21" s="6">
        <v>939.61500000000001</v>
      </c>
      <c r="BG21" s="6">
        <v>694</v>
      </c>
      <c r="BH21" s="6">
        <v>0</v>
      </c>
      <c r="BI21" s="6">
        <v>1633.615</v>
      </c>
      <c r="BJ21" s="3">
        <v>342.41058533840442</v>
      </c>
      <c r="BK21" s="6">
        <v>10327.934999999999</v>
      </c>
      <c r="BL21" s="6">
        <v>1033</v>
      </c>
      <c r="BM21" s="6">
        <v>0</v>
      </c>
      <c r="BN21" s="6">
        <v>11360.934999999999</v>
      </c>
      <c r="BO21" s="3">
        <v>442.02895375069261</v>
      </c>
      <c r="BP21" s="7">
        <v>709751.23499999999</v>
      </c>
      <c r="BQ21" s="2">
        <v>201.1806461252078</v>
      </c>
      <c r="BR21" s="2">
        <v>871.78279987590042</v>
      </c>
    </row>
    <row r="22" spans="1:70" x14ac:dyDescent="0.3">
      <c r="A22">
        <v>1995</v>
      </c>
      <c r="B22" s="1">
        <v>858424</v>
      </c>
      <c r="C22" s="2">
        <v>55841747.26687853</v>
      </c>
      <c r="D22" s="3">
        <v>65.051474873580574</v>
      </c>
      <c r="E22" s="1">
        <v>515053</v>
      </c>
      <c r="F22" s="4">
        <v>0.62892770232428763</v>
      </c>
      <c r="G22" s="4">
        <v>0.44814058289609671</v>
      </c>
      <c r="H22" s="4">
        <v>0.54830336493393872</v>
      </c>
      <c r="I22" s="4">
        <v>0.53663455800567461</v>
      </c>
      <c r="J22" s="5">
        <v>6.7221087434414502</v>
      </c>
      <c r="K22">
        <v>31525</v>
      </c>
      <c r="L22">
        <v>141768</v>
      </c>
      <c r="M22">
        <v>106805</v>
      </c>
      <c r="N22">
        <v>280098</v>
      </c>
      <c r="O22" s="6">
        <v>236437.5</v>
      </c>
      <c r="P22" s="6">
        <v>354420</v>
      </c>
      <c r="Q22" s="6">
        <v>128166</v>
      </c>
      <c r="R22" s="6">
        <v>719023.5</v>
      </c>
      <c r="S22" s="2">
        <v>121.7766666666667</v>
      </c>
      <c r="T22" s="2">
        <v>89.162222222222212</v>
      </c>
      <c r="U22" s="2">
        <v>25.608133333333331</v>
      </c>
      <c r="V22" s="2">
        <v>236.54702222222221</v>
      </c>
      <c r="W22">
        <v>292</v>
      </c>
      <c r="X22">
        <v>1</v>
      </c>
      <c r="Y22">
        <v>1</v>
      </c>
      <c r="Z22">
        <v>294</v>
      </c>
      <c r="AA22" s="2">
        <v>21974750.185042951</v>
      </c>
      <c r="AB22" s="6">
        <v>7058.9</v>
      </c>
      <c r="AC22" s="6">
        <v>242</v>
      </c>
      <c r="AD22" s="6">
        <v>0</v>
      </c>
      <c r="AE22" s="6">
        <v>7300.9</v>
      </c>
      <c r="AF22" s="3">
        <v>47.496842706956009</v>
      </c>
      <c r="AG22">
        <v>292</v>
      </c>
      <c r="AH22">
        <v>1</v>
      </c>
      <c r="AI22">
        <v>0</v>
      </c>
      <c r="AJ22">
        <v>293</v>
      </c>
      <c r="AK22" s="2">
        <v>29618693.046873741</v>
      </c>
      <c r="AL22" s="6">
        <v>2267.16</v>
      </c>
      <c r="AM22" s="6">
        <v>99</v>
      </c>
      <c r="AN22" s="6">
        <v>0</v>
      </c>
      <c r="AO22" s="6">
        <v>2366.16</v>
      </c>
      <c r="AP22" s="3">
        <v>1.6119623684181841</v>
      </c>
      <c r="AQ22">
        <v>58</v>
      </c>
      <c r="AR22">
        <v>0</v>
      </c>
      <c r="AS22">
        <v>0</v>
      </c>
      <c r="AT22">
        <v>58</v>
      </c>
      <c r="AU22" s="2">
        <v>676923.96831852035</v>
      </c>
      <c r="AV22" s="6">
        <v>578.84</v>
      </c>
      <c r="AW22" s="6">
        <v>0</v>
      </c>
      <c r="AX22" s="6">
        <v>0</v>
      </c>
      <c r="AY22" s="6">
        <v>578.84</v>
      </c>
      <c r="AZ22" s="3">
        <v>57.126388215445402</v>
      </c>
      <c r="BA22">
        <v>172</v>
      </c>
      <c r="BB22">
        <v>8</v>
      </c>
      <c r="BC22">
        <v>0</v>
      </c>
      <c r="BD22">
        <v>180</v>
      </c>
      <c r="BE22" s="2">
        <v>3571380.066643313</v>
      </c>
      <c r="BF22" s="6">
        <v>979.03499999999997</v>
      </c>
      <c r="BG22" s="6">
        <v>684.9</v>
      </c>
      <c r="BH22" s="6">
        <v>0</v>
      </c>
      <c r="BI22" s="6">
        <v>1663.9349999999999</v>
      </c>
      <c r="BJ22" s="3">
        <v>363.69390466378923</v>
      </c>
      <c r="BK22" s="6">
        <v>10883.934999999999</v>
      </c>
      <c r="BL22" s="6">
        <v>1025.9000000000001</v>
      </c>
      <c r="BM22" s="6">
        <v>0</v>
      </c>
      <c r="BN22" s="6">
        <v>11909.834999999999</v>
      </c>
      <c r="BO22" s="3">
        <v>469.92909795460878</v>
      </c>
      <c r="BP22" s="7">
        <v>730933.33499999996</v>
      </c>
      <c r="BQ22" s="2">
        <v>211.94283605304929</v>
      </c>
      <c r="BR22" s="2">
        <v>918.41895622988034</v>
      </c>
    </row>
    <row r="23" spans="1:70" x14ac:dyDescent="0.3">
      <c r="A23">
        <v>1996</v>
      </c>
      <c r="B23" s="1">
        <v>870564</v>
      </c>
      <c r="C23" s="2">
        <v>59458445.740235463</v>
      </c>
      <c r="D23" s="3">
        <v>68.298764640205036</v>
      </c>
      <c r="E23" s="1">
        <v>522336</v>
      </c>
      <c r="F23" s="4">
        <v>0.63627063023350006</v>
      </c>
      <c r="G23" s="4">
        <v>0.45373571138216218</v>
      </c>
      <c r="H23" s="4">
        <v>0.54524428979895156</v>
      </c>
      <c r="I23" s="4">
        <v>0.53993977550378147</v>
      </c>
      <c r="J23" s="5">
        <v>6.8060356707324337</v>
      </c>
      <c r="K23">
        <v>33321</v>
      </c>
      <c r="L23">
        <v>144573</v>
      </c>
      <c r="M23">
        <v>106582</v>
      </c>
      <c r="N23">
        <v>284476</v>
      </c>
      <c r="O23" s="6">
        <v>249907.5</v>
      </c>
      <c r="P23" s="6">
        <v>361432.5</v>
      </c>
      <c r="Q23" s="6">
        <v>127898.4</v>
      </c>
      <c r="R23" s="6">
        <v>739238.40000000002</v>
      </c>
      <c r="S23" s="2">
        <v>128.05166666666659</v>
      </c>
      <c r="T23" s="2">
        <v>90.797555555555562</v>
      </c>
      <c r="U23" s="2">
        <v>25.675666666666661</v>
      </c>
      <c r="V23" s="2">
        <v>244.52488888888891</v>
      </c>
      <c r="W23">
        <v>308</v>
      </c>
      <c r="X23">
        <v>1</v>
      </c>
      <c r="Y23">
        <v>1</v>
      </c>
      <c r="Z23">
        <v>310</v>
      </c>
      <c r="AA23" s="2">
        <v>23574381.564628191</v>
      </c>
      <c r="AB23" s="6">
        <v>7487.2</v>
      </c>
      <c r="AC23" s="6">
        <v>243</v>
      </c>
      <c r="AD23" s="6">
        <v>2925</v>
      </c>
      <c r="AE23" s="6">
        <v>10655.2</v>
      </c>
      <c r="AF23" s="3">
        <v>50.586811970023412</v>
      </c>
      <c r="AG23">
        <v>308</v>
      </c>
      <c r="AH23">
        <v>1</v>
      </c>
      <c r="AI23">
        <v>1</v>
      </c>
      <c r="AJ23">
        <v>310</v>
      </c>
      <c r="AK23" s="2">
        <v>31439592.957016181</v>
      </c>
      <c r="AL23" s="6">
        <v>2412.96</v>
      </c>
      <c r="AM23" s="6">
        <v>98</v>
      </c>
      <c r="AN23" s="6">
        <v>1170</v>
      </c>
      <c r="AO23" s="6">
        <v>3680.96</v>
      </c>
      <c r="AP23" s="3">
        <v>1.7201050491400529</v>
      </c>
      <c r="AQ23">
        <v>61</v>
      </c>
      <c r="AR23">
        <v>0</v>
      </c>
      <c r="AS23">
        <v>0</v>
      </c>
      <c r="AT23">
        <v>61</v>
      </c>
      <c r="AU23" s="2">
        <v>719764.33731383574</v>
      </c>
      <c r="AV23" s="6">
        <v>541.67999999999995</v>
      </c>
      <c r="AW23" s="6">
        <v>0</v>
      </c>
      <c r="AX23" s="6">
        <v>0</v>
      </c>
      <c r="AY23" s="6">
        <v>541.67999999999995</v>
      </c>
      <c r="AZ23" s="3">
        <v>60.745311844080327</v>
      </c>
      <c r="BA23">
        <v>178</v>
      </c>
      <c r="BB23">
        <v>8</v>
      </c>
      <c r="BC23">
        <v>0</v>
      </c>
      <c r="BD23">
        <v>186</v>
      </c>
      <c r="BE23" s="2">
        <v>3724706.8812772562</v>
      </c>
      <c r="BF23" s="6">
        <v>1002.075</v>
      </c>
      <c r="BG23" s="6">
        <v>692.7</v>
      </c>
      <c r="BH23" s="6">
        <v>0</v>
      </c>
      <c r="BI23" s="6">
        <v>1694.7750000000001</v>
      </c>
      <c r="BJ23" s="3">
        <v>385.55764974137878</v>
      </c>
      <c r="BK23" s="6">
        <v>11443.915000000001</v>
      </c>
      <c r="BL23" s="6">
        <v>1033.7</v>
      </c>
      <c r="BM23" s="6">
        <v>4095</v>
      </c>
      <c r="BN23" s="6">
        <v>16572.615000000002</v>
      </c>
      <c r="BO23" s="3">
        <v>498.60987860462262</v>
      </c>
      <c r="BP23" s="7">
        <v>755811.01500000001</v>
      </c>
      <c r="BQ23" s="2">
        <v>222.94043024805339</v>
      </c>
      <c r="BR23" s="2">
        <v>966.07519774156481</v>
      </c>
    </row>
    <row r="24" spans="1:70" x14ac:dyDescent="0.3">
      <c r="A24">
        <v>1997</v>
      </c>
      <c r="B24" s="1">
        <v>882948</v>
      </c>
      <c r="C24" s="2">
        <v>63178143.924460247</v>
      </c>
      <c r="D24" s="3">
        <v>71.553640672452119</v>
      </c>
      <c r="E24" s="1">
        <v>529767</v>
      </c>
      <c r="F24" s="4">
        <v>0.64328772832041781</v>
      </c>
      <c r="G24" s="4">
        <v>0.45901924582808618</v>
      </c>
      <c r="H24" s="4">
        <v>0.54228362118421614</v>
      </c>
      <c r="I24" s="4">
        <v>0.54302632388004934</v>
      </c>
      <c r="J24" s="5">
        <v>6.8852886874212933</v>
      </c>
      <c r="K24">
        <v>35098</v>
      </c>
      <c r="L24">
        <v>147275</v>
      </c>
      <c r="M24">
        <v>106385</v>
      </c>
      <c r="N24">
        <v>288758</v>
      </c>
      <c r="O24" s="6">
        <v>263235</v>
      </c>
      <c r="P24" s="6">
        <v>368187.5</v>
      </c>
      <c r="Q24" s="6">
        <v>127662</v>
      </c>
      <c r="R24" s="6">
        <v>759084.5</v>
      </c>
      <c r="S24" s="2">
        <v>134.31666666666669</v>
      </c>
      <c r="T24" s="2">
        <v>92.443111111111108</v>
      </c>
      <c r="U24" s="2">
        <v>25.757200000000001</v>
      </c>
      <c r="V24" s="2">
        <v>252.51697777777781</v>
      </c>
      <c r="W24">
        <v>321</v>
      </c>
      <c r="X24">
        <v>2</v>
      </c>
      <c r="Y24">
        <v>2</v>
      </c>
      <c r="Z24">
        <v>325</v>
      </c>
      <c r="AA24" s="2">
        <v>25224164.664181139</v>
      </c>
      <c r="AB24" s="6">
        <v>7898.1</v>
      </c>
      <c r="AC24" s="6">
        <v>486</v>
      </c>
      <c r="AD24" s="6">
        <v>2910</v>
      </c>
      <c r="AE24" s="6">
        <v>11294.1</v>
      </c>
      <c r="AF24" s="3">
        <v>53.775798147102272</v>
      </c>
      <c r="AG24">
        <v>321</v>
      </c>
      <c r="AH24">
        <v>2</v>
      </c>
      <c r="AI24">
        <v>1</v>
      </c>
      <c r="AJ24">
        <v>324</v>
      </c>
      <c r="AK24" s="2">
        <v>33305642.707102772</v>
      </c>
      <c r="AL24" s="6">
        <v>2499.52</v>
      </c>
      <c r="AM24" s="6">
        <v>197</v>
      </c>
      <c r="AN24" s="6">
        <v>1176</v>
      </c>
      <c r="AO24" s="6">
        <v>3872.52</v>
      </c>
      <c r="AP24" s="3">
        <v>1.8324972288527701</v>
      </c>
      <c r="AQ24">
        <v>64</v>
      </c>
      <c r="AR24">
        <v>0</v>
      </c>
      <c r="AS24">
        <v>0</v>
      </c>
      <c r="AT24">
        <v>64</v>
      </c>
      <c r="AU24" s="2">
        <v>764398.97031694045</v>
      </c>
      <c r="AV24" s="6">
        <v>554.24</v>
      </c>
      <c r="AW24" s="6">
        <v>0</v>
      </c>
      <c r="AX24" s="6">
        <v>0</v>
      </c>
      <c r="AY24" s="6">
        <v>554.24</v>
      </c>
      <c r="AZ24" s="3">
        <v>64.466837947032204</v>
      </c>
      <c r="BA24">
        <v>185</v>
      </c>
      <c r="BB24">
        <v>8</v>
      </c>
      <c r="BC24">
        <v>0</v>
      </c>
      <c r="BD24">
        <v>193</v>
      </c>
      <c r="BE24" s="2">
        <v>3883937.58285941</v>
      </c>
      <c r="BF24" s="6">
        <v>1084.125</v>
      </c>
      <c r="BG24" s="6">
        <v>683.6</v>
      </c>
      <c r="BH24" s="6">
        <v>0</v>
      </c>
      <c r="BI24" s="6">
        <v>1767.7249999999999</v>
      </c>
      <c r="BJ24" s="3">
        <v>408.02340334841978</v>
      </c>
      <c r="BK24" s="6">
        <v>12035.985000000001</v>
      </c>
      <c r="BL24" s="6">
        <v>1366.6</v>
      </c>
      <c r="BM24" s="6">
        <v>4086</v>
      </c>
      <c r="BN24" s="6">
        <v>17488.584999999999</v>
      </c>
      <c r="BO24" s="3">
        <v>528.09853667140715</v>
      </c>
      <c r="BP24" s="7">
        <v>776573.08499999996</v>
      </c>
      <c r="BQ24" s="2">
        <v>234.18465433475549</v>
      </c>
      <c r="BR24" s="2">
        <v>1014.80016878394</v>
      </c>
    </row>
    <row r="25" spans="1:70" x14ac:dyDescent="0.3">
      <c r="A25">
        <v>1998</v>
      </c>
      <c r="B25" s="1">
        <v>895590</v>
      </c>
      <c r="C25" s="2">
        <v>66999951.871385507</v>
      </c>
      <c r="D25" s="3">
        <v>74.810964695212675</v>
      </c>
      <c r="E25" s="1">
        <v>537352</v>
      </c>
      <c r="F25" s="4">
        <v>0.64999653826265447</v>
      </c>
      <c r="G25" s="4">
        <v>0.46400792111878381</v>
      </c>
      <c r="H25" s="4">
        <v>0.53944254439364714</v>
      </c>
      <c r="I25" s="4">
        <v>0.54591774483459699</v>
      </c>
      <c r="J25" s="5">
        <v>6.9601188167817556</v>
      </c>
      <c r="K25">
        <v>36856</v>
      </c>
      <c r="L25">
        <v>149893</v>
      </c>
      <c r="M25">
        <v>106223</v>
      </c>
      <c r="N25">
        <v>292972</v>
      </c>
      <c r="O25" s="6">
        <v>276420</v>
      </c>
      <c r="P25" s="6">
        <v>374732.5</v>
      </c>
      <c r="Q25" s="6">
        <v>127467.6</v>
      </c>
      <c r="R25" s="6">
        <v>778620.1</v>
      </c>
      <c r="S25" s="2">
        <v>140.5616666666667</v>
      </c>
      <c r="T25" s="2">
        <v>94.103333333333325</v>
      </c>
      <c r="U25" s="2">
        <v>25.852066666666669</v>
      </c>
      <c r="V25" s="2">
        <v>260.51706666666672</v>
      </c>
      <c r="W25">
        <v>334</v>
      </c>
      <c r="X25">
        <v>2</v>
      </c>
      <c r="Y25">
        <v>2</v>
      </c>
      <c r="Z25">
        <v>338</v>
      </c>
      <c r="AA25" s="2">
        <v>26923350.639208559</v>
      </c>
      <c r="AB25" s="6">
        <v>8137.5</v>
      </c>
      <c r="AC25" s="6">
        <v>486</v>
      </c>
      <c r="AD25" s="6">
        <v>2940</v>
      </c>
      <c r="AE25" s="6">
        <v>11563.5</v>
      </c>
      <c r="AF25" s="3">
        <v>57.066136594311693</v>
      </c>
      <c r="AG25">
        <v>334</v>
      </c>
      <c r="AH25">
        <v>2</v>
      </c>
      <c r="AI25">
        <v>1</v>
      </c>
      <c r="AJ25">
        <v>337</v>
      </c>
      <c r="AK25" s="2">
        <v>35216287.053161167</v>
      </c>
      <c r="AL25" s="6">
        <v>2593.3200000000002</v>
      </c>
      <c r="AM25" s="6">
        <v>193</v>
      </c>
      <c r="AN25" s="6">
        <v>1152</v>
      </c>
      <c r="AO25" s="6">
        <v>3938.32</v>
      </c>
      <c r="AP25" s="3">
        <v>1.949229488733222</v>
      </c>
      <c r="AQ25">
        <v>67</v>
      </c>
      <c r="AR25">
        <v>0</v>
      </c>
      <c r="AS25">
        <v>0</v>
      </c>
      <c r="AT25">
        <v>67</v>
      </c>
      <c r="AU25" s="2">
        <v>810939.45086826023</v>
      </c>
      <c r="AV25" s="6">
        <v>609.70000000000005</v>
      </c>
      <c r="AW25" s="6">
        <v>0</v>
      </c>
      <c r="AX25" s="6">
        <v>0</v>
      </c>
      <c r="AY25" s="6">
        <v>609.70000000000005</v>
      </c>
      <c r="AZ25" s="3">
        <v>68.294168764259823</v>
      </c>
      <c r="BA25">
        <v>192</v>
      </c>
      <c r="BB25">
        <v>8</v>
      </c>
      <c r="BC25">
        <v>0</v>
      </c>
      <c r="BD25">
        <v>200</v>
      </c>
      <c r="BE25" s="2">
        <v>4049374.7281475179</v>
      </c>
      <c r="BF25" s="6">
        <v>1106.6849999999999</v>
      </c>
      <c r="BG25" s="6">
        <v>699.85</v>
      </c>
      <c r="BH25" s="6">
        <v>0</v>
      </c>
      <c r="BI25" s="6">
        <v>1806.5350000000001</v>
      </c>
      <c r="BJ25" s="3">
        <v>431.11210552373052</v>
      </c>
      <c r="BK25" s="6">
        <v>12447.205</v>
      </c>
      <c r="BL25" s="6">
        <v>1378.85</v>
      </c>
      <c r="BM25" s="6">
        <v>4092</v>
      </c>
      <c r="BN25" s="6">
        <v>17918.055</v>
      </c>
      <c r="BO25" s="3">
        <v>558.42164037103521</v>
      </c>
      <c r="BP25" s="7">
        <v>796538.15500000003</v>
      </c>
      <c r="BQ25" s="2">
        <v>245.68161211131061</v>
      </c>
      <c r="BR25" s="2">
        <v>1064.6203191490119</v>
      </c>
    </row>
    <row r="26" spans="1:70" x14ac:dyDescent="0.3">
      <c r="A26">
        <v>1999</v>
      </c>
      <c r="B26" s="1">
        <v>908506</v>
      </c>
      <c r="C26" s="2">
        <v>70927764.678412482</v>
      </c>
      <c r="D26" s="3">
        <v>78.070771880881892</v>
      </c>
      <c r="E26" s="1">
        <v>545102</v>
      </c>
      <c r="F26" s="4">
        <v>0.6564228440817802</v>
      </c>
      <c r="G26" s="4">
        <v>0.46871630119607122</v>
      </c>
      <c r="H26" s="4">
        <v>0.5367434310685677</v>
      </c>
      <c r="I26" s="4">
        <v>0.54863919108564252</v>
      </c>
      <c r="J26" s="5">
        <v>7.0307445179410681</v>
      </c>
      <c r="K26">
        <v>38596</v>
      </c>
      <c r="L26">
        <v>152454</v>
      </c>
      <c r="M26">
        <v>106101</v>
      </c>
      <c r="N26">
        <v>297151</v>
      </c>
      <c r="O26" s="6">
        <v>289470</v>
      </c>
      <c r="P26" s="6">
        <v>381135</v>
      </c>
      <c r="Q26" s="6">
        <v>127321.2</v>
      </c>
      <c r="R26" s="6">
        <v>797926.2</v>
      </c>
      <c r="S26" s="2">
        <v>146.79666666666671</v>
      </c>
      <c r="T26" s="2">
        <v>95.784888888888887</v>
      </c>
      <c r="U26" s="2">
        <v>25.95933333333333</v>
      </c>
      <c r="V26" s="2">
        <v>268.5408888888889</v>
      </c>
      <c r="W26">
        <v>350</v>
      </c>
      <c r="X26">
        <v>2</v>
      </c>
      <c r="Y26">
        <v>2</v>
      </c>
      <c r="Z26">
        <v>354</v>
      </c>
      <c r="AA26" s="2">
        <v>28673322.43154576</v>
      </c>
      <c r="AB26" s="6">
        <v>8459.2000000000007</v>
      </c>
      <c r="AC26" s="6">
        <v>488</v>
      </c>
      <c r="AD26" s="6">
        <v>2955</v>
      </c>
      <c r="AE26" s="6">
        <v>11902.2</v>
      </c>
      <c r="AF26" s="3">
        <v>60.460213308718977</v>
      </c>
      <c r="AG26">
        <v>350</v>
      </c>
      <c r="AH26">
        <v>2</v>
      </c>
      <c r="AI26">
        <v>1</v>
      </c>
      <c r="AJ26">
        <v>353</v>
      </c>
      <c r="AK26" s="2">
        <v>37173480.254132703</v>
      </c>
      <c r="AL26" s="6">
        <v>2730.24</v>
      </c>
      <c r="AM26" s="6">
        <v>190</v>
      </c>
      <c r="AN26" s="6">
        <v>1182</v>
      </c>
      <c r="AO26" s="6">
        <v>4102.24</v>
      </c>
      <c r="AP26" s="3">
        <v>2.070394718735955</v>
      </c>
      <c r="AQ26">
        <v>70</v>
      </c>
      <c r="AR26">
        <v>1</v>
      </c>
      <c r="AS26">
        <v>0</v>
      </c>
      <c r="AT26">
        <v>71</v>
      </c>
      <c r="AU26" s="2">
        <v>859532.83007462532</v>
      </c>
      <c r="AV26" s="6">
        <v>637</v>
      </c>
      <c r="AW26" s="6">
        <v>128</v>
      </c>
      <c r="AX26" s="6">
        <v>0</v>
      </c>
      <c r="AY26" s="6">
        <v>765</v>
      </c>
      <c r="AZ26" s="3">
        <v>72.230513356040916</v>
      </c>
      <c r="BA26">
        <v>199</v>
      </c>
      <c r="BB26">
        <v>8</v>
      </c>
      <c r="BC26">
        <v>0</v>
      </c>
      <c r="BD26">
        <v>207</v>
      </c>
      <c r="BE26" s="2">
        <v>4221429.1626594001</v>
      </c>
      <c r="BF26" s="6">
        <v>1150.0350000000001</v>
      </c>
      <c r="BG26" s="6">
        <v>684.25</v>
      </c>
      <c r="BH26" s="6">
        <v>0</v>
      </c>
      <c r="BI26" s="6">
        <v>1834.2850000000001</v>
      </c>
      <c r="BJ26" s="3">
        <v>454.8444725210241</v>
      </c>
      <c r="BK26" s="6">
        <v>12976.475</v>
      </c>
      <c r="BL26" s="6">
        <v>1490.25</v>
      </c>
      <c r="BM26" s="6">
        <v>4137</v>
      </c>
      <c r="BN26" s="6">
        <v>18603.724999999999</v>
      </c>
      <c r="BO26" s="3">
        <v>589.60559390451999</v>
      </c>
      <c r="BP26" s="7">
        <v>816529.92500000005</v>
      </c>
      <c r="BQ26" s="2">
        <v>257.44394483802267</v>
      </c>
      <c r="BR26" s="2">
        <v>1115.590427631432</v>
      </c>
    </row>
    <row r="27" spans="1:70" x14ac:dyDescent="0.3">
      <c r="A27">
        <v>2000</v>
      </c>
      <c r="B27" s="1">
        <v>921706</v>
      </c>
      <c r="C27" s="2">
        <v>76060702.759944841</v>
      </c>
      <c r="D27" s="3">
        <v>82.521653065017304</v>
      </c>
      <c r="E27" s="1">
        <v>553021</v>
      </c>
      <c r="F27" s="4">
        <v>0.66478071189543553</v>
      </c>
      <c r="G27" s="4">
        <v>0.47315823904575138</v>
      </c>
      <c r="H27" s="4">
        <v>0.53421051172513701</v>
      </c>
      <c r="I27" s="4">
        <v>0.5518220905318727</v>
      </c>
      <c r="J27" s="5">
        <v>7.0973735856862712</v>
      </c>
      <c r="K27">
        <v>40567</v>
      </c>
      <c r="L27">
        <v>155668</v>
      </c>
      <c r="M27">
        <v>105769</v>
      </c>
      <c r="N27">
        <v>302004</v>
      </c>
      <c r="O27" s="6">
        <v>304252.5</v>
      </c>
      <c r="P27" s="6">
        <v>389170</v>
      </c>
      <c r="Q27" s="6">
        <v>126922.8</v>
      </c>
      <c r="R27" s="6">
        <v>820345.3</v>
      </c>
      <c r="S27" s="2">
        <v>153.77500000000001</v>
      </c>
      <c r="T27" s="2">
        <v>97.679111111111112</v>
      </c>
      <c r="U27" s="2">
        <v>25.991800000000001</v>
      </c>
      <c r="V27" s="2">
        <v>277.44591111111112</v>
      </c>
      <c r="W27">
        <v>365</v>
      </c>
      <c r="X27">
        <v>2</v>
      </c>
      <c r="Y27">
        <v>2</v>
      </c>
      <c r="Z27">
        <v>369</v>
      </c>
      <c r="AA27" s="2">
        <v>30476875.069284212</v>
      </c>
      <c r="AB27" s="6">
        <v>8937.9</v>
      </c>
      <c r="AC27" s="6">
        <v>480</v>
      </c>
      <c r="AD27" s="6">
        <v>2940</v>
      </c>
      <c r="AE27" s="6">
        <v>12357.9</v>
      </c>
      <c r="AF27" s="3">
        <v>63.960433385350029</v>
      </c>
      <c r="AG27">
        <v>365</v>
      </c>
      <c r="AH27">
        <v>2</v>
      </c>
      <c r="AI27">
        <v>1</v>
      </c>
      <c r="AJ27">
        <v>368</v>
      </c>
      <c r="AK27" s="2">
        <v>39180822.285927318</v>
      </c>
      <c r="AL27" s="6">
        <v>2812.8</v>
      </c>
      <c r="AM27" s="6">
        <v>198</v>
      </c>
      <c r="AN27" s="6">
        <v>1158</v>
      </c>
      <c r="AO27" s="6">
        <v>4168.8</v>
      </c>
      <c r="AP27" s="3">
        <v>2.1960872972912959</v>
      </c>
      <c r="AQ27">
        <v>160</v>
      </c>
      <c r="AR27">
        <v>2</v>
      </c>
      <c r="AS27">
        <v>0</v>
      </c>
      <c r="AT27">
        <v>162</v>
      </c>
      <c r="AU27" s="2">
        <v>2002514.9953577761</v>
      </c>
      <c r="AV27" s="6">
        <v>1456</v>
      </c>
      <c r="AW27" s="6">
        <v>452</v>
      </c>
      <c r="AX27" s="6">
        <v>0</v>
      </c>
      <c r="AY27" s="6">
        <v>1908</v>
      </c>
      <c r="AZ27" s="3">
        <v>76.27904775881801</v>
      </c>
      <c r="BA27">
        <v>207</v>
      </c>
      <c r="BB27">
        <v>9</v>
      </c>
      <c r="BC27">
        <v>0</v>
      </c>
      <c r="BD27">
        <v>216</v>
      </c>
      <c r="BE27" s="2">
        <v>4400490.4093755493</v>
      </c>
      <c r="BF27" s="6">
        <v>1195.5150000000001</v>
      </c>
      <c r="BG27" s="6">
        <v>783.35</v>
      </c>
      <c r="BH27" s="6">
        <v>0</v>
      </c>
      <c r="BI27" s="6">
        <v>1978.865</v>
      </c>
      <c r="BJ27" s="3">
        <v>479.24073973121762</v>
      </c>
      <c r="BK27" s="6">
        <v>14402.215</v>
      </c>
      <c r="BL27" s="6">
        <v>1913.35</v>
      </c>
      <c r="BM27" s="6">
        <v>4098</v>
      </c>
      <c r="BN27" s="6">
        <v>20413.564999999999</v>
      </c>
      <c r="BO27" s="3">
        <v>621.67630817267695</v>
      </c>
      <c r="BP27" s="7">
        <v>840758.86499999999</v>
      </c>
      <c r="BQ27" s="2">
        <v>269.73666578513638</v>
      </c>
      <c r="BR27" s="2">
        <v>1168.858885068925</v>
      </c>
    </row>
    <row r="28" spans="1:70" x14ac:dyDescent="0.3">
      <c r="A28">
        <v>2001</v>
      </c>
      <c r="B28" s="1">
        <v>935199</v>
      </c>
      <c r="C28" s="2">
        <v>80440068.81199123</v>
      </c>
      <c r="D28" s="3">
        <v>86.013852465615585</v>
      </c>
      <c r="E28" s="1">
        <v>561118</v>
      </c>
      <c r="F28" s="4">
        <v>0.67069738469664575</v>
      </c>
      <c r="G28" s="4">
        <v>0.47734695455046983</v>
      </c>
      <c r="H28" s="4">
        <v>0.53186807402964587</v>
      </c>
      <c r="I28" s="4">
        <v>0.55427024346443365</v>
      </c>
      <c r="J28" s="5">
        <v>7.1602043182570476</v>
      </c>
      <c r="K28">
        <v>42288</v>
      </c>
      <c r="L28">
        <v>158201</v>
      </c>
      <c r="M28">
        <v>105777</v>
      </c>
      <c r="N28">
        <v>306266</v>
      </c>
      <c r="O28" s="6">
        <v>317160</v>
      </c>
      <c r="P28" s="6">
        <v>395502.5</v>
      </c>
      <c r="Q28" s="6">
        <v>126932.4</v>
      </c>
      <c r="R28" s="6">
        <v>839594.9</v>
      </c>
      <c r="S28" s="2">
        <v>159.99333333333331</v>
      </c>
      <c r="T28" s="2">
        <v>99.390222222222235</v>
      </c>
      <c r="U28" s="2">
        <v>26.129200000000001</v>
      </c>
      <c r="V28" s="2">
        <v>285.51275555555549</v>
      </c>
      <c r="W28">
        <v>381</v>
      </c>
      <c r="X28">
        <v>2</v>
      </c>
      <c r="Y28">
        <v>2</v>
      </c>
      <c r="Z28">
        <v>385</v>
      </c>
      <c r="AA28" s="2">
        <v>32404732.04220324</v>
      </c>
      <c r="AB28" s="6">
        <v>9387.2999999999993</v>
      </c>
      <c r="AC28" s="6">
        <v>494</v>
      </c>
      <c r="AD28" s="6">
        <v>2925</v>
      </c>
      <c r="AE28" s="6">
        <v>12806.3</v>
      </c>
      <c r="AF28" s="3">
        <v>67.569145074453417</v>
      </c>
      <c r="AG28">
        <v>381</v>
      </c>
      <c r="AH28">
        <v>2</v>
      </c>
      <c r="AI28">
        <v>1</v>
      </c>
      <c r="AJ28">
        <v>384</v>
      </c>
      <c r="AK28" s="2">
        <v>41251380.680511273</v>
      </c>
      <c r="AL28" s="6">
        <v>2947.96</v>
      </c>
      <c r="AM28" s="6">
        <v>194</v>
      </c>
      <c r="AN28" s="6">
        <v>1170</v>
      </c>
      <c r="AO28" s="6">
        <v>4311.96</v>
      </c>
      <c r="AP28" s="3">
        <v>2.2807740067079769</v>
      </c>
      <c r="AQ28">
        <v>174</v>
      </c>
      <c r="AR28">
        <v>3</v>
      </c>
      <c r="AS28">
        <v>0</v>
      </c>
      <c r="AT28">
        <v>177</v>
      </c>
      <c r="AU28" s="2">
        <v>2196091.7414119262</v>
      </c>
      <c r="AV28" s="6">
        <v>1698.24</v>
      </c>
      <c r="AW28" s="6">
        <v>636</v>
      </c>
      <c r="AX28" s="6">
        <v>0</v>
      </c>
      <c r="AY28" s="6">
        <v>2334.2399999999998</v>
      </c>
      <c r="AZ28" s="3">
        <v>87.286874885319378</v>
      </c>
      <c r="BA28">
        <v>213</v>
      </c>
      <c r="BB28">
        <v>9</v>
      </c>
      <c r="BC28">
        <v>0</v>
      </c>
      <c r="BD28">
        <v>222</v>
      </c>
      <c r="BE28" s="2">
        <v>4587864.3478648104</v>
      </c>
      <c r="BF28" s="6">
        <v>1220.9849999999999</v>
      </c>
      <c r="BG28" s="6">
        <v>761.9</v>
      </c>
      <c r="BH28" s="6">
        <v>0</v>
      </c>
      <c r="BI28" s="6">
        <v>1982.885</v>
      </c>
      <c r="BJ28" s="3">
        <v>504.31997646617822</v>
      </c>
      <c r="BK28" s="6">
        <v>15254.485000000001</v>
      </c>
      <c r="BL28" s="6">
        <v>2085.9</v>
      </c>
      <c r="BM28" s="6">
        <v>4095</v>
      </c>
      <c r="BN28" s="6">
        <v>21435.384999999998</v>
      </c>
      <c r="BO28" s="3">
        <v>661.45677043265891</v>
      </c>
      <c r="BP28" s="7">
        <v>861030.28500000003</v>
      </c>
      <c r="BQ28" s="2">
        <v>284.09085779646432</v>
      </c>
      <c r="BR28" s="2">
        <v>1231.0603837846791</v>
      </c>
    </row>
    <row r="29" spans="1:70" x14ac:dyDescent="0.3">
      <c r="A29">
        <v>2002</v>
      </c>
      <c r="B29" s="1">
        <v>949001</v>
      </c>
      <c r="C29" s="2">
        <v>84976995.136199459</v>
      </c>
      <c r="D29" s="3">
        <v>89.543630761400109</v>
      </c>
      <c r="E29" s="1">
        <v>569400</v>
      </c>
      <c r="F29" s="4">
        <v>0.67640476979196029</v>
      </c>
      <c r="G29" s="4">
        <v>0.48129534462212081</v>
      </c>
      <c r="H29" s="4">
        <v>0.52974996132451491</v>
      </c>
      <c r="I29" s="4">
        <v>0.55662548346663288</v>
      </c>
      <c r="J29" s="5">
        <v>7.2194301693318117</v>
      </c>
      <c r="K29">
        <v>43997</v>
      </c>
      <c r="L29">
        <v>160722</v>
      </c>
      <c r="M29">
        <v>105829</v>
      </c>
      <c r="N29">
        <v>310548</v>
      </c>
      <c r="O29" s="6">
        <v>329977.5</v>
      </c>
      <c r="P29" s="6">
        <v>401805</v>
      </c>
      <c r="Q29" s="6">
        <v>126994.8</v>
      </c>
      <c r="R29" s="6">
        <v>858777.3</v>
      </c>
      <c r="S29" s="2">
        <v>166.21</v>
      </c>
      <c r="T29" s="2">
        <v>101.13377777777779</v>
      </c>
      <c r="U29" s="2">
        <v>26.27773333333333</v>
      </c>
      <c r="V29" s="2">
        <v>293.62151111111109</v>
      </c>
      <c r="W29">
        <v>399</v>
      </c>
      <c r="X29">
        <v>3</v>
      </c>
      <c r="Y29">
        <v>3</v>
      </c>
      <c r="Z29">
        <v>405</v>
      </c>
      <c r="AA29" s="2">
        <v>34404657.362912707</v>
      </c>
      <c r="AB29" s="6">
        <v>9814.7999999999993</v>
      </c>
      <c r="AC29" s="6">
        <v>720</v>
      </c>
      <c r="AD29" s="6">
        <v>2910</v>
      </c>
      <c r="AE29" s="6">
        <v>13444.8</v>
      </c>
      <c r="AF29" s="3">
        <v>71.28883114162943</v>
      </c>
      <c r="AG29">
        <v>399</v>
      </c>
      <c r="AH29">
        <v>3</v>
      </c>
      <c r="AI29">
        <v>1</v>
      </c>
      <c r="AJ29">
        <v>403</v>
      </c>
      <c r="AK29" s="2">
        <v>43385064.580465168</v>
      </c>
      <c r="AL29" s="6">
        <v>3099.52</v>
      </c>
      <c r="AM29" s="6">
        <v>294</v>
      </c>
      <c r="AN29" s="6">
        <v>1164</v>
      </c>
      <c r="AO29" s="6">
        <v>4557.5200000000004</v>
      </c>
      <c r="AP29" s="3">
        <v>2.369542298433347</v>
      </c>
      <c r="AQ29">
        <v>188</v>
      </c>
      <c r="AR29">
        <v>3</v>
      </c>
      <c r="AS29">
        <v>0</v>
      </c>
      <c r="AT29">
        <v>191</v>
      </c>
      <c r="AU29" s="2">
        <v>2404118.9974305178</v>
      </c>
      <c r="AV29" s="6">
        <v>1752.16</v>
      </c>
      <c r="AW29" s="6">
        <v>594</v>
      </c>
      <c r="AX29" s="6">
        <v>0</v>
      </c>
      <c r="AY29" s="6">
        <v>2346.16</v>
      </c>
      <c r="AZ29" s="3">
        <v>98.166596704335774</v>
      </c>
      <c r="BA29">
        <v>220</v>
      </c>
      <c r="BB29">
        <v>10</v>
      </c>
      <c r="BC29">
        <v>0</v>
      </c>
      <c r="BD29">
        <v>230</v>
      </c>
      <c r="BE29" s="2">
        <v>4783154.1953910571</v>
      </c>
      <c r="BF29" s="6">
        <v>1278.915</v>
      </c>
      <c r="BG29" s="6">
        <v>857.1</v>
      </c>
      <c r="BH29" s="6">
        <v>0</v>
      </c>
      <c r="BI29" s="6">
        <v>2136.0149999999999</v>
      </c>
      <c r="BJ29" s="3">
        <v>530.10204520821935</v>
      </c>
      <c r="BK29" s="6">
        <v>15945.395</v>
      </c>
      <c r="BL29" s="6">
        <v>2465.1</v>
      </c>
      <c r="BM29" s="6">
        <v>4074</v>
      </c>
      <c r="BN29" s="6">
        <v>22484.494999999999</v>
      </c>
      <c r="BO29" s="3">
        <v>701.9270153526179</v>
      </c>
      <c r="BP29" s="7">
        <v>881261.79500000004</v>
      </c>
      <c r="BQ29" s="2">
        <v>298.66455793911871</v>
      </c>
      <c r="BR29" s="2">
        <v>1294.2130844028479</v>
      </c>
    </row>
    <row r="30" spans="1:70" x14ac:dyDescent="0.3">
      <c r="A30">
        <v>2003</v>
      </c>
      <c r="B30" s="1">
        <v>963122</v>
      </c>
      <c r="C30" s="2">
        <v>89684526.121962368</v>
      </c>
      <c r="D30" s="3">
        <v>93.118552085781829</v>
      </c>
      <c r="E30" s="1">
        <v>577870</v>
      </c>
      <c r="F30" s="4">
        <v>0.68192643543144715</v>
      </c>
      <c r="G30" s="4">
        <v>0.48501519511144392</v>
      </c>
      <c r="H30" s="4">
        <v>0.52789133459334814</v>
      </c>
      <c r="I30" s="4">
        <v>0.55891504665992686</v>
      </c>
      <c r="J30" s="5">
        <v>7.2752279266716577</v>
      </c>
      <c r="K30">
        <v>45693</v>
      </c>
      <c r="L30">
        <v>163246</v>
      </c>
      <c r="M30">
        <v>105924</v>
      </c>
      <c r="N30">
        <v>314863</v>
      </c>
      <c r="O30" s="6">
        <v>342697.5</v>
      </c>
      <c r="P30" s="6">
        <v>408115</v>
      </c>
      <c r="Q30" s="6">
        <v>127108.8</v>
      </c>
      <c r="R30" s="6">
        <v>877921.3</v>
      </c>
      <c r="S30" s="2">
        <v>172.42833333333331</v>
      </c>
      <c r="T30" s="2">
        <v>102.91266666666669</v>
      </c>
      <c r="U30" s="2">
        <v>26.436666666666671</v>
      </c>
      <c r="V30" s="2">
        <v>301.77766666666668</v>
      </c>
      <c r="W30">
        <v>416</v>
      </c>
      <c r="X30">
        <v>3</v>
      </c>
      <c r="Y30">
        <v>3</v>
      </c>
      <c r="Z30">
        <v>422</v>
      </c>
      <c r="AA30" s="2">
        <v>36481879.901743397</v>
      </c>
      <c r="AB30" s="6">
        <v>10128.200000000001</v>
      </c>
      <c r="AC30" s="6">
        <v>738</v>
      </c>
      <c r="AD30" s="6">
        <v>2955</v>
      </c>
      <c r="AE30" s="6">
        <v>13821.2</v>
      </c>
      <c r="AF30" s="3">
        <v>75.121917892502054</v>
      </c>
      <c r="AG30">
        <v>416</v>
      </c>
      <c r="AH30">
        <v>3</v>
      </c>
      <c r="AI30">
        <v>1</v>
      </c>
      <c r="AJ30">
        <v>420</v>
      </c>
      <c r="AK30" s="2">
        <v>45587741.76445964</v>
      </c>
      <c r="AL30" s="6">
        <v>3248.04</v>
      </c>
      <c r="AM30" s="6">
        <v>286.5</v>
      </c>
      <c r="AN30" s="6">
        <v>1140</v>
      </c>
      <c r="AO30" s="6">
        <v>4674.54</v>
      </c>
      <c r="AP30" s="3">
        <v>2.4624534243573208</v>
      </c>
      <c r="AQ30">
        <v>203</v>
      </c>
      <c r="AR30">
        <v>4</v>
      </c>
      <c r="AS30">
        <v>0</v>
      </c>
      <c r="AT30">
        <v>207</v>
      </c>
      <c r="AU30" s="2">
        <v>2628089.7317584339</v>
      </c>
      <c r="AV30" s="6">
        <v>2070.6</v>
      </c>
      <c r="AW30" s="6">
        <v>960</v>
      </c>
      <c r="AX30" s="6">
        <v>0</v>
      </c>
      <c r="AY30" s="6">
        <v>3030.6</v>
      </c>
      <c r="AZ30" s="3">
        <v>108.9493365676452</v>
      </c>
      <c r="BA30">
        <v>229</v>
      </c>
      <c r="BB30">
        <v>10</v>
      </c>
      <c r="BC30">
        <v>0</v>
      </c>
      <c r="BD30">
        <v>239</v>
      </c>
      <c r="BE30" s="2">
        <v>4986814.7240009094</v>
      </c>
      <c r="BF30" s="6">
        <v>1292.73</v>
      </c>
      <c r="BG30" s="6">
        <v>879.2</v>
      </c>
      <c r="BH30" s="6">
        <v>0</v>
      </c>
      <c r="BI30" s="6">
        <v>2171.9299999999998</v>
      </c>
      <c r="BJ30" s="3">
        <v>556.60572911259749</v>
      </c>
      <c r="BK30" s="6">
        <v>16739.57</v>
      </c>
      <c r="BL30" s="6">
        <v>2863.7</v>
      </c>
      <c r="BM30" s="6">
        <v>4095</v>
      </c>
      <c r="BN30" s="6">
        <v>23698.27</v>
      </c>
      <c r="BO30" s="3">
        <v>743.13943699710205</v>
      </c>
      <c r="BP30" s="7">
        <v>901619.57</v>
      </c>
      <c r="BQ30" s="2">
        <v>313.47513109913058</v>
      </c>
      <c r="BR30" s="2">
        <v>1358.3922347629</v>
      </c>
    </row>
    <row r="31" spans="1:70" x14ac:dyDescent="0.3">
      <c r="A31">
        <v>2004</v>
      </c>
      <c r="B31" s="1">
        <v>977574</v>
      </c>
      <c r="C31" s="2">
        <v>94577632.490683869</v>
      </c>
      <c r="D31" s="3">
        <v>96.747287152362759</v>
      </c>
      <c r="E31" s="1">
        <v>586543</v>
      </c>
      <c r="F31" s="4">
        <v>0.68728459539829512</v>
      </c>
      <c r="G31" s="4">
        <v>0.48851870233026179</v>
      </c>
      <c r="H31" s="4">
        <v>0.52633553321828752</v>
      </c>
      <c r="I31" s="4">
        <v>0.5611687759193984</v>
      </c>
      <c r="J31" s="5">
        <v>7.327780534953928</v>
      </c>
      <c r="K31">
        <v>47381</v>
      </c>
      <c r="L31">
        <v>165781</v>
      </c>
      <c r="M31">
        <v>106059</v>
      </c>
      <c r="N31">
        <v>319221</v>
      </c>
      <c r="O31" s="6">
        <v>355357.5</v>
      </c>
      <c r="P31" s="6">
        <v>414452.5</v>
      </c>
      <c r="Q31" s="6">
        <v>127270.8</v>
      </c>
      <c r="R31" s="6">
        <v>897080.8</v>
      </c>
      <c r="S31" s="2">
        <v>178.66</v>
      </c>
      <c r="T31" s="2">
        <v>104.7315555555556</v>
      </c>
      <c r="U31" s="2">
        <v>26.605266666666669</v>
      </c>
      <c r="V31" s="2">
        <v>309.99682222222219</v>
      </c>
      <c r="W31">
        <v>433</v>
      </c>
      <c r="X31">
        <v>3</v>
      </c>
      <c r="Y31">
        <v>3</v>
      </c>
      <c r="Z31">
        <v>439</v>
      </c>
      <c r="AA31" s="2">
        <v>38642455.52449441</v>
      </c>
      <c r="AB31" s="6">
        <v>10620.8</v>
      </c>
      <c r="AC31" s="6">
        <v>744</v>
      </c>
      <c r="AD31" s="6">
        <v>5790</v>
      </c>
      <c r="AE31" s="6">
        <v>17154.8</v>
      </c>
      <c r="AF31" s="3">
        <v>79.070853154660455</v>
      </c>
      <c r="AG31">
        <v>433</v>
      </c>
      <c r="AH31">
        <v>3</v>
      </c>
      <c r="AI31">
        <v>2</v>
      </c>
      <c r="AJ31">
        <v>438</v>
      </c>
      <c r="AK31" s="2">
        <v>47866206.811423764</v>
      </c>
      <c r="AL31" s="6">
        <v>3391.44</v>
      </c>
      <c r="AM31" s="6">
        <v>289.5</v>
      </c>
      <c r="AN31" s="6">
        <v>2352</v>
      </c>
      <c r="AO31" s="6">
        <v>6032.94</v>
      </c>
      <c r="AP31" s="3">
        <v>2.559570177679531</v>
      </c>
      <c r="AQ31">
        <v>219</v>
      </c>
      <c r="AR31">
        <v>4</v>
      </c>
      <c r="AS31">
        <v>0</v>
      </c>
      <c r="AT31">
        <v>223</v>
      </c>
      <c r="AU31" s="2">
        <v>2869584.1865372951</v>
      </c>
      <c r="AV31" s="6">
        <v>2041.08</v>
      </c>
      <c r="AW31" s="6">
        <v>736</v>
      </c>
      <c r="AX31" s="6">
        <v>0</v>
      </c>
      <c r="AY31" s="6">
        <v>2777.08</v>
      </c>
      <c r="AZ31" s="3">
        <v>119.6641119209755</v>
      </c>
      <c r="BA31">
        <v>237</v>
      </c>
      <c r="BB31">
        <v>10</v>
      </c>
      <c r="BC31">
        <v>0</v>
      </c>
      <c r="BD31">
        <v>247</v>
      </c>
      <c r="BE31" s="2">
        <v>5199385.9682283858</v>
      </c>
      <c r="BF31" s="6">
        <v>1342.62</v>
      </c>
      <c r="BG31" s="6">
        <v>875.3</v>
      </c>
      <c r="BH31" s="6">
        <v>0</v>
      </c>
      <c r="BI31" s="6">
        <v>2217.92</v>
      </c>
      <c r="BJ31" s="3">
        <v>583.84957125730352</v>
      </c>
      <c r="BK31" s="6">
        <v>17395.939999999999</v>
      </c>
      <c r="BL31" s="6">
        <v>2644.8</v>
      </c>
      <c r="BM31" s="6">
        <v>8142</v>
      </c>
      <c r="BN31" s="6">
        <v>28182.74</v>
      </c>
      <c r="BO31" s="3">
        <v>785.14410651061905</v>
      </c>
      <c r="BP31" s="7">
        <v>925263.54</v>
      </c>
      <c r="BQ31" s="2">
        <v>328.54227861985242</v>
      </c>
      <c r="BR31" s="2">
        <v>1423.6832073526939</v>
      </c>
    </row>
    <row r="32" spans="1:70" x14ac:dyDescent="0.3">
      <c r="A32">
        <v>2005</v>
      </c>
      <c r="B32" s="1">
        <v>992365</v>
      </c>
      <c r="C32" s="2">
        <v>99669214.531424433</v>
      </c>
      <c r="D32" s="3">
        <v>100.4360437252668</v>
      </c>
      <c r="E32" s="1">
        <v>595417</v>
      </c>
      <c r="F32" s="4">
        <v>0.69249486922009296</v>
      </c>
      <c r="G32" s="4">
        <v>0.49181491440748909</v>
      </c>
      <c r="H32" s="4">
        <v>0.52513077647285433</v>
      </c>
      <c r="I32" s="4">
        <v>0.56341522097126795</v>
      </c>
      <c r="J32" s="5">
        <v>7.3772237161123364</v>
      </c>
      <c r="K32">
        <v>49058</v>
      </c>
      <c r="L32">
        <v>168336</v>
      </c>
      <c r="M32">
        <v>106237</v>
      </c>
      <c r="N32">
        <v>323631</v>
      </c>
      <c r="O32" s="6">
        <v>367935</v>
      </c>
      <c r="P32" s="6">
        <v>420840</v>
      </c>
      <c r="Q32" s="6">
        <v>127484.4</v>
      </c>
      <c r="R32" s="6">
        <v>916259.4</v>
      </c>
      <c r="S32" s="2">
        <v>184.9083333333333</v>
      </c>
      <c r="T32" s="2">
        <v>106.59333333333331</v>
      </c>
      <c r="U32" s="2">
        <v>26.783000000000001</v>
      </c>
      <c r="V32" s="2">
        <v>318.28466666666668</v>
      </c>
      <c r="W32">
        <v>452</v>
      </c>
      <c r="X32">
        <v>3</v>
      </c>
      <c r="Y32">
        <v>3</v>
      </c>
      <c r="Z32">
        <v>458</v>
      </c>
      <c r="AA32" s="2">
        <v>40891638.772099897</v>
      </c>
      <c r="AB32" s="6">
        <v>11010.5</v>
      </c>
      <c r="AC32" s="6">
        <v>723</v>
      </c>
      <c r="AD32" s="6">
        <v>5760</v>
      </c>
      <c r="AE32" s="6">
        <v>17493.5</v>
      </c>
      <c r="AF32" s="3">
        <v>83.138198300240688</v>
      </c>
      <c r="AG32">
        <v>452</v>
      </c>
      <c r="AH32">
        <v>3</v>
      </c>
      <c r="AI32">
        <v>2</v>
      </c>
      <c r="AJ32">
        <v>457</v>
      </c>
      <c r="AK32" s="2">
        <v>50226078.398216568</v>
      </c>
      <c r="AL32" s="6">
        <v>3466.72</v>
      </c>
      <c r="AM32" s="6">
        <v>295.5</v>
      </c>
      <c r="AN32" s="6">
        <v>2328</v>
      </c>
      <c r="AO32" s="6">
        <v>6090.22</v>
      </c>
      <c r="AP32" s="3">
        <v>2.6609587335319729</v>
      </c>
      <c r="AQ32">
        <v>236</v>
      </c>
      <c r="AR32">
        <v>5</v>
      </c>
      <c r="AS32">
        <v>0</v>
      </c>
      <c r="AT32">
        <v>241</v>
      </c>
      <c r="AU32" s="2">
        <v>3130141.927856368</v>
      </c>
      <c r="AV32" s="6">
        <v>2303.36</v>
      </c>
      <c r="AW32" s="6">
        <v>1200</v>
      </c>
      <c r="AX32" s="6">
        <v>0</v>
      </c>
      <c r="AY32" s="6">
        <v>3503.36</v>
      </c>
      <c r="AZ32" s="3">
        <v>130.33821719261891</v>
      </c>
      <c r="BA32">
        <v>246</v>
      </c>
      <c r="BB32">
        <v>10</v>
      </c>
      <c r="BC32">
        <v>0</v>
      </c>
      <c r="BD32">
        <v>256</v>
      </c>
      <c r="BE32" s="2">
        <v>5421355.4332515914</v>
      </c>
      <c r="BF32" s="6">
        <v>1424.07</v>
      </c>
      <c r="BG32" s="6">
        <v>855.8</v>
      </c>
      <c r="BH32" s="6">
        <v>0</v>
      </c>
      <c r="BI32" s="6">
        <v>2279.87</v>
      </c>
      <c r="BJ32" s="3">
        <v>611.85281349294451</v>
      </c>
      <c r="BK32" s="6">
        <v>18204.650000000001</v>
      </c>
      <c r="BL32" s="6">
        <v>3074.3</v>
      </c>
      <c r="BM32" s="6">
        <v>8088</v>
      </c>
      <c r="BN32" s="6">
        <v>29366.95</v>
      </c>
      <c r="BO32" s="3">
        <v>827.99018771933606</v>
      </c>
      <c r="BP32" s="7">
        <v>945626.35</v>
      </c>
      <c r="BQ32" s="2">
        <v>343.88245631580082</v>
      </c>
      <c r="BR32" s="2">
        <v>1490.157310701803</v>
      </c>
    </row>
    <row r="33" spans="1:70" x14ac:dyDescent="0.3">
      <c r="A33">
        <v>2006</v>
      </c>
      <c r="B33" s="1">
        <v>1007511</v>
      </c>
      <c r="C33" s="2">
        <v>104974726.6796644</v>
      </c>
      <c r="D33" s="3">
        <v>104.1921395197317</v>
      </c>
      <c r="E33" s="1">
        <v>604505</v>
      </c>
      <c r="F33" s="4">
        <v>0.6975725343894239</v>
      </c>
      <c r="G33" s="4">
        <v>0.4949165682434683</v>
      </c>
      <c r="H33" s="4">
        <v>0.52433656575316445</v>
      </c>
      <c r="I33" s="4">
        <v>0.56568826594742838</v>
      </c>
      <c r="J33" s="5">
        <v>7.4237485236520246</v>
      </c>
      <c r="K33">
        <v>50730</v>
      </c>
      <c r="L33">
        <v>170920</v>
      </c>
      <c r="M33">
        <v>106455</v>
      </c>
      <c r="N33">
        <v>328105</v>
      </c>
      <c r="O33" s="6">
        <v>380475</v>
      </c>
      <c r="P33" s="6">
        <v>427300</v>
      </c>
      <c r="Q33" s="6">
        <v>127746</v>
      </c>
      <c r="R33" s="6">
        <v>935521</v>
      </c>
      <c r="S33" s="2">
        <v>191.1816666666667</v>
      </c>
      <c r="T33" s="2">
        <v>108.50088888888889</v>
      </c>
      <c r="U33" s="2">
        <v>26.969333333333331</v>
      </c>
      <c r="V33" s="2">
        <v>326.65188888888889</v>
      </c>
      <c r="W33">
        <v>472</v>
      </c>
      <c r="X33">
        <v>5</v>
      </c>
      <c r="Y33">
        <v>4</v>
      </c>
      <c r="Z33">
        <v>481</v>
      </c>
      <c r="AA33" s="2">
        <v>43235482.96518454</v>
      </c>
      <c r="AB33" s="6">
        <v>11557.4</v>
      </c>
      <c r="AC33" s="6">
        <v>1229</v>
      </c>
      <c r="AD33" s="6">
        <v>5820</v>
      </c>
      <c r="AE33" s="6">
        <v>18606.400000000001</v>
      </c>
      <c r="AF33" s="3">
        <v>87.32640801703748</v>
      </c>
      <c r="AG33">
        <v>472</v>
      </c>
      <c r="AH33">
        <v>5</v>
      </c>
      <c r="AI33">
        <v>2</v>
      </c>
      <c r="AJ33">
        <v>479</v>
      </c>
      <c r="AK33" s="2">
        <v>52674516.879703842</v>
      </c>
      <c r="AL33" s="6">
        <v>3693.96</v>
      </c>
      <c r="AM33" s="6">
        <v>487</v>
      </c>
      <c r="AN33" s="6">
        <v>2292</v>
      </c>
      <c r="AO33" s="6">
        <v>6472.96</v>
      </c>
      <c r="AP33" s="3">
        <v>2.7666842321196241</v>
      </c>
      <c r="AQ33">
        <v>255</v>
      </c>
      <c r="AR33">
        <v>5</v>
      </c>
      <c r="AS33">
        <v>0</v>
      </c>
      <c r="AT33">
        <v>260</v>
      </c>
      <c r="AU33" s="2">
        <v>3411420.74572059</v>
      </c>
      <c r="AV33" s="6">
        <v>2432.6999999999998</v>
      </c>
      <c r="AW33" s="6">
        <v>780</v>
      </c>
      <c r="AX33" s="6">
        <v>0</v>
      </c>
      <c r="AY33" s="6">
        <v>3212.7</v>
      </c>
      <c r="AZ33" s="3">
        <v>140.9968712483014</v>
      </c>
      <c r="BA33">
        <v>253</v>
      </c>
      <c r="BB33">
        <v>11</v>
      </c>
      <c r="BC33">
        <v>0</v>
      </c>
      <c r="BD33">
        <v>264</v>
      </c>
      <c r="BE33" s="2">
        <v>5653306.0890554097</v>
      </c>
      <c r="BF33" s="6">
        <v>1453.7850000000001</v>
      </c>
      <c r="BG33" s="6">
        <v>927.6</v>
      </c>
      <c r="BH33" s="6">
        <v>0</v>
      </c>
      <c r="BI33" s="6">
        <v>2381.3850000000002</v>
      </c>
      <c r="BJ33" s="3">
        <v>640.63323424964267</v>
      </c>
      <c r="BK33" s="6">
        <v>19137.845000000001</v>
      </c>
      <c r="BL33" s="6">
        <v>3423.6</v>
      </c>
      <c r="BM33" s="6">
        <v>8112</v>
      </c>
      <c r="BN33" s="6">
        <v>30673.445</v>
      </c>
      <c r="BO33" s="3">
        <v>871.72319774710115</v>
      </c>
      <c r="BP33" s="7">
        <v>966194.44499999995</v>
      </c>
      <c r="BQ33" s="2">
        <v>359.51252599079697</v>
      </c>
      <c r="BR33" s="2">
        <v>1557.8876126267869</v>
      </c>
    </row>
    <row r="34" spans="1:70" x14ac:dyDescent="0.3">
      <c r="A34">
        <v>2007</v>
      </c>
      <c r="B34" s="1">
        <v>1023022</v>
      </c>
      <c r="C34" s="2">
        <v>110508008.69756231</v>
      </c>
      <c r="D34" s="3">
        <v>108.0211458771779</v>
      </c>
      <c r="E34" s="1">
        <v>613811</v>
      </c>
      <c r="F34" s="4">
        <v>0.7025285055341256</v>
      </c>
      <c r="G34" s="4">
        <v>0.49783087150924549</v>
      </c>
      <c r="H34" s="4">
        <v>0.52402126040833941</v>
      </c>
      <c r="I34" s="4">
        <v>0.56802165677402972</v>
      </c>
      <c r="J34" s="5">
        <v>7.4674630726386821</v>
      </c>
      <c r="K34">
        <v>52395</v>
      </c>
      <c r="L34">
        <v>173538</v>
      </c>
      <c r="M34">
        <v>106712</v>
      </c>
      <c r="N34">
        <v>332645</v>
      </c>
      <c r="O34" s="6">
        <v>392962.5</v>
      </c>
      <c r="P34" s="6">
        <v>433845</v>
      </c>
      <c r="Q34" s="6">
        <v>128054.39999999999</v>
      </c>
      <c r="R34" s="6">
        <v>954861.9</v>
      </c>
      <c r="S34" s="2">
        <v>197.48833333333329</v>
      </c>
      <c r="T34" s="2">
        <v>110.45777777777781</v>
      </c>
      <c r="U34" s="2">
        <v>27.164133333333329</v>
      </c>
      <c r="V34" s="2">
        <v>335.11024444444439</v>
      </c>
      <c r="W34">
        <v>493</v>
      </c>
      <c r="X34">
        <v>5</v>
      </c>
      <c r="Y34">
        <v>4</v>
      </c>
      <c r="Z34">
        <v>502</v>
      </c>
      <c r="AA34" s="2">
        <v>45679427.922727488</v>
      </c>
      <c r="AB34" s="6">
        <v>11999.1</v>
      </c>
      <c r="AC34" s="6">
        <v>1232</v>
      </c>
      <c r="AD34" s="6">
        <v>5850</v>
      </c>
      <c r="AE34" s="6">
        <v>19081.099999999999</v>
      </c>
      <c r="AF34" s="3">
        <v>91.63810669603383</v>
      </c>
      <c r="AG34">
        <v>493</v>
      </c>
      <c r="AH34">
        <v>5</v>
      </c>
      <c r="AI34">
        <v>2</v>
      </c>
      <c r="AJ34">
        <v>500</v>
      </c>
      <c r="AK34" s="2">
        <v>55217916.488030367</v>
      </c>
      <c r="AL34" s="6">
        <v>3858.28</v>
      </c>
      <c r="AM34" s="6">
        <v>483</v>
      </c>
      <c r="AN34" s="6">
        <v>2280</v>
      </c>
      <c r="AO34" s="6">
        <v>6621.28</v>
      </c>
      <c r="AP34" s="3">
        <v>2.8768162690534691</v>
      </c>
      <c r="AQ34">
        <v>275</v>
      </c>
      <c r="AR34">
        <v>6</v>
      </c>
      <c r="AS34">
        <v>0</v>
      </c>
      <c r="AT34">
        <v>281</v>
      </c>
      <c r="AU34" s="2">
        <v>3714805.9886035142</v>
      </c>
      <c r="AV34" s="6">
        <v>2563</v>
      </c>
      <c r="AW34" s="6">
        <v>852</v>
      </c>
      <c r="AX34" s="6">
        <v>0</v>
      </c>
      <c r="AY34" s="6">
        <v>3415</v>
      </c>
      <c r="AZ34" s="3">
        <v>151.66400380950941</v>
      </c>
      <c r="BA34">
        <v>262</v>
      </c>
      <c r="BB34">
        <v>11</v>
      </c>
      <c r="BC34">
        <v>0</v>
      </c>
      <c r="BD34">
        <v>273</v>
      </c>
      <c r="BE34" s="2">
        <v>5895858.298200964</v>
      </c>
      <c r="BF34" s="6">
        <v>1511.52</v>
      </c>
      <c r="BG34" s="6">
        <v>950.35</v>
      </c>
      <c r="BH34" s="6">
        <v>0</v>
      </c>
      <c r="BI34" s="6">
        <v>2461.87</v>
      </c>
      <c r="BJ34" s="3">
        <v>670.20994180525292</v>
      </c>
      <c r="BK34" s="6">
        <v>19931.900000000001</v>
      </c>
      <c r="BL34" s="6">
        <v>3517.35</v>
      </c>
      <c r="BM34" s="6">
        <v>8130</v>
      </c>
      <c r="BN34" s="6">
        <v>31579.25</v>
      </c>
      <c r="BO34" s="3">
        <v>916.38886857984971</v>
      </c>
      <c r="BP34" s="7">
        <v>986441.15</v>
      </c>
      <c r="BQ34" s="2">
        <v>375.44973390728819</v>
      </c>
      <c r="BR34" s="2">
        <v>1626.948846931582</v>
      </c>
    </row>
    <row r="35" spans="1:70" x14ac:dyDescent="0.3">
      <c r="A35">
        <v>2008</v>
      </c>
      <c r="B35" s="1">
        <v>1038914</v>
      </c>
      <c r="C35" s="2">
        <v>116285445.8076655</v>
      </c>
      <c r="D35" s="3">
        <v>111.9298092119901</v>
      </c>
      <c r="E35" s="1">
        <v>623346</v>
      </c>
      <c r="F35" s="4">
        <v>0.7073740059585758</v>
      </c>
      <c r="G35" s="4">
        <v>0.50056914991650514</v>
      </c>
      <c r="H35" s="4">
        <v>0.52426368310588223</v>
      </c>
      <c r="I35" s="4">
        <v>0.57045446507230591</v>
      </c>
      <c r="J35" s="5">
        <v>7.5085372487475768</v>
      </c>
      <c r="K35">
        <v>54056</v>
      </c>
      <c r="L35">
        <v>176198</v>
      </c>
      <c r="M35">
        <v>107010</v>
      </c>
      <c r="N35">
        <v>337264</v>
      </c>
      <c r="O35" s="6">
        <v>405420</v>
      </c>
      <c r="P35" s="6">
        <v>440495</v>
      </c>
      <c r="Q35" s="6">
        <v>128412</v>
      </c>
      <c r="R35" s="6">
        <v>974327</v>
      </c>
      <c r="S35" s="2">
        <v>203.83333333333329</v>
      </c>
      <c r="T35" s="2">
        <v>112.46711111111109</v>
      </c>
      <c r="U35" s="2">
        <v>27.36686666666667</v>
      </c>
      <c r="V35" s="2">
        <v>343.66731111111108</v>
      </c>
      <c r="W35">
        <v>513</v>
      </c>
      <c r="X35">
        <v>5</v>
      </c>
      <c r="Y35">
        <v>4</v>
      </c>
      <c r="Z35">
        <v>522</v>
      </c>
      <c r="AA35" s="2">
        <v>48229822.949656092</v>
      </c>
      <c r="AB35" s="6">
        <v>12624.5</v>
      </c>
      <c r="AC35" s="6">
        <v>1231</v>
      </c>
      <c r="AD35" s="6">
        <v>5940</v>
      </c>
      <c r="AE35" s="6">
        <v>19795.5</v>
      </c>
      <c r="AF35" s="3">
        <v>96.075856563217343</v>
      </c>
      <c r="AG35">
        <v>513</v>
      </c>
      <c r="AH35">
        <v>5</v>
      </c>
      <c r="AI35">
        <v>2</v>
      </c>
      <c r="AJ35">
        <v>520</v>
      </c>
      <c r="AK35" s="2">
        <v>57863732.634669349</v>
      </c>
      <c r="AL35" s="6">
        <v>3991.88</v>
      </c>
      <c r="AM35" s="6">
        <v>491</v>
      </c>
      <c r="AN35" s="6">
        <v>2364</v>
      </c>
      <c r="AO35" s="6">
        <v>6846.88</v>
      </c>
      <c r="AP35" s="3">
        <v>2.9914242790671608</v>
      </c>
      <c r="AQ35">
        <v>297</v>
      </c>
      <c r="AR35">
        <v>7</v>
      </c>
      <c r="AS35">
        <v>0</v>
      </c>
      <c r="AT35">
        <v>304</v>
      </c>
      <c r="AU35" s="2">
        <v>4042234.2574528572</v>
      </c>
      <c r="AV35" s="6">
        <v>2768.04</v>
      </c>
      <c r="AW35" s="6">
        <v>1582</v>
      </c>
      <c r="AX35" s="6">
        <v>0</v>
      </c>
      <c r="AY35" s="6">
        <v>4350.04</v>
      </c>
      <c r="AZ35" s="3">
        <v>162.36184919625961</v>
      </c>
      <c r="BA35">
        <v>272</v>
      </c>
      <c r="BB35">
        <v>11</v>
      </c>
      <c r="BC35">
        <v>0</v>
      </c>
      <c r="BD35">
        <v>283</v>
      </c>
      <c r="BE35" s="2">
        <v>6149655.965887215</v>
      </c>
      <c r="BF35" s="6">
        <v>1537.2750000000001</v>
      </c>
      <c r="BG35" s="6">
        <v>949.7</v>
      </c>
      <c r="BH35" s="6">
        <v>0</v>
      </c>
      <c r="BI35" s="6">
        <v>2486.9749999999999</v>
      </c>
      <c r="BJ35" s="3">
        <v>700.6010679085075</v>
      </c>
      <c r="BK35" s="6">
        <v>20921.695</v>
      </c>
      <c r="BL35" s="6">
        <v>4253.7</v>
      </c>
      <c r="BM35" s="6">
        <v>8304</v>
      </c>
      <c r="BN35" s="6">
        <v>33479.394999999997</v>
      </c>
      <c r="BO35" s="3">
        <v>962.03019794705165</v>
      </c>
      <c r="BP35" s="7">
        <v>1007806.395</v>
      </c>
      <c r="BQ35" s="2">
        <v>391.70925271744881</v>
      </c>
      <c r="BR35" s="2">
        <v>1697.406761775612</v>
      </c>
    </row>
    <row r="36" spans="1:70" x14ac:dyDescent="0.3">
      <c r="A36">
        <v>2009</v>
      </c>
      <c r="B36" s="1">
        <v>1055202</v>
      </c>
      <c r="C36" s="2">
        <v>122323147.29513749</v>
      </c>
      <c r="D36" s="3">
        <v>115.9239153215569</v>
      </c>
      <c r="E36" s="1">
        <v>633119</v>
      </c>
      <c r="F36" s="4">
        <v>0.71211757722834457</v>
      </c>
      <c r="G36" s="4">
        <v>0.50314036104812498</v>
      </c>
      <c r="H36" s="4">
        <v>0.52515350060294674</v>
      </c>
      <c r="I36" s="4">
        <v>0.57302782271540054</v>
      </c>
      <c r="J36" s="5">
        <v>7.5471054157218749</v>
      </c>
      <c r="K36">
        <v>55715</v>
      </c>
      <c r="L36">
        <v>178908</v>
      </c>
      <c r="M36">
        <v>107351</v>
      </c>
      <c r="N36">
        <v>341974</v>
      </c>
      <c r="O36" s="6">
        <v>417862.5</v>
      </c>
      <c r="P36" s="6">
        <v>447270</v>
      </c>
      <c r="Q36" s="6">
        <v>128821.2</v>
      </c>
      <c r="R36" s="6">
        <v>993953.7</v>
      </c>
      <c r="S36" s="2">
        <v>210.23</v>
      </c>
      <c r="T36" s="2">
        <v>114.5317777777778</v>
      </c>
      <c r="U36" s="2">
        <v>27.57746666666667</v>
      </c>
      <c r="V36" s="2">
        <v>352.33924444444438</v>
      </c>
      <c r="W36">
        <v>537</v>
      </c>
      <c r="X36">
        <v>5</v>
      </c>
      <c r="Y36">
        <v>4</v>
      </c>
      <c r="Z36">
        <v>546</v>
      </c>
      <c r="AA36" s="2">
        <v>50892536.312900797</v>
      </c>
      <c r="AB36" s="6">
        <v>13255.8</v>
      </c>
      <c r="AC36" s="6">
        <v>1223</v>
      </c>
      <c r="AD36" s="6">
        <v>5880</v>
      </c>
      <c r="AE36" s="6">
        <v>20358.8</v>
      </c>
      <c r="AF36" s="3">
        <v>100.6422528904817</v>
      </c>
      <c r="AG36">
        <v>537</v>
      </c>
      <c r="AH36">
        <v>5</v>
      </c>
      <c r="AI36">
        <v>2</v>
      </c>
      <c r="AJ36">
        <v>544</v>
      </c>
      <c r="AK36" s="2">
        <v>60619818.437557079</v>
      </c>
      <c r="AL36" s="6">
        <v>4200.5200000000004</v>
      </c>
      <c r="AM36" s="6">
        <v>481</v>
      </c>
      <c r="AN36" s="6">
        <v>2376</v>
      </c>
      <c r="AO36" s="6">
        <v>7057.52</v>
      </c>
      <c r="AP36" s="3">
        <v>3.1105793906429988</v>
      </c>
      <c r="AQ36">
        <v>320</v>
      </c>
      <c r="AR36">
        <v>8</v>
      </c>
      <c r="AS36">
        <v>0</v>
      </c>
      <c r="AT36">
        <v>328</v>
      </c>
      <c r="AU36" s="2">
        <v>4395384.7636230392</v>
      </c>
      <c r="AV36" s="6">
        <v>3123.2</v>
      </c>
      <c r="AW36" s="6">
        <v>1248</v>
      </c>
      <c r="AX36" s="6">
        <v>0</v>
      </c>
      <c r="AY36" s="6">
        <v>4371.2</v>
      </c>
      <c r="AZ36" s="3">
        <v>173.11129216372379</v>
      </c>
      <c r="BA36">
        <v>282</v>
      </c>
      <c r="BB36">
        <v>12</v>
      </c>
      <c r="BC36">
        <v>0</v>
      </c>
      <c r="BD36">
        <v>294</v>
      </c>
      <c r="BE36" s="2">
        <v>6415407.7810565941</v>
      </c>
      <c r="BF36" s="6">
        <v>1575.09</v>
      </c>
      <c r="BG36" s="6">
        <v>1007.2</v>
      </c>
      <c r="BH36" s="6">
        <v>0</v>
      </c>
      <c r="BI36" s="6">
        <v>2582.29</v>
      </c>
      <c r="BJ36" s="3">
        <v>731.82476230449424</v>
      </c>
      <c r="BK36" s="6">
        <v>22154.61</v>
      </c>
      <c r="BL36" s="6">
        <v>3959.2</v>
      </c>
      <c r="BM36" s="6">
        <v>8256</v>
      </c>
      <c r="BN36" s="6">
        <v>34369.81</v>
      </c>
      <c r="BO36" s="3">
        <v>1008.6888867493431</v>
      </c>
      <c r="BP36" s="7">
        <v>1028323.51</v>
      </c>
      <c r="BQ36" s="2">
        <v>408.30843935813613</v>
      </c>
      <c r="BR36" s="2">
        <v>1769.3365705519229</v>
      </c>
    </row>
    <row r="37" spans="1:70" x14ac:dyDescent="0.3">
      <c r="A37">
        <v>2010</v>
      </c>
      <c r="B37" s="1">
        <v>1071902</v>
      </c>
      <c r="C37" s="2">
        <v>129780914.2972818</v>
      </c>
      <c r="D37" s="3">
        <v>121.07535418096229</v>
      </c>
      <c r="E37" s="1">
        <v>643141</v>
      </c>
      <c r="F37" s="4">
        <v>0.71810272511386752</v>
      </c>
      <c r="G37" s="4">
        <v>0.50555205855142271</v>
      </c>
      <c r="H37" s="4">
        <v>0.52678853491584943</v>
      </c>
      <c r="I37" s="4">
        <v>0.57614207281675889</v>
      </c>
      <c r="J37" s="5">
        <v>7.5832808782713403</v>
      </c>
      <c r="K37">
        <v>57372</v>
      </c>
      <c r="L37">
        <v>181672</v>
      </c>
      <c r="M37">
        <v>107733</v>
      </c>
      <c r="N37">
        <v>346777</v>
      </c>
      <c r="O37" s="6">
        <v>430290</v>
      </c>
      <c r="P37" s="6">
        <v>454180</v>
      </c>
      <c r="Q37" s="6">
        <v>129279.6</v>
      </c>
      <c r="R37" s="6">
        <v>1013749.6</v>
      </c>
      <c r="S37" s="2">
        <v>216.68333333333331</v>
      </c>
      <c r="T37" s="2">
        <v>116.65444444444439</v>
      </c>
      <c r="U37" s="2">
        <v>27.795999999999999</v>
      </c>
      <c r="V37" s="2">
        <v>361.13377777777782</v>
      </c>
      <c r="W37">
        <v>560</v>
      </c>
      <c r="X37">
        <v>6</v>
      </c>
      <c r="Y37">
        <v>5</v>
      </c>
      <c r="Z37">
        <v>571</v>
      </c>
      <c r="AA37" s="2">
        <v>53673828.402476773</v>
      </c>
      <c r="AB37" s="6">
        <v>13627.7</v>
      </c>
      <c r="AC37" s="6">
        <v>1461</v>
      </c>
      <c r="AD37" s="6">
        <v>5790</v>
      </c>
      <c r="AE37" s="6">
        <v>20878.7</v>
      </c>
      <c r="AF37" s="3">
        <v>105.3400343784825</v>
      </c>
      <c r="AG37">
        <v>560</v>
      </c>
      <c r="AH37">
        <v>6</v>
      </c>
      <c r="AI37">
        <v>2</v>
      </c>
      <c r="AJ37">
        <v>568</v>
      </c>
      <c r="AK37" s="2">
        <v>63494457.394310527</v>
      </c>
      <c r="AL37" s="6">
        <v>4378.3999999999996</v>
      </c>
      <c r="AM37" s="6">
        <v>584</v>
      </c>
      <c r="AN37" s="6">
        <v>2280</v>
      </c>
      <c r="AO37" s="6">
        <v>7242.4</v>
      </c>
      <c r="AP37" s="3">
        <v>3.2343566472982062</v>
      </c>
      <c r="AQ37">
        <v>345</v>
      </c>
      <c r="AR37">
        <v>8</v>
      </c>
      <c r="AS37">
        <v>0</v>
      </c>
      <c r="AT37">
        <v>353</v>
      </c>
      <c r="AU37" s="2">
        <v>4776090.8992585</v>
      </c>
      <c r="AV37" s="6">
        <v>2911.8</v>
      </c>
      <c r="AW37" s="6">
        <v>1360</v>
      </c>
      <c r="AX37" s="6">
        <v>0</v>
      </c>
      <c r="AY37" s="6">
        <v>4271.8</v>
      </c>
      <c r="AZ37" s="3">
        <v>183.9322340604551</v>
      </c>
      <c r="BA37">
        <v>339</v>
      </c>
      <c r="BB37">
        <v>14</v>
      </c>
      <c r="BC37">
        <v>0</v>
      </c>
      <c r="BD37">
        <v>353</v>
      </c>
      <c r="BE37" s="2">
        <v>7836537.6012360351</v>
      </c>
      <c r="BF37" s="6">
        <v>1966.635</v>
      </c>
      <c r="BG37" s="6">
        <v>1196.3</v>
      </c>
      <c r="BH37" s="6">
        <v>0</v>
      </c>
      <c r="BI37" s="6">
        <v>3162.9349999999999</v>
      </c>
      <c r="BJ37" s="3">
        <v>763.90029255864943</v>
      </c>
      <c r="BK37" s="6">
        <v>22884.535</v>
      </c>
      <c r="BL37" s="6">
        <v>4601.3</v>
      </c>
      <c r="BM37" s="6">
        <v>8070</v>
      </c>
      <c r="BN37" s="6">
        <v>35555.834999999999</v>
      </c>
      <c r="BO37" s="3">
        <v>1056.406917644885</v>
      </c>
      <c r="BP37" s="7">
        <v>1049305.4350000001</v>
      </c>
      <c r="BQ37" s="2">
        <v>425.26220862679889</v>
      </c>
      <c r="BR37" s="2">
        <v>1842.8029040494621</v>
      </c>
    </row>
    <row r="38" spans="1:70" x14ac:dyDescent="0.3">
      <c r="A38">
        <v>2011</v>
      </c>
      <c r="B38" s="1">
        <v>1089031</v>
      </c>
      <c r="C38" s="2">
        <v>136584069.9909972</v>
      </c>
      <c r="D38" s="3">
        <v>125.4179816653494</v>
      </c>
      <c r="E38" s="1">
        <v>653417</v>
      </c>
      <c r="F38" s="4">
        <v>0.72264751844169872</v>
      </c>
      <c r="G38" s="4">
        <v>0.50781318200250902</v>
      </c>
      <c r="H38" s="4">
        <v>0.52926833513050409</v>
      </c>
      <c r="I38" s="4">
        <v>0.57912031426279131</v>
      </c>
      <c r="J38" s="5">
        <v>7.6171977300376348</v>
      </c>
      <c r="K38">
        <v>59007</v>
      </c>
      <c r="L38">
        <v>184461</v>
      </c>
      <c r="M38">
        <v>108217</v>
      </c>
      <c r="N38">
        <v>351685</v>
      </c>
      <c r="O38" s="6">
        <v>442552.5</v>
      </c>
      <c r="P38" s="6">
        <v>461152.5</v>
      </c>
      <c r="Q38" s="6">
        <v>129860.4</v>
      </c>
      <c r="R38" s="6">
        <v>1033565.4</v>
      </c>
      <c r="S38" s="2">
        <v>223.11333333333329</v>
      </c>
      <c r="T38" s="2">
        <v>118.8097777777778</v>
      </c>
      <c r="U38" s="2">
        <v>28.033999999999999</v>
      </c>
      <c r="V38" s="2">
        <v>369.95711111111109</v>
      </c>
      <c r="W38">
        <v>582</v>
      </c>
      <c r="X38">
        <v>6</v>
      </c>
      <c r="Y38">
        <v>5</v>
      </c>
      <c r="Z38">
        <v>593</v>
      </c>
      <c r="AA38" s="2">
        <v>56447749.212198958</v>
      </c>
      <c r="AB38" s="6">
        <v>14224.6</v>
      </c>
      <c r="AC38" s="6">
        <v>1457</v>
      </c>
      <c r="AD38" s="6">
        <v>8640</v>
      </c>
      <c r="AE38" s="6">
        <v>24321.599999999999</v>
      </c>
      <c r="AF38" s="3">
        <v>109.1878526668429</v>
      </c>
      <c r="AG38">
        <v>582</v>
      </c>
      <c r="AH38">
        <v>6</v>
      </c>
      <c r="AI38">
        <v>3</v>
      </c>
      <c r="AJ38">
        <v>591</v>
      </c>
      <c r="AK38" s="2">
        <v>66819311.09922687</v>
      </c>
      <c r="AL38" s="6">
        <v>4527.5200000000004</v>
      </c>
      <c r="AM38" s="6">
        <v>579</v>
      </c>
      <c r="AN38" s="6">
        <v>3510</v>
      </c>
      <c r="AO38" s="6">
        <v>8616.52</v>
      </c>
      <c r="AP38" s="3">
        <v>3.410665204628434</v>
      </c>
      <c r="AQ38">
        <v>370</v>
      </c>
      <c r="AR38">
        <v>9</v>
      </c>
      <c r="AS38">
        <v>0</v>
      </c>
      <c r="AT38">
        <v>379</v>
      </c>
      <c r="AU38" s="2">
        <v>5158306.6363100894</v>
      </c>
      <c r="AV38" s="6">
        <v>3285.6</v>
      </c>
      <c r="AW38" s="6">
        <v>2034</v>
      </c>
      <c r="AX38" s="6">
        <v>0</v>
      </c>
      <c r="AY38" s="6">
        <v>5319.6</v>
      </c>
      <c r="AZ38" s="3">
        <v>184.59298852775979</v>
      </c>
      <c r="BA38">
        <v>350</v>
      </c>
      <c r="BB38">
        <v>14</v>
      </c>
      <c r="BC38">
        <v>0</v>
      </c>
      <c r="BD38">
        <v>364</v>
      </c>
      <c r="BE38" s="2">
        <v>8158703.0432612533</v>
      </c>
      <c r="BF38" s="6">
        <v>1974.405</v>
      </c>
      <c r="BG38" s="6">
        <v>1231.4000000000001</v>
      </c>
      <c r="BH38" s="6">
        <v>0</v>
      </c>
      <c r="BI38" s="6">
        <v>3205.8049999999998</v>
      </c>
      <c r="BJ38" s="3">
        <v>783.17900316499572</v>
      </c>
      <c r="BK38" s="6">
        <v>24012.125</v>
      </c>
      <c r="BL38" s="6">
        <v>5301.4</v>
      </c>
      <c r="BM38" s="6">
        <v>12150</v>
      </c>
      <c r="BN38" s="6">
        <v>41463.525000000001</v>
      </c>
      <c r="BO38" s="3">
        <v>1080.3705095642269</v>
      </c>
      <c r="BP38" s="7">
        <v>1075028.925</v>
      </c>
      <c r="BQ38" s="2">
        <v>435.09828620260129</v>
      </c>
      <c r="BR38" s="2">
        <v>1885.425906877939</v>
      </c>
    </row>
    <row r="39" spans="1:70" x14ac:dyDescent="0.3">
      <c r="A39">
        <v>2012</v>
      </c>
      <c r="B39" s="1">
        <v>1106605</v>
      </c>
      <c r="C39" s="2">
        <v>143701622.75452521</v>
      </c>
      <c r="D39" s="3">
        <v>129.8581000036375</v>
      </c>
      <c r="E39" s="1">
        <v>663961</v>
      </c>
      <c r="F39" s="4">
        <v>0.7271027866441615</v>
      </c>
      <c r="G39" s="4">
        <v>0.50993205272090636</v>
      </c>
      <c r="H39" s="4">
        <v>0.53268567266636568</v>
      </c>
      <c r="I39" s="4">
        <v>0.58236202221653677</v>
      </c>
      <c r="J39" s="5">
        <v>7.6489807908135949</v>
      </c>
      <c r="K39">
        <v>60647</v>
      </c>
      <c r="L39">
        <v>187320</v>
      </c>
      <c r="M39">
        <v>108744</v>
      </c>
      <c r="N39">
        <v>356711</v>
      </c>
      <c r="O39" s="6">
        <v>454852.5</v>
      </c>
      <c r="P39" s="6">
        <v>468300</v>
      </c>
      <c r="Q39" s="6">
        <v>130492.8</v>
      </c>
      <c r="R39" s="6">
        <v>1053645.3</v>
      </c>
      <c r="S39" s="2">
        <v>229.62333333333331</v>
      </c>
      <c r="T39" s="2">
        <v>121.0304444444444</v>
      </c>
      <c r="U39" s="2">
        <v>28.279266666666661</v>
      </c>
      <c r="V39" s="2">
        <v>378.93304444444448</v>
      </c>
      <c r="W39">
        <v>606</v>
      </c>
      <c r="X39">
        <v>7</v>
      </c>
      <c r="Y39">
        <v>6</v>
      </c>
      <c r="Z39">
        <v>619</v>
      </c>
      <c r="AA39" s="2">
        <v>59347109.719223931</v>
      </c>
      <c r="AB39" s="6">
        <v>14685.8</v>
      </c>
      <c r="AC39" s="6">
        <v>1692</v>
      </c>
      <c r="AD39" s="6">
        <v>11550</v>
      </c>
      <c r="AE39" s="6">
        <v>27927.8</v>
      </c>
      <c r="AF39" s="3">
        <v>113.1938353798602</v>
      </c>
      <c r="AG39">
        <v>606</v>
      </c>
      <c r="AH39">
        <v>7</v>
      </c>
      <c r="AI39">
        <v>4</v>
      </c>
      <c r="AJ39">
        <v>617</v>
      </c>
      <c r="AK39" s="2">
        <v>70286094.568114102</v>
      </c>
      <c r="AL39" s="6">
        <v>4756.72</v>
      </c>
      <c r="AM39" s="6">
        <v>672.5</v>
      </c>
      <c r="AN39" s="6">
        <v>4662</v>
      </c>
      <c r="AO39" s="6">
        <v>10091.219999999999</v>
      </c>
      <c r="AP39" s="3">
        <v>3.5921423956139882</v>
      </c>
      <c r="AQ39">
        <v>397</v>
      </c>
      <c r="AR39">
        <v>10</v>
      </c>
      <c r="AS39">
        <v>0</v>
      </c>
      <c r="AT39">
        <v>407</v>
      </c>
      <c r="AU39" s="2">
        <v>5570293.946849836</v>
      </c>
      <c r="AV39" s="6">
        <v>3700.04</v>
      </c>
      <c r="AW39" s="6">
        <v>1700</v>
      </c>
      <c r="AX39" s="6">
        <v>0</v>
      </c>
      <c r="AY39" s="6">
        <v>5400.04</v>
      </c>
      <c r="AZ39" s="3">
        <v>185.78913897128689</v>
      </c>
      <c r="BA39">
        <v>362</v>
      </c>
      <c r="BB39">
        <v>15</v>
      </c>
      <c r="BC39">
        <v>0</v>
      </c>
      <c r="BD39">
        <v>377</v>
      </c>
      <c r="BE39" s="2">
        <v>8498124.5203373805</v>
      </c>
      <c r="BF39" s="6">
        <v>2108.5949999999998</v>
      </c>
      <c r="BG39" s="6">
        <v>1284.3499999999999</v>
      </c>
      <c r="BH39" s="6">
        <v>0</v>
      </c>
      <c r="BI39" s="6">
        <v>3392.9450000000002</v>
      </c>
      <c r="BJ39" s="3">
        <v>804.19010434203847</v>
      </c>
      <c r="BK39" s="6">
        <v>25251.154999999999</v>
      </c>
      <c r="BL39" s="6">
        <v>5348.85</v>
      </c>
      <c r="BM39" s="6">
        <v>16212</v>
      </c>
      <c r="BN39" s="6">
        <v>46812.004999999997</v>
      </c>
      <c r="BO39" s="3">
        <v>1106.7652210888</v>
      </c>
      <c r="BP39" s="7">
        <v>1100457.3049999999</v>
      </c>
      <c r="BQ39" s="2">
        <v>445.70947965997323</v>
      </c>
      <c r="BR39" s="2">
        <v>1931.4077451932169</v>
      </c>
    </row>
    <row r="40" spans="1:70" x14ac:dyDescent="0.3">
      <c r="A40">
        <v>2013</v>
      </c>
      <c r="B40" s="1">
        <v>1124644</v>
      </c>
      <c r="C40" s="2">
        <v>151161690.97304609</v>
      </c>
      <c r="D40" s="3">
        <v>134.40848034848909</v>
      </c>
      <c r="E40" s="1">
        <v>674785</v>
      </c>
      <c r="F40" s="4">
        <v>0.73148215176636955</v>
      </c>
      <c r="G40" s="4">
        <v>0.5119158946674589</v>
      </c>
      <c r="H40" s="4">
        <v>0.5371089113449502</v>
      </c>
      <c r="I40" s="4">
        <v>0.5858973971834931</v>
      </c>
      <c r="J40" s="5">
        <v>7.6787384200118831</v>
      </c>
      <c r="K40">
        <v>62293</v>
      </c>
      <c r="L40">
        <v>190258</v>
      </c>
      <c r="M40">
        <v>109317</v>
      </c>
      <c r="N40">
        <v>361868</v>
      </c>
      <c r="O40" s="6">
        <v>467197.5</v>
      </c>
      <c r="P40" s="6">
        <v>475645</v>
      </c>
      <c r="Q40" s="6">
        <v>131180.4</v>
      </c>
      <c r="R40" s="6">
        <v>1074022.8999999999</v>
      </c>
      <c r="S40" s="2">
        <v>236.215</v>
      </c>
      <c r="T40" s="2">
        <v>123.3186666666667</v>
      </c>
      <c r="U40" s="2">
        <v>28.53166666666667</v>
      </c>
      <c r="V40" s="2">
        <v>388.06533333333329</v>
      </c>
      <c r="W40">
        <v>631</v>
      </c>
      <c r="X40">
        <v>8</v>
      </c>
      <c r="Y40">
        <v>7</v>
      </c>
      <c r="Z40">
        <v>646</v>
      </c>
      <c r="AA40" s="2">
        <v>62378808.011271611</v>
      </c>
      <c r="AB40" s="6">
        <v>15492.6</v>
      </c>
      <c r="AC40" s="6">
        <v>1956</v>
      </c>
      <c r="AD40" s="6">
        <v>11790</v>
      </c>
      <c r="AE40" s="6">
        <v>29238.6</v>
      </c>
      <c r="AF40" s="3">
        <v>117.3585425238287</v>
      </c>
      <c r="AG40">
        <v>631</v>
      </c>
      <c r="AH40">
        <v>8</v>
      </c>
      <c r="AI40">
        <v>4</v>
      </c>
      <c r="AJ40">
        <v>643</v>
      </c>
      <c r="AK40" s="2">
        <v>73912648.359826341</v>
      </c>
      <c r="AL40" s="6">
        <v>4907.5600000000004</v>
      </c>
      <c r="AM40" s="6">
        <v>787</v>
      </c>
      <c r="AN40" s="6">
        <v>4680</v>
      </c>
      <c r="AO40" s="6">
        <v>10374.56</v>
      </c>
      <c r="AP40" s="3">
        <v>3.7789033190885819</v>
      </c>
      <c r="AQ40">
        <v>426</v>
      </c>
      <c r="AR40">
        <v>11</v>
      </c>
      <c r="AS40">
        <v>0</v>
      </c>
      <c r="AT40">
        <v>437</v>
      </c>
      <c r="AU40" s="2">
        <v>6014258.4651435278</v>
      </c>
      <c r="AV40" s="6">
        <v>3782.88</v>
      </c>
      <c r="AW40" s="6">
        <v>2024</v>
      </c>
      <c r="AX40" s="6">
        <v>0</v>
      </c>
      <c r="AY40" s="6">
        <v>5806.88</v>
      </c>
      <c r="AZ40" s="3">
        <v>187.4930500916285</v>
      </c>
      <c r="BA40">
        <v>375</v>
      </c>
      <c r="BB40">
        <v>15</v>
      </c>
      <c r="BC40">
        <v>0</v>
      </c>
      <c r="BD40">
        <v>390</v>
      </c>
      <c r="BE40" s="2">
        <v>8855976.1368046552</v>
      </c>
      <c r="BF40" s="6">
        <v>2171.9250000000002</v>
      </c>
      <c r="BG40" s="6">
        <v>1252.5</v>
      </c>
      <c r="BH40" s="6">
        <v>0</v>
      </c>
      <c r="BI40" s="6">
        <v>3424.4250000000002</v>
      </c>
      <c r="BJ40" s="3">
        <v>826.85491227788953</v>
      </c>
      <c r="BK40" s="6">
        <v>26354.965</v>
      </c>
      <c r="BL40" s="6">
        <v>6019.5</v>
      </c>
      <c r="BM40" s="6">
        <v>16470</v>
      </c>
      <c r="BN40" s="6">
        <v>48844.464999999997</v>
      </c>
      <c r="BO40" s="3">
        <v>1135.485408212435</v>
      </c>
      <c r="BP40" s="7">
        <v>1122867.365</v>
      </c>
      <c r="BQ40" s="2">
        <v>457.06522246373061</v>
      </c>
      <c r="BR40" s="2">
        <v>1980.6159640094991</v>
      </c>
    </row>
    <row r="41" spans="1:70" x14ac:dyDescent="0.3">
      <c r="A41">
        <v>2014</v>
      </c>
      <c r="B41" s="1">
        <v>1143161</v>
      </c>
      <c r="C41" s="2">
        <v>158992950.54137149</v>
      </c>
      <c r="D41" s="3">
        <v>139.08185333594429</v>
      </c>
      <c r="E41" s="1">
        <v>685895</v>
      </c>
      <c r="F41" s="4">
        <v>0.73579744222819565</v>
      </c>
      <c r="G41" s="4">
        <v>0.51377207017366922</v>
      </c>
      <c r="H41" s="4">
        <v>0.54255564204071116</v>
      </c>
      <c r="I41" s="4">
        <v>0.58973605879230873</v>
      </c>
      <c r="J41" s="5">
        <v>7.7065810526050376</v>
      </c>
      <c r="K41">
        <v>63950</v>
      </c>
      <c r="L41">
        <v>193282</v>
      </c>
      <c r="M41">
        <v>109936</v>
      </c>
      <c r="N41">
        <v>367168</v>
      </c>
      <c r="O41" s="6">
        <v>479625</v>
      </c>
      <c r="P41" s="6">
        <v>483205</v>
      </c>
      <c r="Q41" s="6">
        <v>131923.20000000001</v>
      </c>
      <c r="R41" s="6">
        <v>1094753.2</v>
      </c>
      <c r="S41" s="2">
        <v>242.90166666666661</v>
      </c>
      <c r="T41" s="2">
        <v>125.6766666666667</v>
      </c>
      <c r="U41" s="2">
        <v>28.7912</v>
      </c>
      <c r="V41" s="2">
        <v>397.36953333333332</v>
      </c>
      <c r="W41">
        <v>657</v>
      </c>
      <c r="X41">
        <v>8</v>
      </c>
      <c r="Y41">
        <v>7</v>
      </c>
      <c r="Z41">
        <v>672</v>
      </c>
      <c r="AA41" s="2">
        <v>65549815.117434382</v>
      </c>
      <c r="AB41" s="6">
        <v>16112.5</v>
      </c>
      <c r="AC41" s="6">
        <v>1922</v>
      </c>
      <c r="AD41" s="6">
        <v>11475</v>
      </c>
      <c r="AE41" s="6">
        <v>29509.5</v>
      </c>
      <c r="AF41" s="3">
        <v>121.68269962171161</v>
      </c>
      <c r="AG41">
        <v>657</v>
      </c>
      <c r="AH41">
        <v>8</v>
      </c>
      <c r="AI41">
        <v>4</v>
      </c>
      <c r="AJ41">
        <v>669</v>
      </c>
      <c r="AK41" s="2">
        <v>77717542.575971231</v>
      </c>
      <c r="AL41" s="6">
        <v>5116.76</v>
      </c>
      <c r="AM41" s="6">
        <v>780</v>
      </c>
      <c r="AN41" s="6">
        <v>4614</v>
      </c>
      <c r="AO41" s="6">
        <v>10510.76</v>
      </c>
      <c r="AP41" s="3">
        <v>3.9710649735297072</v>
      </c>
      <c r="AQ41">
        <v>457</v>
      </c>
      <c r="AR41">
        <v>12</v>
      </c>
      <c r="AS41">
        <v>0</v>
      </c>
      <c r="AT41">
        <v>469</v>
      </c>
      <c r="AU41" s="2">
        <v>6492098.7837171452</v>
      </c>
      <c r="AV41" s="6">
        <v>3857.08</v>
      </c>
      <c r="AW41" s="6">
        <v>1536</v>
      </c>
      <c r="AX41" s="6">
        <v>0</v>
      </c>
      <c r="AY41" s="6">
        <v>5393.08</v>
      </c>
      <c r="AZ41" s="3">
        <v>189.67959849757341</v>
      </c>
      <c r="BA41">
        <v>389</v>
      </c>
      <c r="BB41">
        <v>15</v>
      </c>
      <c r="BC41">
        <v>0</v>
      </c>
      <c r="BD41">
        <v>404</v>
      </c>
      <c r="BE41" s="2">
        <v>9233494.0642486773</v>
      </c>
      <c r="BF41" s="6">
        <v>2214.7049999999999</v>
      </c>
      <c r="BG41" s="6">
        <v>1272</v>
      </c>
      <c r="BH41" s="6">
        <v>0</v>
      </c>
      <c r="BI41" s="6">
        <v>3486.7049999999999</v>
      </c>
      <c r="BJ41" s="3">
        <v>851.10448495492437</v>
      </c>
      <c r="BK41" s="6">
        <v>27301.044999999998</v>
      </c>
      <c r="BL41" s="6">
        <v>5510</v>
      </c>
      <c r="BM41" s="6">
        <v>16089</v>
      </c>
      <c r="BN41" s="6">
        <v>48900.044999999998</v>
      </c>
      <c r="BO41" s="3">
        <v>1166.437848047739</v>
      </c>
      <c r="BP41" s="7">
        <v>1143653.2450000001</v>
      </c>
      <c r="BQ41" s="2">
        <v>469.1422144143217</v>
      </c>
      <c r="BR41" s="2">
        <v>2032.9495957953941</v>
      </c>
    </row>
    <row r="42" spans="1:70" x14ac:dyDescent="0.3">
      <c r="A42">
        <v>2015</v>
      </c>
      <c r="B42" s="1">
        <v>1162166</v>
      </c>
      <c r="C42" s="2">
        <v>172059308.73148659</v>
      </c>
      <c r="D42" s="3">
        <v>148.05054418343559</v>
      </c>
      <c r="E42" s="1">
        <v>697298</v>
      </c>
      <c r="F42" s="4">
        <v>0.74436376975544472</v>
      </c>
      <c r="G42" s="4">
        <v>0.51550627082118816</v>
      </c>
      <c r="H42" s="4">
        <v>0.54896531440095186</v>
      </c>
      <c r="I42" s="4">
        <v>0.5950060223009771</v>
      </c>
      <c r="J42" s="5">
        <v>7.7325940623178226</v>
      </c>
      <c r="K42">
        <v>65617</v>
      </c>
      <c r="L42">
        <v>196401</v>
      </c>
      <c r="M42">
        <v>110602</v>
      </c>
      <c r="N42">
        <v>372620</v>
      </c>
      <c r="O42" s="6">
        <v>492127.5</v>
      </c>
      <c r="P42" s="6">
        <v>491002.5</v>
      </c>
      <c r="Q42" s="6">
        <v>132722.4</v>
      </c>
      <c r="R42" s="6">
        <v>1115852.3999999999</v>
      </c>
      <c r="S42" s="2">
        <v>249.69499999999999</v>
      </c>
      <c r="T42" s="2">
        <v>128.10622222222219</v>
      </c>
      <c r="U42" s="2">
        <v>29.057600000000001</v>
      </c>
      <c r="V42" s="2">
        <v>406.85882222222222</v>
      </c>
      <c r="W42">
        <v>684</v>
      </c>
      <c r="X42">
        <v>8</v>
      </c>
      <c r="Y42">
        <v>7</v>
      </c>
      <c r="Z42">
        <v>699</v>
      </c>
      <c r="AA42" s="2">
        <v>68867126.410932645</v>
      </c>
      <c r="AB42" s="6">
        <v>16562.599999999999</v>
      </c>
      <c r="AC42" s="6">
        <v>1952</v>
      </c>
      <c r="AD42" s="6">
        <v>11835</v>
      </c>
      <c r="AE42" s="6">
        <v>30349.599999999999</v>
      </c>
      <c r="AF42" s="3">
        <v>126.1671343142297</v>
      </c>
      <c r="AG42">
        <v>684</v>
      </c>
      <c r="AH42">
        <v>8</v>
      </c>
      <c r="AI42">
        <v>4</v>
      </c>
      <c r="AJ42">
        <v>696</v>
      </c>
      <c r="AK42" s="2">
        <v>86554417.887805447</v>
      </c>
      <c r="AL42" s="6">
        <v>5345.48</v>
      </c>
      <c r="AM42" s="6">
        <v>779</v>
      </c>
      <c r="AN42" s="6">
        <v>4722</v>
      </c>
      <c r="AO42" s="6">
        <v>10846.48</v>
      </c>
      <c r="AP42" s="3">
        <v>4.1687447627598564</v>
      </c>
      <c r="AQ42">
        <v>491</v>
      </c>
      <c r="AR42">
        <v>14</v>
      </c>
      <c r="AS42">
        <v>0</v>
      </c>
      <c r="AT42">
        <v>505</v>
      </c>
      <c r="AU42" s="2">
        <v>7005726.8398571964</v>
      </c>
      <c r="AV42" s="6">
        <v>4468.1000000000004</v>
      </c>
      <c r="AW42" s="6">
        <v>2380</v>
      </c>
      <c r="AX42" s="6">
        <v>0</v>
      </c>
      <c r="AY42" s="6">
        <v>6848.1</v>
      </c>
      <c r="AZ42" s="3">
        <v>192.32589090479479</v>
      </c>
      <c r="BA42">
        <v>403</v>
      </c>
      <c r="BB42">
        <v>17</v>
      </c>
      <c r="BC42">
        <v>0</v>
      </c>
      <c r="BD42">
        <v>420</v>
      </c>
      <c r="BE42" s="2">
        <v>9632037.5928913057</v>
      </c>
      <c r="BF42" s="6">
        <v>2238.1799999999998</v>
      </c>
      <c r="BG42" s="6">
        <v>1446.8</v>
      </c>
      <c r="BH42" s="6">
        <v>0</v>
      </c>
      <c r="BI42" s="6">
        <v>3684.98</v>
      </c>
      <c r="BJ42" s="3">
        <v>876.87814491204631</v>
      </c>
      <c r="BK42" s="6">
        <v>28614.36</v>
      </c>
      <c r="BL42" s="6">
        <v>6557.8</v>
      </c>
      <c r="BM42" s="6">
        <v>16557</v>
      </c>
      <c r="BN42" s="6">
        <v>51729.16</v>
      </c>
      <c r="BO42" s="3">
        <v>1199.5399148938311</v>
      </c>
      <c r="BP42" s="7">
        <v>1167581.56</v>
      </c>
      <c r="BQ42" s="2">
        <v>481.91962113481583</v>
      </c>
      <c r="BR42" s="2">
        <v>2088.3183582508691</v>
      </c>
    </row>
    <row r="43" spans="1:70" x14ac:dyDescent="0.3">
      <c r="A43">
        <v>2016</v>
      </c>
      <c r="B43" s="1">
        <v>1181663</v>
      </c>
      <c r="C43" s="2">
        <v>181229018.86109269</v>
      </c>
      <c r="D43" s="3">
        <v>153.36776971191671</v>
      </c>
      <c r="E43" s="1">
        <v>708997</v>
      </c>
      <c r="F43" s="4">
        <v>0.74881916023054862</v>
      </c>
      <c r="G43" s="4">
        <v>0.51712473155617866</v>
      </c>
      <c r="H43" s="4">
        <v>0.55617012055814363</v>
      </c>
      <c r="I43" s="4">
        <v>0.59941366117174844</v>
      </c>
      <c r="J43" s="5">
        <v>7.7568709733426786</v>
      </c>
      <c r="K43">
        <v>67302</v>
      </c>
      <c r="L43">
        <v>199624</v>
      </c>
      <c r="M43">
        <v>111312</v>
      </c>
      <c r="N43">
        <v>378238</v>
      </c>
      <c r="O43" s="6">
        <v>504765</v>
      </c>
      <c r="P43" s="6">
        <v>499060</v>
      </c>
      <c r="Q43" s="6">
        <v>133574.39999999999</v>
      </c>
      <c r="R43" s="6">
        <v>1137399.3999999999</v>
      </c>
      <c r="S43" s="2">
        <v>256.61333333333329</v>
      </c>
      <c r="T43" s="2">
        <v>130.61266666666671</v>
      </c>
      <c r="U43" s="2">
        <v>29.32866666666667</v>
      </c>
      <c r="V43" s="2">
        <v>416.55466666666672</v>
      </c>
      <c r="W43">
        <v>714</v>
      </c>
      <c r="X43">
        <v>10</v>
      </c>
      <c r="Y43">
        <v>8</v>
      </c>
      <c r="Z43">
        <v>732</v>
      </c>
      <c r="AA43" s="2">
        <v>72338752.853542894</v>
      </c>
      <c r="AB43" s="6">
        <v>17426.400000000001</v>
      </c>
      <c r="AC43" s="6">
        <v>2421</v>
      </c>
      <c r="AD43" s="6">
        <v>14280</v>
      </c>
      <c r="AE43" s="6">
        <v>34127.4</v>
      </c>
      <c r="AF43" s="3">
        <v>130.8128864226654</v>
      </c>
      <c r="AG43">
        <v>714</v>
      </c>
      <c r="AH43">
        <v>10</v>
      </c>
      <c r="AI43">
        <v>5</v>
      </c>
      <c r="AJ43">
        <v>729</v>
      </c>
      <c r="AK43" s="2">
        <v>91279733.370377719</v>
      </c>
      <c r="AL43" s="6">
        <v>5538.2</v>
      </c>
      <c r="AM43" s="6">
        <v>966.5</v>
      </c>
      <c r="AN43" s="6">
        <v>5790</v>
      </c>
      <c r="AO43" s="6">
        <v>12294.7</v>
      </c>
      <c r="AP43" s="3">
        <v>4.3720636071697907</v>
      </c>
      <c r="AQ43">
        <v>527</v>
      </c>
      <c r="AR43">
        <v>15</v>
      </c>
      <c r="AS43">
        <v>0</v>
      </c>
      <c r="AT43">
        <v>542</v>
      </c>
      <c r="AU43" s="2">
        <v>7557565.973718876</v>
      </c>
      <c r="AV43" s="6">
        <v>4795.7</v>
      </c>
      <c r="AW43" s="6">
        <v>2550</v>
      </c>
      <c r="AX43" s="6">
        <v>0</v>
      </c>
      <c r="AY43" s="6">
        <v>7345.7</v>
      </c>
      <c r="AZ43" s="3">
        <v>195.41126141762729</v>
      </c>
      <c r="BA43">
        <v>419</v>
      </c>
      <c r="BB43">
        <v>17</v>
      </c>
      <c r="BC43">
        <v>0</v>
      </c>
      <c r="BD43">
        <v>436</v>
      </c>
      <c r="BE43" s="2">
        <v>10052966.663453169</v>
      </c>
      <c r="BF43" s="6">
        <v>2350.02</v>
      </c>
      <c r="BG43" s="6">
        <v>1461.1</v>
      </c>
      <c r="BH43" s="6">
        <v>0</v>
      </c>
      <c r="BI43" s="6">
        <v>3811.12</v>
      </c>
      <c r="BJ43" s="3">
        <v>904.12374597329699</v>
      </c>
      <c r="BK43" s="6">
        <v>30110.32</v>
      </c>
      <c r="BL43" s="6">
        <v>7398.6</v>
      </c>
      <c r="BM43" s="6">
        <v>20070</v>
      </c>
      <c r="BN43" s="6">
        <v>57578.92</v>
      </c>
      <c r="BO43" s="3">
        <v>1234.71995742076</v>
      </c>
      <c r="BP43" s="7">
        <v>1194978.32</v>
      </c>
      <c r="BQ43" s="2">
        <v>495.38238722622782</v>
      </c>
      <c r="BR43" s="2">
        <v>2146.657011313654</v>
      </c>
    </row>
    <row r="44" spans="1:70" x14ac:dyDescent="0.3">
      <c r="A44">
        <v>2017</v>
      </c>
      <c r="B44" s="1">
        <v>1201639</v>
      </c>
      <c r="C44" s="2">
        <v>190919636.1818386</v>
      </c>
      <c r="D44" s="3">
        <v>158.882689544729</v>
      </c>
      <c r="E44" s="1">
        <v>720981</v>
      </c>
      <c r="F44" s="4">
        <v>0.75325541673381702</v>
      </c>
      <c r="G44" s="4">
        <v>0.51863014081283454</v>
      </c>
      <c r="H44" s="4">
        <v>0.56388136139982559</v>
      </c>
      <c r="I44" s="4">
        <v>0.60394295359879568</v>
      </c>
      <c r="J44" s="5">
        <v>7.7794521121925184</v>
      </c>
      <c r="K44">
        <v>69007</v>
      </c>
      <c r="L44">
        <v>202951</v>
      </c>
      <c r="M44">
        <v>112064</v>
      </c>
      <c r="N44">
        <v>384022</v>
      </c>
      <c r="O44" s="6">
        <v>517552.5</v>
      </c>
      <c r="P44" s="6">
        <v>507377.5</v>
      </c>
      <c r="Q44" s="6">
        <v>134476.79999999999</v>
      </c>
      <c r="R44" s="6">
        <v>1159406.8</v>
      </c>
      <c r="S44" s="2">
        <v>263.6516666666667</v>
      </c>
      <c r="T44" s="2">
        <v>133.19088888888891</v>
      </c>
      <c r="U44" s="2">
        <v>29.605466666666668</v>
      </c>
      <c r="V44" s="2">
        <v>426.44802222222222</v>
      </c>
      <c r="W44">
        <v>745</v>
      </c>
      <c r="X44">
        <v>11</v>
      </c>
      <c r="Y44">
        <v>8</v>
      </c>
      <c r="Z44">
        <v>764</v>
      </c>
      <c r="AA44" s="2">
        <v>75972257.464302033</v>
      </c>
      <c r="AB44" s="6">
        <v>18101.8</v>
      </c>
      <c r="AC44" s="6">
        <v>2698</v>
      </c>
      <c r="AD44" s="6">
        <v>14520</v>
      </c>
      <c r="AE44" s="6">
        <v>35319.800000000003</v>
      </c>
      <c r="AF44" s="3">
        <v>135.6211471739318</v>
      </c>
      <c r="AG44">
        <v>745</v>
      </c>
      <c r="AH44">
        <v>11</v>
      </c>
      <c r="AI44">
        <v>5</v>
      </c>
      <c r="AJ44">
        <v>761</v>
      </c>
      <c r="AK44" s="2">
        <v>96300412.396798223</v>
      </c>
      <c r="AL44" s="6">
        <v>5792.28</v>
      </c>
      <c r="AM44" s="6">
        <v>1072.5</v>
      </c>
      <c r="AN44" s="6">
        <v>5772</v>
      </c>
      <c r="AO44" s="6">
        <v>12636.78</v>
      </c>
      <c r="AP44" s="3">
        <v>4.5811445467134693</v>
      </c>
      <c r="AQ44">
        <v>566</v>
      </c>
      <c r="AR44">
        <v>16</v>
      </c>
      <c r="AS44">
        <v>0</v>
      </c>
      <c r="AT44">
        <v>582</v>
      </c>
      <c r="AU44" s="2">
        <v>8149426.5997846052</v>
      </c>
      <c r="AV44" s="6">
        <v>5026.08</v>
      </c>
      <c r="AW44" s="6">
        <v>2944</v>
      </c>
      <c r="AX44" s="6">
        <v>0</v>
      </c>
      <c r="AY44" s="6">
        <v>7970.08</v>
      </c>
      <c r="AZ44" s="3">
        <v>198.91702069064809</v>
      </c>
      <c r="BA44">
        <v>433</v>
      </c>
      <c r="BB44">
        <v>18</v>
      </c>
      <c r="BC44">
        <v>0</v>
      </c>
      <c r="BD44">
        <v>451</v>
      </c>
      <c r="BE44" s="2">
        <v>10497539.720953699</v>
      </c>
      <c r="BF44" s="6">
        <v>2495.58</v>
      </c>
      <c r="BG44" s="6">
        <v>1536.8</v>
      </c>
      <c r="BH44" s="6">
        <v>0</v>
      </c>
      <c r="BI44" s="6">
        <v>4032.38</v>
      </c>
      <c r="BJ44" s="3">
        <v>932.79636809153772</v>
      </c>
      <c r="BK44" s="6">
        <v>31415.74</v>
      </c>
      <c r="BL44" s="6">
        <v>8251.2999999999993</v>
      </c>
      <c r="BM44" s="6">
        <v>20292</v>
      </c>
      <c r="BN44" s="6">
        <v>59959.040000000001</v>
      </c>
      <c r="BO44" s="3">
        <v>1271.915680502831</v>
      </c>
      <c r="BP44" s="7">
        <v>1219365.8400000001</v>
      </c>
      <c r="BQ44" s="2">
        <v>509.50911081751599</v>
      </c>
      <c r="BR44" s="2">
        <v>2207.872813542569</v>
      </c>
    </row>
    <row r="45" spans="1:70" x14ac:dyDescent="0.3">
      <c r="A45">
        <v>2018</v>
      </c>
      <c r="B45" s="1">
        <v>1222063</v>
      </c>
      <c r="C45" s="2">
        <v>201178189.98195481</v>
      </c>
      <c r="D45" s="3">
        <v>164.6217829866012</v>
      </c>
      <c r="E45" s="1">
        <v>733236</v>
      </c>
      <c r="F45" s="4">
        <v>0.75768934159580248</v>
      </c>
      <c r="G45" s="4">
        <v>0.5200250433237722</v>
      </c>
      <c r="H45" s="4">
        <v>0.57170812879061539</v>
      </c>
      <c r="I45" s="4">
        <v>0.60845706012072076</v>
      </c>
      <c r="J45" s="5">
        <v>7.8003756498565826</v>
      </c>
      <c r="K45">
        <v>70734</v>
      </c>
      <c r="L45">
        <v>206391</v>
      </c>
      <c r="M45">
        <v>112860</v>
      </c>
      <c r="N45">
        <v>389985</v>
      </c>
      <c r="O45" s="6">
        <v>530505</v>
      </c>
      <c r="P45" s="6">
        <v>515977.5</v>
      </c>
      <c r="Q45" s="6">
        <v>135432</v>
      </c>
      <c r="R45" s="6">
        <v>1181914.5</v>
      </c>
      <c r="S45" s="2">
        <v>270.80833333333328</v>
      </c>
      <c r="T45" s="2">
        <v>135.83866666666671</v>
      </c>
      <c r="U45" s="2">
        <v>29.886333333333329</v>
      </c>
      <c r="V45" s="2">
        <v>436.5333333333333</v>
      </c>
      <c r="W45">
        <v>776</v>
      </c>
      <c r="X45">
        <v>12</v>
      </c>
      <c r="Y45">
        <v>9</v>
      </c>
      <c r="Z45">
        <v>797</v>
      </c>
      <c r="AA45" s="2">
        <v>79776374.098342702</v>
      </c>
      <c r="AB45" s="6">
        <v>18858.7</v>
      </c>
      <c r="AC45" s="6">
        <v>2970</v>
      </c>
      <c r="AD45" s="6">
        <v>14310</v>
      </c>
      <c r="AE45" s="6">
        <v>36138.699999999997</v>
      </c>
      <c r="AF45" s="3">
        <v>140.59319082213861</v>
      </c>
      <c r="AG45">
        <v>776</v>
      </c>
      <c r="AH45">
        <v>12</v>
      </c>
      <c r="AI45">
        <v>5</v>
      </c>
      <c r="AJ45">
        <v>793</v>
      </c>
      <c r="AK45" s="2">
        <v>101651039.55119251</v>
      </c>
      <c r="AL45" s="6">
        <v>6034.56</v>
      </c>
      <c r="AM45" s="6">
        <v>1163</v>
      </c>
      <c r="AN45" s="6">
        <v>5868</v>
      </c>
      <c r="AO45" s="6">
        <v>13065.56</v>
      </c>
      <c r="AP45" s="3">
        <v>4.7961110833938587</v>
      </c>
      <c r="AQ45">
        <v>608</v>
      </c>
      <c r="AR45">
        <v>18</v>
      </c>
      <c r="AS45">
        <v>0</v>
      </c>
      <c r="AT45">
        <v>626</v>
      </c>
      <c r="AU45" s="2">
        <v>8783819.5266615693</v>
      </c>
      <c r="AV45" s="6">
        <v>5131.5200000000004</v>
      </c>
      <c r="AW45" s="6">
        <v>3816</v>
      </c>
      <c r="AX45" s="6">
        <v>0</v>
      </c>
      <c r="AY45" s="6">
        <v>8947.52</v>
      </c>
      <c r="AZ45" s="3">
        <v>202.8262081462471</v>
      </c>
      <c r="BA45">
        <v>450</v>
      </c>
      <c r="BB45">
        <v>18</v>
      </c>
      <c r="BC45">
        <v>0</v>
      </c>
      <c r="BD45">
        <v>468</v>
      </c>
      <c r="BE45" s="2">
        <v>10966956.80575813</v>
      </c>
      <c r="BF45" s="6">
        <v>2561.7600000000002</v>
      </c>
      <c r="BG45" s="6">
        <v>1554.35</v>
      </c>
      <c r="BH45" s="6">
        <v>0</v>
      </c>
      <c r="BI45" s="6">
        <v>4116.1099999999997</v>
      </c>
      <c r="BJ45" s="3">
        <v>962.85703686101169</v>
      </c>
      <c r="BK45" s="6">
        <v>32586.54</v>
      </c>
      <c r="BL45" s="6">
        <v>9503.35</v>
      </c>
      <c r="BM45" s="6">
        <v>20178</v>
      </c>
      <c r="BN45" s="6">
        <v>62267.89</v>
      </c>
      <c r="BO45" s="3">
        <v>1311.072546912791</v>
      </c>
      <c r="BP45" s="7">
        <v>1244182.3899999999</v>
      </c>
      <c r="BQ45" s="2">
        <v>524.28176407383739</v>
      </c>
      <c r="BR45" s="2">
        <v>2271.887644319962</v>
      </c>
    </row>
    <row r="46" spans="1:70" x14ac:dyDescent="0.3">
      <c r="A46">
        <v>2019</v>
      </c>
      <c r="B46" s="1">
        <v>1242881</v>
      </c>
      <c r="C46" s="2">
        <v>212053091.15023789</v>
      </c>
      <c r="D46" s="3">
        <v>170.61415465377451</v>
      </c>
      <c r="E46" s="1">
        <v>745727</v>
      </c>
      <c r="F46" s="4">
        <v>0.76213754788365062</v>
      </c>
      <c r="G46" s="4">
        <v>0.52130786957719444</v>
      </c>
      <c r="H46" s="4">
        <v>0.5792121723405137</v>
      </c>
      <c r="I46" s="4">
        <v>0.61280425642258818</v>
      </c>
      <c r="J46" s="5">
        <v>7.8196180436579166</v>
      </c>
      <c r="K46">
        <v>72481</v>
      </c>
      <c r="L46">
        <v>209937</v>
      </c>
      <c r="M46">
        <v>113692</v>
      </c>
      <c r="N46">
        <v>396110</v>
      </c>
      <c r="O46" s="6">
        <v>543607.5</v>
      </c>
      <c r="P46" s="6">
        <v>524842.5</v>
      </c>
      <c r="Q46" s="6">
        <v>136430.39999999999</v>
      </c>
      <c r="R46" s="6">
        <v>1204880.3999999999</v>
      </c>
      <c r="S46" s="2">
        <v>278.0866666666667</v>
      </c>
      <c r="T46" s="2">
        <v>138.54955555555549</v>
      </c>
      <c r="U46" s="2">
        <v>30.169866666666671</v>
      </c>
      <c r="V46" s="2">
        <v>446.80608888888889</v>
      </c>
      <c r="W46">
        <v>811</v>
      </c>
      <c r="X46">
        <v>12</v>
      </c>
      <c r="Y46">
        <v>9</v>
      </c>
      <c r="Z46">
        <v>832</v>
      </c>
      <c r="AA46" s="2">
        <v>83759677.045885116</v>
      </c>
      <c r="AB46" s="6">
        <v>19688.7</v>
      </c>
      <c r="AC46" s="6">
        <v>2935</v>
      </c>
      <c r="AD46" s="6">
        <v>14460</v>
      </c>
      <c r="AE46" s="6">
        <v>37083.699999999997</v>
      </c>
      <c r="AF46" s="3">
        <v>145.73049753437229</v>
      </c>
      <c r="AG46">
        <v>811</v>
      </c>
      <c r="AH46">
        <v>12</v>
      </c>
      <c r="AI46">
        <v>5</v>
      </c>
      <c r="AJ46">
        <v>828</v>
      </c>
      <c r="AK46" s="2">
        <v>107368605.1508989</v>
      </c>
      <c r="AL46" s="6">
        <v>6238.16</v>
      </c>
      <c r="AM46" s="6">
        <v>1155</v>
      </c>
      <c r="AN46" s="6">
        <v>5880</v>
      </c>
      <c r="AO46" s="6">
        <v>13273.16</v>
      </c>
      <c r="AP46" s="3">
        <v>5.0170906046974713</v>
      </c>
      <c r="AQ46">
        <v>653</v>
      </c>
      <c r="AR46">
        <v>19</v>
      </c>
      <c r="AS46">
        <v>0</v>
      </c>
      <c r="AT46">
        <v>672</v>
      </c>
      <c r="AU46" s="2">
        <v>9462719.706302749</v>
      </c>
      <c r="AV46" s="6">
        <v>6085.96</v>
      </c>
      <c r="AW46" s="6">
        <v>4560</v>
      </c>
      <c r="AX46" s="6">
        <v>0</v>
      </c>
      <c r="AY46" s="6">
        <v>10645.96</v>
      </c>
      <c r="AZ46" s="3">
        <v>207.1236470211027</v>
      </c>
      <c r="BA46">
        <v>469</v>
      </c>
      <c r="BB46">
        <v>20</v>
      </c>
      <c r="BC46">
        <v>0</v>
      </c>
      <c r="BD46">
        <v>489</v>
      </c>
      <c r="BE46" s="2">
        <v>11462089.24715119</v>
      </c>
      <c r="BF46" s="6">
        <v>2647.3649999999998</v>
      </c>
      <c r="BG46" s="6">
        <v>1741.5</v>
      </c>
      <c r="BH46" s="6">
        <v>0</v>
      </c>
      <c r="BI46" s="6">
        <v>4388.8649999999998</v>
      </c>
      <c r="BJ46" s="3">
        <v>994.27333200681073</v>
      </c>
      <c r="BK46" s="6">
        <v>34660.184999999998</v>
      </c>
      <c r="BL46" s="6">
        <v>10391.5</v>
      </c>
      <c r="BM46" s="6">
        <v>20340</v>
      </c>
      <c r="BN46" s="6">
        <v>65391.684999999998</v>
      </c>
      <c r="BO46" s="3">
        <v>1352.1445671669831</v>
      </c>
      <c r="BP46" s="7">
        <v>1270272.085</v>
      </c>
      <c r="BQ46" s="2">
        <v>539.68519681676162</v>
      </c>
      <c r="BR46" s="2">
        <v>2338.6358528726341</v>
      </c>
    </row>
    <row r="47" spans="1:70" x14ac:dyDescent="0.3">
      <c r="A47">
        <v>2020</v>
      </c>
      <c r="B47" s="1">
        <v>1264008</v>
      </c>
      <c r="C47" s="2">
        <v>223595760.79742381</v>
      </c>
      <c r="D47" s="3">
        <v>176.89426079377969</v>
      </c>
      <c r="E47" s="1">
        <v>758403</v>
      </c>
      <c r="F47" s="4">
        <v>0.76661868561117164</v>
      </c>
      <c r="G47" s="4">
        <v>0.5224737320369135</v>
      </c>
      <c r="H47" s="4">
        <v>0.58599563074908712</v>
      </c>
      <c r="I47" s="4">
        <v>0.61684977838724031</v>
      </c>
      <c r="J47" s="5">
        <v>7.8371059805537016</v>
      </c>
      <c r="K47">
        <v>74254</v>
      </c>
      <c r="L47">
        <v>213586</v>
      </c>
      <c r="M47">
        <v>114552</v>
      </c>
      <c r="N47">
        <v>402392</v>
      </c>
      <c r="O47" s="6">
        <v>556905</v>
      </c>
      <c r="P47" s="6">
        <v>533965</v>
      </c>
      <c r="Q47" s="6">
        <v>137462.39999999999</v>
      </c>
      <c r="R47" s="6">
        <v>1228332.3999999999</v>
      </c>
      <c r="S47" s="2">
        <v>285.46499999999997</v>
      </c>
      <c r="T47" s="2">
        <v>141.31466666666671</v>
      </c>
      <c r="U47" s="2">
        <v>30.453600000000002</v>
      </c>
      <c r="V47" s="2">
        <v>457.23326666666668</v>
      </c>
      <c r="W47">
        <v>847</v>
      </c>
      <c r="X47">
        <v>12</v>
      </c>
      <c r="Y47">
        <v>9</v>
      </c>
      <c r="Z47">
        <v>868</v>
      </c>
      <c r="AA47" s="2">
        <v>87930580.681220651</v>
      </c>
      <c r="AB47" s="6">
        <v>20485.599999999999</v>
      </c>
      <c r="AC47" s="6">
        <v>2949</v>
      </c>
      <c r="AD47" s="6">
        <v>17820</v>
      </c>
      <c r="AE47" s="6">
        <v>41254.6</v>
      </c>
      <c r="AF47" s="3">
        <v>151.03468741469359</v>
      </c>
      <c r="AG47">
        <v>847</v>
      </c>
      <c r="AH47">
        <v>12</v>
      </c>
      <c r="AI47">
        <v>6</v>
      </c>
      <c r="AJ47">
        <v>865</v>
      </c>
      <c r="AK47" s="2">
        <v>113493544.24620409</v>
      </c>
      <c r="AL47" s="6">
        <v>6562.8</v>
      </c>
      <c r="AM47" s="6">
        <v>1150</v>
      </c>
      <c r="AN47" s="6">
        <v>6882</v>
      </c>
      <c r="AO47" s="6">
        <v>14594.8</v>
      </c>
      <c r="AP47" s="3">
        <v>5.2442128255991181</v>
      </c>
      <c r="AQ47">
        <v>700</v>
      </c>
      <c r="AR47">
        <v>21</v>
      </c>
      <c r="AS47">
        <v>0</v>
      </c>
      <c r="AT47">
        <v>721</v>
      </c>
      <c r="AU47" s="2">
        <v>10188012.319621131</v>
      </c>
      <c r="AV47" s="6">
        <v>6216</v>
      </c>
      <c r="AW47" s="6">
        <v>2688</v>
      </c>
      <c r="AX47" s="6">
        <v>0</v>
      </c>
      <c r="AY47" s="6">
        <v>8904</v>
      </c>
      <c r="AZ47" s="3">
        <v>211.79572058055911</v>
      </c>
      <c r="BA47">
        <v>487</v>
      </c>
      <c r="BB47">
        <v>20</v>
      </c>
      <c r="BC47">
        <v>1</v>
      </c>
      <c r="BD47">
        <v>508</v>
      </c>
      <c r="BE47" s="2">
        <v>11983623.550377909</v>
      </c>
      <c r="BF47" s="6">
        <v>2834.97</v>
      </c>
      <c r="BG47" s="6">
        <v>1719.4</v>
      </c>
      <c r="BH47" s="6">
        <v>2395</v>
      </c>
      <c r="BI47" s="6">
        <v>6949.37</v>
      </c>
      <c r="BJ47" s="3">
        <v>1027.0182274710289</v>
      </c>
      <c r="BK47" s="6">
        <v>36099.370000000003</v>
      </c>
      <c r="BL47" s="6">
        <v>8506.4</v>
      </c>
      <c r="BM47" s="6">
        <v>27097</v>
      </c>
      <c r="BN47" s="6">
        <v>71702.77</v>
      </c>
      <c r="BO47" s="3">
        <v>1395.092848291881</v>
      </c>
      <c r="BP47" s="7">
        <v>1300035.17</v>
      </c>
      <c r="BQ47" s="2">
        <v>555.69783448756436</v>
      </c>
      <c r="BR47" s="2">
        <v>2408.0239494461121</v>
      </c>
    </row>
    <row r="48" spans="1:70" x14ac:dyDescent="0.3">
      <c r="A48">
        <v>2021</v>
      </c>
      <c r="B48" s="1">
        <v>1285339</v>
      </c>
      <c r="C48" s="2">
        <v>235864106.90920809</v>
      </c>
      <c r="D48" s="3">
        <v>183.50342353978851</v>
      </c>
      <c r="E48" s="1">
        <v>771201</v>
      </c>
      <c r="F48" s="4">
        <v>0.77115409692517489</v>
      </c>
      <c r="G48" s="4">
        <v>0.52351691501032682</v>
      </c>
      <c r="H48" s="4">
        <v>0.59178476280948389</v>
      </c>
      <c r="I48" s="4">
        <v>0.62050491015627252</v>
      </c>
      <c r="J48" s="5">
        <v>7.8527537251549031</v>
      </c>
      <c r="K48">
        <v>76049</v>
      </c>
      <c r="L48">
        <v>217329</v>
      </c>
      <c r="M48">
        <v>115422</v>
      </c>
      <c r="N48">
        <v>408800</v>
      </c>
      <c r="O48" s="6">
        <v>570367.5</v>
      </c>
      <c r="P48" s="6">
        <v>543322.5</v>
      </c>
      <c r="Q48" s="6">
        <v>138506.4</v>
      </c>
      <c r="R48" s="6">
        <v>1252196.3999999999</v>
      </c>
      <c r="S48" s="2">
        <v>292.93166666666667</v>
      </c>
      <c r="T48" s="2">
        <v>144.12222222222221</v>
      </c>
      <c r="U48" s="2">
        <v>30.7348</v>
      </c>
      <c r="V48" s="2">
        <v>467.78868888888888</v>
      </c>
      <c r="W48">
        <v>885</v>
      </c>
      <c r="X48">
        <v>13</v>
      </c>
      <c r="Y48">
        <v>11</v>
      </c>
      <c r="Z48">
        <v>909</v>
      </c>
      <c r="AA48" s="2">
        <v>92298786.669593066</v>
      </c>
      <c r="AB48" s="6">
        <v>21834.3</v>
      </c>
      <c r="AC48" s="6">
        <v>3153</v>
      </c>
      <c r="AD48" s="6">
        <v>20130</v>
      </c>
      <c r="AE48" s="6">
        <v>45117.3</v>
      </c>
      <c r="AF48" s="3">
        <v>156.5074464158856</v>
      </c>
      <c r="AG48">
        <v>885</v>
      </c>
      <c r="AH48">
        <v>13</v>
      </c>
      <c r="AI48">
        <v>7</v>
      </c>
      <c r="AJ48">
        <v>905</v>
      </c>
      <c r="AK48" s="2">
        <v>120071214.6895273</v>
      </c>
      <c r="AL48" s="6">
        <v>6866.64</v>
      </c>
      <c r="AM48" s="6">
        <v>1259</v>
      </c>
      <c r="AN48" s="6">
        <v>8040</v>
      </c>
      <c r="AO48" s="6">
        <v>16165.64</v>
      </c>
      <c r="AP48" s="3">
        <v>5.477607952822372</v>
      </c>
      <c r="AQ48">
        <v>752</v>
      </c>
      <c r="AR48">
        <v>23</v>
      </c>
      <c r="AS48">
        <v>0</v>
      </c>
      <c r="AT48">
        <v>775</v>
      </c>
      <c r="AU48" s="2">
        <v>10962181.656798961</v>
      </c>
      <c r="AV48" s="6">
        <v>6677.76</v>
      </c>
      <c r="AW48" s="6">
        <v>5520</v>
      </c>
      <c r="AX48" s="6">
        <v>0</v>
      </c>
      <c r="AY48" s="6">
        <v>12197.76</v>
      </c>
      <c r="AZ48" s="3">
        <v>216.83014798362089</v>
      </c>
      <c r="BA48">
        <v>507</v>
      </c>
      <c r="BB48">
        <v>21</v>
      </c>
      <c r="BC48">
        <v>1</v>
      </c>
      <c r="BD48">
        <v>529</v>
      </c>
      <c r="BE48" s="2">
        <v>12531923.8932888</v>
      </c>
      <c r="BF48" s="6">
        <v>2920.4549999999999</v>
      </c>
      <c r="BG48" s="6">
        <v>1843.2</v>
      </c>
      <c r="BH48" s="6">
        <v>2458</v>
      </c>
      <c r="BI48" s="6">
        <v>7221.6549999999997</v>
      </c>
      <c r="BJ48" s="3">
        <v>1061.0689339208559</v>
      </c>
      <c r="BK48" s="6">
        <v>38299.154999999999</v>
      </c>
      <c r="BL48" s="6">
        <v>11775.2</v>
      </c>
      <c r="BM48" s="6">
        <v>30628</v>
      </c>
      <c r="BN48" s="6">
        <v>80702.354999999996</v>
      </c>
      <c r="BO48" s="3">
        <v>1439.884136273185</v>
      </c>
      <c r="BP48" s="7">
        <v>1332898.7549999999</v>
      </c>
      <c r="BQ48" s="2">
        <v>572.30184754862216</v>
      </c>
      <c r="BR48" s="2">
        <v>2479.9746727106958</v>
      </c>
    </row>
    <row r="49" spans="1:70" x14ac:dyDescent="0.3">
      <c r="A49">
        <v>2022</v>
      </c>
      <c r="B49" s="1">
        <v>1306757</v>
      </c>
      <c r="C49" s="2">
        <v>248921685.8834742</v>
      </c>
      <c r="D49" s="3">
        <v>190.48812126774459</v>
      </c>
      <c r="E49" s="1">
        <v>784052</v>
      </c>
      <c r="F49" s="4">
        <v>0.77576562865610799</v>
      </c>
      <c r="G49" s="4">
        <v>0.52442747499187015</v>
      </c>
      <c r="H49" s="4">
        <v>0.59647904842092458</v>
      </c>
      <c r="I49" s="4">
        <v>0.62374017994110387</v>
      </c>
      <c r="J49" s="5">
        <v>7.8664121248780523</v>
      </c>
      <c r="K49">
        <v>77867</v>
      </c>
      <c r="L49">
        <v>221152</v>
      </c>
      <c r="M49">
        <v>116296</v>
      </c>
      <c r="N49">
        <v>415315</v>
      </c>
      <c r="O49" s="6">
        <v>584002.5</v>
      </c>
      <c r="P49" s="6">
        <v>552880</v>
      </c>
      <c r="Q49" s="6">
        <v>139555.20000000001</v>
      </c>
      <c r="R49" s="6">
        <v>1276437.7</v>
      </c>
      <c r="S49" s="2">
        <v>300.45666666666659</v>
      </c>
      <c r="T49" s="2">
        <v>146.9575555555555</v>
      </c>
      <c r="U49" s="2">
        <v>31.011066666666661</v>
      </c>
      <c r="V49" s="2">
        <v>478.42528888888887</v>
      </c>
      <c r="W49">
        <v>926</v>
      </c>
      <c r="X49">
        <v>14</v>
      </c>
      <c r="Y49">
        <v>11</v>
      </c>
      <c r="Z49">
        <v>951</v>
      </c>
      <c r="AA49" s="2">
        <v>96874228.336949646</v>
      </c>
      <c r="AB49" s="6">
        <v>22624.1</v>
      </c>
      <c r="AC49" s="6">
        <v>3441</v>
      </c>
      <c r="AD49" s="6">
        <v>20760</v>
      </c>
      <c r="AE49" s="6">
        <v>46825.1</v>
      </c>
      <c r="AF49" s="3">
        <v>162.15066246246789</v>
      </c>
      <c r="AG49">
        <v>926</v>
      </c>
      <c r="AH49">
        <v>14</v>
      </c>
      <c r="AI49">
        <v>7</v>
      </c>
      <c r="AJ49">
        <v>947</v>
      </c>
      <c r="AK49" s="2">
        <v>127153120.0986786</v>
      </c>
      <c r="AL49" s="6">
        <v>7272.84</v>
      </c>
      <c r="AM49" s="6">
        <v>1344.5</v>
      </c>
      <c r="AN49" s="6">
        <v>8058</v>
      </c>
      <c r="AO49" s="6">
        <v>16675.34</v>
      </c>
      <c r="AP49" s="3">
        <v>5.717410435515534</v>
      </c>
      <c r="AQ49">
        <v>806</v>
      </c>
      <c r="AR49">
        <v>24</v>
      </c>
      <c r="AS49">
        <v>0</v>
      </c>
      <c r="AT49">
        <v>830</v>
      </c>
      <c r="AU49" s="2">
        <v>11786959.502522949</v>
      </c>
      <c r="AV49" s="6">
        <v>7334.6</v>
      </c>
      <c r="AW49" s="6">
        <v>3744</v>
      </c>
      <c r="AX49" s="6">
        <v>0</v>
      </c>
      <c r="AY49" s="6">
        <v>11078.6</v>
      </c>
      <c r="AZ49" s="3">
        <v>222.21608921680939</v>
      </c>
      <c r="BA49">
        <v>527</v>
      </c>
      <c r="BB49">
        <v>22</v>
      </c>
      <c r="BC49">
        <v>1</v>
      </c>
      <c r="BD49">
        <v>550</v>
      </c>
      <c r="BE49" s="2">
        <v>13107377.94532297</v>
      </c>
      <c r="BF49" s="6">
        <v>2997.93</v>
      </c>
      <c r="BG49" s="6">
        <v>1856.5</v>
      </c>
      <c r="BH49" s="6">
        <v>2416</v>
      </c>
      <c r="BI49" s="6">
        <v>7270.43</v>
      </c>
      <c r="BJ49" s="3">
        <v>1096.4077929760119</v>
      </c>
      <c r="BK49" s="6">
        <v>40229.47</v>
      </c>
      <c r="BL49" s="6">
        <v>10386</v>
      </c>
      <c r="BM49" s="6">
        <v>31234</v>
      </c>
      <c r="BN49" s="6">
        <v>81849.47</v>
      </c>
      <c r="BO49" s="3">
        <v>1486.491955090805</v>
      </c>
      <c r="BP49" s="7">
        <v>1358287.17</v>
      </c>
      <c r="BQ49" s="2">
        <v>589.47517319390818</v>
      </c>
      <c r="BR49" s="2">
        <v>2554.392417173603</v>
      </c>
    </row>
    <row r="50" spans="1:70" x14ac:dyDescent="0.3">
      <c r="A50">
        <v>2023</v>
      </c>
      <c r="B50" s="1">
        <v>1328152</v>
      </c>
      <c r="C50" s="2">
        <v>262843478.66225311</v>
      </c>
      <c r="D50" s="3">
        <v>197.90165482734889</v>
      </c>
      <c r="E50" s="1">
        <v>796890</v>
      </c>
      <c r="F50" s="4">
        <v>0.78047646972202189</v>
      </c>
      <c r="G50" s="4">
        <v>0.52519596905050758</v>
      </c>
      <c r="H50" s="4">
        <v>0.60014796351011213</v>
      </c>
      <c r="I50" s="4">
        <v>0.6265847851330798</v>
      </c>
      <c r="J50" s="5">
        <v>7.8779395357576139</v>
      </c>
      <c r="K50">
        <v>79704</v>
      </c>
      <c r="L50">
        <v>225042</v>
      </c>
      <c r="M50">
        <v>117158</v>
      </c>
      <c r="N50">
        <v>421904</v>
      </c>
      <c r="O50" s="6">
        <v>597780</v>
      </c>
      <c r="P50" s="6">
        <v>562605</v>
      </c>
      <c r="Q50" s="6">
        <v>140589.6</v>
      </c>
      <c r="R50" s="6">
        <v>1300974.6000000001</v>
      </c>
      <c r="S50" s="2">
        <v>308.01333333333332</v>
      </c>
      <c r="T50" s="2">
        <v>149.80666666666659</v>
      </c>
      <c r="U50" s="2">
        <v>31.280466666666669</v>
      </c>
      <c r="V50" s="2">
        <v>489.1004666666667</v>
      </c>
      <c r="W50">
        <v>968</v>
      </c>
      <c r="X50">
        <v>15</v>
      </c>
      <c r="Y50">
        <v>12</v>
      </c>
      <c r="Z50">
        <v>995</v>
      </c>
      <c r="AA50" s="2">
        <v>101667421.27121679</v>
      </c>
      <c r="AB50" s="6">
        <v>23480</v>
      </c>
      <c r="AC50" s="6">
        <v>3665</v>
      </c>
      <c r="AD50" s="6">
        <v>20265</v>
      </c>
      <c r="AE50" s="6">
        <v>47410</v>
      </c>
      <c r="AF50" s="3">
        <v>167.96635347497011</v>
      </c>
      <c r="AG50">
        <v>968</v>
      </c>
      <c r="AH50">
        <v>15</v>
      </c>
      <c r="AI50">
        <v>7</v>
      </c>
      <c r="AJ50">
        <v>990</v>
      </c>
      <c r="AK50" s="2">
        <v>134801481.89040601</v>
      </c>
      <c r="AL50" s="6">
        <v>7453.6</v>
      </c>
      <c r="AM50" s="6">
        <v>1438</v>
      </c>
      <c r="AN50" s="6">
        <v>8286</v>
      </c>
      <c r="AO50" s="6">
        <v>17177.599999999999</v>
      </c>
      <c r="AP50" s="3">
        <v>5.9637572289084098</v>
      </c>
      <c r="AQ50">
        <v>864</v>
      </c>
      <c r="AR50">
        <v>26</v>
      </c>
      <c r="AS50">
        <v>0</v>
      </c>
      <c r="AT50">
        <v>890</v>
      </c>
      <c r="AU50" s="2">
        <v>12663863.9384721</v>
      </c>
      <c r="AV50" s="6">
        <v>8432.64</v>
      </c>
      <c r="AW50" s="6">
        <v>4420</v>
      </c>
      <c r="AX50" s="6">
        <v>0</v>
      </c>
      <c r="AY50" s="6">
        <v>12852.64</v>
      </c>
      <c r="AZ50" s="3">
        <v>227.94393931774641</v>
      </c>
      <c r="BA50">
        <v>549</v>
      </c>
      <c r="BB50">
        <v>23</v>
      </c>
      <c r="BC50">
        <v>1</v>
      </c>
      <c r="BD50">
        <v>573</v>
      </c>
      <c r="BE50" s="2">
        <v>13710711.562158201</v>
      </c>
      <c r="BF50" s="6">
        <v>3203.55</v>
      </c>
      <c r="BG50" s="6">
        <v>1944.55</v>
      </c>
      <c r="BH50" s="6">
        <v>2437</v>
      </c>
      <c r="BI50" s="6">
        <v>7585.1</v>
      </c>
      <c r="BJ50" s="3">
        <v>1133.021200938831</v>
      </c>
      <c r="BK50" s="6">
        <v>42569.79</v>
      </c>
      <c r="BL50" s="6">
        <v>11467.55</v>
      </c>
      <c r="BM50" s="6">
        <v>30988</v>
      </c>
      <c r="BN50" s="6">
        <v>85025.34</v>
      </c>
      <c r="BO50" s="3">
        <v>1534.895250960456</v>
      </c>
      <c r="BP50" s="7">
        <v>1385999.94</v>
      </c>
      <c r="BQ50" s="2">
        <v>607.19871528813667</v>
      </c>
      <c r="BR50" s="2">
        <v>2631.1944329152589</v>
      </c>
    </row>
    <row r="51" spans="1:70" x14ac:dyDescent="0.3">
      <c r="A51">
        <v>2024</v>
      </c>
      <c r="B51" s="1">
        <v>1349458</v>
      </c>
      <c r="C51" s="2">
        <v>277727017.26678628</v>
      </c>
      <c r="D51" s="3">
        <v>205.80634392977501</v>
      </c>
      <c r="E51" s="1">
        <v>809674</v>
      </c>
      <c r="F51" s="4">
        <v>0.78531203142165851</v>
      </c>
      <c r="G51" s="4">
        <v>0.52581630221043174</v>
      </c>
      <c r="H51" s="4">
        <v>0.60298913444511693</v>
      </c>
      <c r="I51" s="4">
        <v>0.62911290614702653</v>
      </c>
      <c r="J51" s="5">
        <v>7.8872445331564762</v>
      </c>
      <c r="K51">
        <v>81560</v>
      </c>
      <c r="L51">
        <v>228986</v>
      </c>
      <c r="M51">
        <v>118000</v>
      </c>
      <c r="N51">
        <v>428546</v>
      </c>
      <c r="O51" s="6">
        <v>611700</v>
      </c>
      <c r="P51" s="6">
        <v>572465</v>
      </c>
      <c r="Q51" s="6">
        <v>141600</v>
      </c>
      <c r="R51" s="6">
        <v>1325765</v>
      </c>
      <c r="S51" s="2">
        <v>315.57499999999999</v>
      </c>
      <c r="T51" s="2">
        <v>152.66066666666671</v>
      </c>
      <c r="U51" s="2">
        <v>31.542200000000001</v>
      </c>
      <c r="V51" s="2">
        <v>499.77786666666668</v>
      </c>
      <c r="W51">
        <v>1013</v>
      </c>
      <c r="X51">
        <v>15</v>
      </c>
      <c r="Y51">
        <v>12</v>
      </c>
      <c r="Z51">
        <v>1040</v>
      </c>
      <c r="AA51" s="2">
        <v>106691731.397119</v>
      </c>
      <c r="AB51" s="6">
        <v>24913.4</v>
      </c>
      <c r="AC51" s="6">
        <v>3665</v>
      </c>
      <c r="AD51" s="6">
        <v>23040</v>
      </c>
      <c r="AE51" s="6">
        <v>51618.400000000001</v>
      </c>
      <c r="AF51" s="3">
        <v>173.95666412844159</v>
      </c>
      <c r="AG51">
        <v>1013</v>
      </c>
      <c r="AH51">
        <v>15</v>
      </c>
      <c r="AI51">
        <v>8</v>
      </c>
      <c r="AJ51">
        <v>1036</v>
      </c>
      <c r="AK51" s="2">
        <v>143096700.99954051</v>
      </c>
      <c r="AL51" s="6">
        <v>7919.28</v>
      </c>
      <c r="AM51" s="6">
        <v>1468</v>
      </c>
      <c r="AN51" s="6">
        <v>9216</v>
      </c>
      <c r="AO51" s="6">
        <v>18603.28</v>
      </c>
      <c r="AP51" s="3">
        <v>6.2167878416640008</v>
      </c>
      <c r="AQ51">
        <v>926</v>
      </c>
      <c r="AR51">
        <v>28</v>
      </c>
      <c r="AS51">
        <v>0</v>
      </c>
      <c r="AT51">
        <v>954</v>
      </c>
      <c r="AU51" s="2">
        <v>13595027.3932383</v>
      </c>
      <c r="AV51" s="6">
        <v>9241.48</v>
      </c>
      <c r="AW51" s="6">
        <v>5544</v>
      </c>
      <c r="AX51" s="6">
        <v>0</v>
      </c>
      <c r="AY51" s="6">
        <v>14785.48</v>
      </c>
      <c r="AZ51" s="3">
        <v>234.0052364636116</v>
      </c>
      <c r="BA51">
        <v>571</v>
      </c>
      <c r="BB51">
        <v>24</v>
      </c>
      <c r="BC51">
        <v>2</v>
      </c>
      <c r="BD51">
        <v>597</v>
      </c>
      <c r="BE51" s="2">
        <v>14343557.476888521</v>
      </c>
      <c r="BF51" s="6">
        <v>3347.25</v>
      </c>
      <c r="BG51" s="6">
        <v>2128.8000000000002</v>
      </c>
      <c r="BH51" s="6">
        <v>4706</v>
      </c>
      <c r="BI51" s="6">
        <v>10182.049999999999</v>
      </c>
      <c r="BJ51" s="3">
        <v>1170.8992462129429</v>
      </c>
      <c r="BK51" s="6">
        <v>45421.41</v>
      </c>
      <c r="BL51" s="6">
        <v>12805.8</v>
      </c>
      <c r="BM51" s="6">
        <v>36962</v>
      </c>
      <c r="BN51" s="6">
        <v>95189.21</v>
      </c>
      <c r="BO51" s="3">
        <v>1585.07793464666</v>
      </c>
      <c r="BP51" s="7">
        <v>1420954.21</v>
      </c>
      <c r="BQ51" s="2">
        <v>625.45674039399807</v>
      </c>
      <c r="BR51" s="2">
        <v>2710.3125417073252</v>
      </c>
    </row>
    <row r="52" spans="1:70" x14ac:dyDescent="0.3">
      <c r="A52">
        <v>2025</v>
      </c>
      <c r="B52" s="1">
        <v>1370663</v>
      </c>
      <c r="C52" s="2">
        <v>293698199.59737211</v>
      </c>
      <c r="D52" s="3">
        <v>214.2745515107448</v>
      </c>
      <c r="E52" s="1">
        <v>822395</v>
      </c>
      <c r="F52" s="4">
        <v>0.79029958902107611</v>
      </c>
      <c r="G52" s="4">
        <v>0.52628699230041287</v>
      </c>
      <c r="H52" s="4">
        <v>0.60526692633905255</v>
      </c>
      <c r="I52" s="4">
        <v>0.63142306962744976</v>
      </c>
      <c r="J52" s="5">
        <v>7.8943048845061936</v>
      </c>
      <c r="K52">
        <v>83431</v>
      </c>
      <c r="L52">
        <v>232976</v>
      </c>
      <c r="M52">
        <v>118821</v>
      </c>
      <c r="N52">
        <v>435228</v>
      </c>
      <c r="O52" s="6">
        <v>625732.5</v>
      </c>
      <c r="P52" s="6">
        <v>582440</v>
      </c>
      <c r="Q52" s="6">
        <v>142585.20000000001</v>
      </c>
      <c r="R52" s="6">
        <v>1350757.7</v>
      </c>
      <c r="S52" s="2">
        <v>323.12333333333328</v>
      </c>
      <c r="T52" s="2">
        <v>155.51555555555561</v>
      </c>
      <c r="U52" s="2">
        <v>31.7974</v>
      </c>
      <c r="V52" s="2">
        <v>510.4362888888889</v>
      </c>
      <c r="W52">
        <v>1060</v>
      </c>
      <c r="X52">
        <v>17</v>
      </c>
      <c r="Y52">
        <v>13</v>
      </c>
      <c r="Z52">
        <v>1090</v>
      </c>
      <c r="AA52" s="2">
        <v>111962106.13497689</v>
      </c>
      <c r="AB52" s="6">
        <v>26158</v>
      </c>
      <c r="AC52" s="6">
        <v>4128</v>
      </c>
      <c r="AD52" s="6">
        <v>23550</v>
      </c>
      <c r="AE52" s="6">
        <v>53836</v>
      </c>
      <c r="AF52" s="3">
        <v>180.1237826212255</v>
      </c>
      <c r="AG52">
        <v>1060</v>
      </c>
      <c r="AH52">
        <v>17</v>
      </c>
      <c r="AI52">
        <v>8</v>
      </c>
      <c r="AJ52">
        <v>1085</v>
      </c>
      <c r="AK52" s="2">
        <v>152145957.6306963</v>
      </c>
      <c r="AL52" s="6">
        <v>8242.32</v>
      </c>
      <c r="AM52" s="6">
        <v>1674</v>
      </c>
      <c r="AN52" s="6">
        <v>9192</v>
      </c>
      <c r="AO52" s="6">
        <v>19108.32</v>
      </c>
      <c r="AP52" s="3">
        <v>6.4766422263197372</v>
      </c>
      <c r="AQ52">
        <v>991</v>
      </c>
      <c r="AR52">
        <v>31</v>
      </c>
      <c r="AS52">
        <v>0</v>
      </c>
      <c r="AT52">
        <v>1022</v>
      </c>
      <c r="AU52" s="2">
        <v>14581203.11183707</v>
      </c>
      <c r="AV52" s="6">
        <v>10108.200000000001</v>
      </c>
      <c r="AW52" s="6">
        <v>6138</v>
      </c>
      <c r="AX52" s="6">
        <v>0</v>
      </c>
      <c r="AY52" s="6">
        <v>16246.2</v>
      </c>
      <c r="AZ52" s="3">
        <v>240.39245616621579</v>
      </c>
      <c r="BA52">
        <v>594</v>
      </c>
      <c r="BB52">
        <v>26</v>
      </c>
      <c r="BC52">
        <v>2</v>
      </c>
      <c r="BD52">
        <v>622</v>
      </c>
      <c r="BE52" s="2">
        <v>15008932.719861871</v>
      </c>
      <c r="BF52" s="6">
        <v>3474.3150000000001</v>
      </c>
      <c r="BG52" s="6">
        <v>2256.8000000000002</v>
      </c>
      <c r="BH52" s="6">
        <v>4853</v>
      </c>
      <c r="BI52" s="6">
        <v>10584.115</v>
      </c>
      <c r="BJ52" s="3">
        <v>1210.0346285586279</v>
      </c>
      <c r="BK52" s="6">
        <v>47982.834999999999</v>
      </c>
      <c r="BL52" s="6">
        <v>14196.8</v>
      </c>
      <c r="BM52" s="6">
        <v>37595</v>
      </c>
      <c r="BN52" s="6">
        <v>99774.634999999995</v>
      </c>
      <c r="BO52" s="3">
        <v>1637.0275095723889</v>
      </c>
      <c r="BP52" s="7">
        <v>1450532.335</v>
      </c>
      <c r="BQ52" s="2">
        <v>644.23913953838348</v>
      </c>
      <c r="BR52" s="2">
        <v>2791.702937999662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 CATARINA</vt:lpstr>
      <vt:lpstr>RESUMO NICODEMUS</vt:lpstr>
      <vt:lpstr>RESUMO SARAGOÇA</vt:lpstr>
      <vt:lpstr>RESUMO SANTA BÁRBARA</vt:lpstr>
      <vt:lpstr>RESUMO RURAL</vt:lpstr>
      <vt:lpstr>RESUMO UTÓPIA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Walber Braga</dc:creator>
  <cp:lastModifiedBy>Mauricio Fretes</cp:lastModifiedBy>
  <dcterms:created xsi:type="dcterms:W3CDTF">2026-04-09T14:20:21Z</dcterms:created>
  <dcterms:modified xsi:type="dcterms:W3CDTF">2026-06-24T16:33:33Z</dcterms:modified>
</cp:coreProperties>
</file>