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d.docs.live.net/67c2f4e45c00252d/Área de Trabalho/2026.1/PLAN/UTÓPIA/"/>
    </mc:Choice>
  </mc:AlternateContent>
  <xr:revisionPtr revIDLastSave="0" documentId="8_{D3562BBD-8135-4B6C-91D1-21348D762B1C}" xr6:coauthVersionLast="47" xr6:coauthVersionMax="47" xr10:uidLastSave="{00000000-0000-0000-0000-000000000000}"/>
  <bookViews>
    <workbookView xWindow="-108" yWindow="-108" windowWidth="23256" windowHeight="12456" firstSheet="5" activeTab="5" xr2:uid="{D548EE0B-BD0A-4389-B722-A150C7B8DA47}"/>
  </bookViews>
  <sheets>
    <sheet name="RESUMO CATARINA" sheetId="8" r:id="rId1"/>
    <sheet name="RESUMO NICODEMUS" sheetId="3" r:id="rId2"/>
    <sheet name="RESUMO SARAGOÇA" sheetId="4" r:id="rId3"/>
    <sheet name="RESUMO SANTA BÁRBARA" sheetId="5" r:id="rId4"/>
    <sheet name="RESUMO RURAL" sheetId="6" r:id="rId5"/>
    <sheet name="RESUMO UTÓPIA" sheetId="10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0" l="1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2" i="6"/>
  <c r="R2" i="5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2" i="4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2" i="3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2" i="8"/>
  <c r="A2" i="8"/>
  <c r="B2" i="8"/>
  <c r="C2" i="8"/>
  <c r="D2" i="8"/>
  <c r="E2" i="8"/>
  <c r="F2" i="8"/>
  <c r="G2" i="8"/>
  <c r="H2" i="8"/>
  <c r="I2" i="8"/>
  <c r="J2" i="8"/>
  <c r="K2" i="8"/>
  <c r="N2" i="8" s="1"/>
  <c r="L2" i="8"/>
  <c r="M2" i="8"/>
  <c r="O2" i="8"/>
  <c r="P2" i="8"/>
  <c r="Q2" i="8"/>
  <c r="S2" i="8"/>
  <c r="T2" i="8"/>
  <c r="U2" i="8"/>
  <c r="V2" i="8"/>
  <c r="W2" i="8"/>
  <c r="Z2" i="8" s="1"/>
  <c r="X2" i="8"/>
  <c r="Y2" i="8"/>
  <c r="AA2" i="8"/>
  <c r="AB2" i="8"/>
  <c r="AC2" i="8"/>
  <c r="AD2" i="8"/>
  <c r="AE2" i="8"/>
  <c r="AF2" i="8"/>
  <c r="AG2" i="8"/>
  <c r="AH2" i="8"/>
  <c r="AJ2" i="8" s="1"/>
  <c r="AI2" i="8"/>
  <c r="AK2" i="8"/>
  <c r="AL2" i="8"/>
  <c r="AM2" i="8"/>
  <c r="AN2" i="8"/>
  <c r="AO2" i="8"/>
  <c r="AP2" i="8"/>
  <c r="AQ2" i="8"/>
  <c r="AT2" i="8" s="1"/>
  <c r="AR2" i="8"/>
  <c r="AS2" i="8"/>
  <c r="AU2" i="8"/>
  <c r="AV2" i="8"/>
  <c r="AW2" i="8"/>
  <c r="AX2" i="8"/>
  <c r="AY2" i="8"/>
  <c r="AZ2" i="8"/>
  <c r="BA2" i="8"/>
  <c r="BB2" i="8"/>
  <c r="BC2" i="8"/>
  <c r="BE2" i="8"/>
  <c r="BF2" i="8"/>
  <c r="BG2" i="8"/>
  <c r="BH2" i="8"/>
  <c r="BI2" i="8"/>
  <c r="BJ2" i="8"/>
  <c r="BK2" i="8"/>
  <c r="A3" i="8"/>
  <c r="A4" i="8" s="1"/>
  <c r="A5" i="8" s="1"/>
  <c r="A6" i="8" s="1"/>
  <c r="B3" i="8"/>
  <c r="C3" i="8"/>
  <c r="D3" i="8"/>
  <c r="E3" i="8"/>
  <c r="F3" i="8"/>
  <c r="G3" i="8"/>
  <c r="H3" i="8"/>
  <c r="I3" i="8"/>
  <c r="J3" i="8"/>
  <c r="K3" i="8"/>
  <c r="N3" i="8" s="1"/>
  <c r="L3" i="8"/>
  <c r="M3" i="8"/>
  <c r="O3" i="8"/>
  <c r="P3" i="8"/>
  <c r="Q3" i="8"/>
  <c r="S3" i="8"/>
  <c r="T3" i="8"/>
  <c r="U3" i="8"/>
  <c r="V3" i="8"/>
  <c r="W3" i="8"/>
  <c r="X3" i="8"/>
  <c r="Y3" i="8"/>
  <c r="Z3" i="8" s="1"/>
  <c r="AA3" i="8"/>
  <c r="AB3" i="8"/>
  <c r="AC3" i="8"/>
  <c r="AD3" i="8"/>
  <c r="AE3" i="8"/>
  <c r="AF3" i="8"/>
  <c r="AG3" i="8"/>
  <c r="AH3" i="8"/>
  <c r="AI3" i="8"/>
  <c r="AK3" i="8"/>
  <c r="AL3" i="8"/>
  <c r="AM3" i="8"/>
  <c r="AN3" i="8"/>
  <c r="AO3" i="8"/>
  <c r="AP3" i="8"/>
  <c r="AQ3" i="8"/>
  <c r="AR3" i="8"/>
  <c r="AT3" i="8" s="1"/>
  <c r="AS3" i="8"/>
  <c r="AU3" i="8"/>
  <c r="AV3" i="8"/>
  <c r="AW3" i="8"/>
  <c r="BL3" i="8" s="1"/>
  <c r="AX3" i="8"/>
  <c r="BM3" i="8" s="1"/>
  <c r="AY3" i="8"/>
  <c r="AZ3" i="8"/>
  <c r="BA3" i="8"/>
  <c r="BB3" i="8"/>
  <c r="BD3" i="8" s="1"/>
  <c r="BC3" i="8"/>
  <c r="BE3" i="8"/>
  <c r="BF3" i="8"/>
  <c r="BG3" i="8"/>
  <c r="BH3" i="8"/>
  <c r="BI3" i="8"/>
  <c r="BJ3" i="8"/>
  <c r="B4" i="8"/>
  <c r="C4" i="8"/>
  <c r="D4" i="8"/>
  <c r="E4" i="8"/>
  <c r="F4" i="8"/>
  <c r="G4" i="8"/>
  <c r="H4" i="8"/>
  <c r="I4" i="8"/>
  <c r="J4" i="8"/>
  <c r="K4" i="8"/>
  <c r="N4" i="8" s="1"/>
  <c r="L4" i="8"/>
  <c r="M4" i="8"/>
  <c r="O4" i="8"/>
  <c r="P4" i="8"/>
  <c r="Q4" i="8"/>
  <c r="S4" i="8"/>
  <c r="T4" i="8"/>
  <c r="U4" i="8"/>
  <c r="V4" i="8"/>
  <c r="W4" i="8"/>
  <c r="Z4" i="8" s="1"/>
  <c r="X4" i="8"/>
  <c r="Y4" i="8"/>
  <c r="AA4" i="8"/>
  <c r="AB4" i="8"/>
  <c r="AC4" i="8"/>
  <c r="AD4" i="8"/>
  <c r="AE4" i="8"/>
  <c r="AF4" i="8"/>
  <c r="AG4" i="8"/>
  <c r="AH4" i="8"/>
  <c r="AI4" i="8"/>
  <c r="AK4" i="8"/>
  <c r="AL4" i="8"/>
  <c r="AM4" i="8"/>
  <c r="AN4" i="8"/>
  <c r="AO4" i="8"/>
  <c r="AP4" i="8"/>
  <c r="AQ4" i="8"/>
  <c r="AR4" i="8"/>
  <c r="AS4" i="8"/>
  <c r="AU4" i="8"/>
  <c r="AV4" i="8"/>
  <c r="AW4" i="8"/>
  <c r="AX4" i="8"/>
  <c r="AY4" i="8"/>
  <c r="AZ4" i="8"/>
  <c r="BA4" i="8"/>
  <c r="BB4" i="8"/>
  <c r="BC4" i="8"/>
  <c r="BE4" i="8"/>
  <c r="BF4" i="8"/>
  <c r="BG4" i="8"/>
  <c r="BH4" i="8"/>
  <c r="BI4" i="8"/>
  <c r="BJ4" i="8"/>
  <c r="BO4" i="8"/>
  <c r="B5" i="8"/>
  <c r="C5" i="8"/>
  <c r="D5" i="8"/>
  <c r="E5" i="8"/>
  <c r="F5" i="8"/>
  <c r="G5" i="8"/>
  <c r="H5" i="8"/>
  <c r="I5" i="8"/>
  <c r="J5" i="8"/>
  <c r="K5" i="8"/>
  <c r="L5" i="8"/>
  <c r="N5" i="8" s="1"/>
  <c r="M5" i="8"/>
  <c r="O5" i="8"/>
  <c r="P5" i="8"/>
  <c r="Q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U5" i="8"/>
  <c r="AV5" i="8"/>
  <c r="AW5" i="8"/>
  <c r="AX5" i="8"/>
  <c r="AY5" i="8"/>
  <c r="AZ5" i="8"/>
  <c r="BA5" i="8"/>
  <c r="BD5" i="8" s="1"/>
  <c r="BB5" i="8"/>
  <c r="BC5" i="8"/>
  <c r="BE5" i="8"/>
  <c r="BF5" i="8"/>
  <c r="BG5" i="8"/>
  <c r="BH5" i="8"/>
  <c r="BM5" i="8" s="1"/>
  <c r="BI5" i="8"/>
  <c r="BJ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S6" i="8"/>
  <c r="T6" i="8"/>
  <c r="U6" i="8"/>
  <c r="V6" i="8"/>
  <c r="W6" i="8"/>
  <c r="X6" i="8"/>
  <c r="Y6" i="8"/>
  <c r="AA6" i="8"/>
  <c r="AB6" i="8"/>
  <c r="AC6" i="8"/>
  <c r="AD6" i="8"/>
  <c r="AE6" i="8"/>
  <c r="AF6" i="8"/>
  <c r="AG6" i="8"/>
  <c r="AJ6" i="8" s="1"/>
  <c r="AH6" i="8"/>
  <c r="AI6" i="8"/>
  <c r="AK6" i="8"/>
  <c r="AL6" i="8"/>
  <c r="AM6" i="8"/>
  <c r="AN6" i="8"/>
  <c r="AO6" i="8"/>
  <c r="AP6" i="8"/>
  <c r="AQ6" i="8"/>
  <c r="AT6" i="8" s="1"/>
  <c r="AR6" i="8"/>
  <c r="AS6" i="8"/>
  <c r="AU6" i="8"/>
  <c r="AV6" i="8"/>
  <c r="BK6" i="8" s="1"/>
  <c r="AW6" i="8"/>
  <c r="AX6" i="8"/>
  <c r="AY6" i="8"/>
  <c r="AZ6" i="8"/>
  <c r="BA6" i="8"/>
  <c r="BB6" i="8"/>
  <c r="BC6" i="8"/>
  <c r="BE6" i="8"/>
  <c r="BF6" i="8"/>
  <c r="BG6" i="8"/>
  <c r="BH6" i="8"/>
  <c r="BI6" i="8"/>
  <c r="BJ6" i="8"/>
  <c r="BO6" i="8" s="1"/>
  <c r="BM6" i="8"/>
  <c r="A7" i="8"/>
  <c r="A8" i="8" s="1"/>
  <c r="A9" i="8" s="1"/>
  <c r="A10" i="8" s="1"/>
  <c r="B7" i="8"/>
  <c r="C7" i="8"/>
  <c r="D7" i="8"/>
  <c r="E7" i="8"/>
  <c r="F7" i="8"/>
  <c r="G7" i="8"/>
  <c r="H7" i="8"/>
  <c r="I7" i="8"/>
  <c r="J7" i="8"/>
  <c r="K7" i="8"/>
  <c r="N7" i="8" s="1"/>
  <c r="L7" i="8"/>
  <c r="M7" i="8"/>
  <c r="O7" i="8"/>
  <c r="P7" i="8"/>
  <c r="Q7" i="8"/>
  <c r="S7" i="8"/>
  <c r="T7" i="8"/>
  <c r="U7" i="8"/>
  <c r="V7" i="8"/>
  <c r="W7" i="8"/>
  <c r="X7" i="8"/>
  <c r="Y7" i="8"/>
  <c r="AA7" i="8"/>
  <c r="AB7" i="8"/>
  <c r="AC7" i="8"/>
  <c r="AD7" i="8"/>
  <c r="AE7" i="8"/>
  <c r="AF7" i="8"/>
  <c r="AG7" i="8"/>
  <c r="AH7" i="8"/>
  <c r="AI7" i="8"/>
  <c r="AK7" i="8"/>
  <c r="AL7" i="8"/>
  <c r="AM7" i="8"/>
  <c r="AN7" i="8"/>
  <c r="AO7" i="8"/>
  <c r="AP7" i="8"/>
  <c r="AQ7" i="8"/>
  <c r="AR7" i="8"/>
  <c r="AS7" i="8"/>
  <c r="AU7" i="8"/>
  <c r="AV7" i="8"/>
  <c r="AW7" i="8"/>
  <c r="BL7" i="8" s="1"/>
  <c r="AX7" i="8"/>
  <c r="AY7" i="8"/>
  <c r="AZ7" i="8"/>
  <c r="BA7" i="8"/>
  <c r="BD7" i="8" s="1"/>
  <c r="BB7" i="8"/>
  <c r="BC7" i="8"/>
  <c r="BE7" i="8"/>
  <c r="BF7" i="8"/>
  <c r="BK7" i="8" s="1"/>
  <c r="BG7" i="8"/>
  <c r="BH7" i="8"/>
  <c r="BI7" i="8"/>
  <c r="BJ7" i="8"/>
  <c r="BM7" i="8"/>
  <c r="BO7" i="8"/>
  <c r="BQ7" i="8" s="1"/>
  <c r="B8" i="8"/>
  <c r="C8" i="8"/>
  <c r="D8" i="8"/>
  <c r="E8" i="8"/>
  <c r="F8" i="8"/>
  <c r="G8" i="8"/>
  <c r="H8" i="8"/>
  <c r="I8" i="8"/>
  <c r="J8" i="8"/>
  <c r="K8" i="8"/>
  <c r="N8" i="8" s="1"/>
  <c r="L8" i="8"/>
  <c r="M8" i="8"/>
  <c r="O8" i="8"/>
  <c r="P8" i="8"/>
  <c r="Q8" i="8"/>
  <c r="S8" i="8"/>
  <c r="T8" i="8"/>
  <c r="U8" i="8"/>
  <c r="V8" i="8"/>
  <c r="W8" i="8"/>
  <c r="Z8" i="8" s="1"/>
  <c r="X8" i="8"/>
  <c r="Y8" i="8"/>
  <c r="AA8" i="8"/>
  <c r="AB8" i="8"/>
  <c r="AC8" i="8"/>
  <c r="AD8" i="8"/>
  <c r="AE8" i="8"/>
  <c r="AF8" i="8"/>
  <c r="AG8" i="8"/>
  <c r="AH8" i="8"/>
  <c r="AI8" i="8"/>
  <c r="AJ8" i="8" s="1"/>
  <c r="AK8" i="8"/>
  <c r="AL8" i="8"/>
  <c r="AM8" i="8"/>
  <c r="AN8" i="8"/>
  <c r="AO8" i="8"/>
  <c r="AP8" i="8"/>
  <c r="AQ8" i="8"/>
  <c r="AT8" i="8" s="1"/>
  <c r="AR8" i="8"/>
  <c r="AS8" i="8"/>
  <c r="AU8" i="8"/>
  <c r="AV8" i="8"/>
  <c r="AW8" i="8"/>
  <c r="AX8" i="8"/>
  <c r="AY8" i="8"/>
  <c r="AZ8" i="8"/>
  <c r="BO8" i="8" s="1"/>
  <c r="BA8" i="8"/>
  <c r="BD8" i="8" s="1"/>
  <c r="BB8" i="8"/>
  <c r="BC8" i="8"/>
  <c r="BE8" i="8"/>
  <c r="BF8" i="8"/>
  <c r="BK8" i="8" s="1"/>
  <c r="BG8" i="8"/>
  <c r="BL8" i="8" s="1"/>
  <c r="BH8" i="8"/>
  <c r="BM8" i="8" s="1"/>
  <c r="BI8" i="8"/>
  <c r="BJ8" i="8"/>
  <c r="B9" i="8"/>
  <c r="C9" i="8"/>
  <c r="D9" i="8"/>
  <c r="E9" i="8"/>
  <c r="F9" i="8"/>
  <c r="G9" i="8"/>
  <c r="H9" i="8"/>
  <c r="I9" i="8"/>
  <c r="J9" i="8"/>
  <c r="K9" i="8"/>
  <c r="L9" i="8"/>
  <c r="M9" i="8"/>
  <c r="O9" i="8"/>
  <c r="P9" i="8"/>
  <c r="Q9" i="8"/>
  <c r="S9" i="8"/>
  <c r="T9" i="8"/>
  <c r="U9" i="8"/>
  <c r="V9" i="8"/>
  <c r="W9" i="8"/>
  <c r="X9" i="8"/>
  <c r="Y9" i="8"/>
  <c r="AA9" i="8"/>
  <c r="AB9" i="8"/>
  <c r="AC9" i="8"/>
  <c r="AD9" i="8"/>
  <c r="AE9" i="8"/>
  <c r="AF9" i="8"/>
  <c r="AG9" i="8"/>
  <c r="AJ9" i="8" s="1"/>
  <c r="AH9" i="8"/>
  <c r="AI9" i="8"/>
  <c r="AK9" i="8"/>
  <c r="AL9" i="8"/>
  <c r="AM9" i="8"/>
  <c r="AN9" i="8"/>
  <c r="AO9" i="8"/>
  <c r="AP9" i="8"/>
  <c r="AQ9" i="8"/>
  <c r="AR9" i="8"/>
  <c r="AS9" i="8"/>
  <c r="AT9" i="8" s="1"/>
  <c r="AU9" i="8"/>
  <c r="AV9" i="8"/>
  <c r="AW9" i="8"/>
  <c r="AX9" i="8"/>
  <c r="AY9" i="8"/>
  <c r="AZ9" i="8"/>
  <c r="BA9" i="8"/>
  <c r="BB9" i="8"/>
  <c r="BC9" i="8"/>
  <c r="BE9" i="8"/>
  <c r="BF9" i="8"/>
  <c r="BK9" i="8" s="1"/>
  <c r="BG9" i="8"/>
  <c r="BH9" i="8"/>
  <c r="BM9" i="8" s="1"/>
  <c r="BI9" i="8"/>
  <c r="BJ9" i="8"/>
  <c r="B10" i="8"/>
  <c r="C10" i="8"/>
  <c r="D10" i="8"/>
  <c r="E10" i="8"/>
  <c r="F10" i="8"/>
  <c r="G10" i="8"/>
  <c r="H10" i="8"/>
  <c r="I10" i="8"/>
  <c r="J10" i="8"/>
  <c r="K10" i="8"/>
  <c r="N10" i="8" s="1"/>
  <c r="L10" i="8"/>
  <c r="M10" i="8"/>
  <c r="O10" i="8"/>
  <c r="P10" i="8"/>
  <c r="Q10" i="8"/>
  <c r="S10" i="8"/>
  <c r="T10" i="8"/>
  <c r="U10" i="8"/>
  <c r="V10" i="8"/>
  <c r="W10" i="8"/>
  <c r="X10" i="8"/>
  <c r="Y10" i="8"/>
  <c r="AA10" i="8"/>
  <c r="AB10" i="8"/>
  <c r="AC10" i="8"/>
  <c r="AD10" i="8"/>
  <c r="AE10" i="8"/>
  <c r="AF10" i="8"/>
  <c r="AG10" i="8"/>
  <c r="AJ10" i="8" s="1"/>
  <c r="AH10" i="8"/>
  <c r="AI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 s="1"/>
  <c r="BE10" i="8"/>
  <c r="BF10" i="8"/>
  <c r="BG10" i="8"/>
  <c r="BH10" i="8"/>
  <c r="BI10" i="8"/>
  <c r="BJ10" i="8"/>
  <c r="BK10" i="8"/>
  <c r="BM10" i="8"/>
  <c r="BO10" i="8"/>
  <c r="BQ10" i="8" s="1"/>
  <c r="A11" i="8"/>
  <c r="A12" i="8" s="1"/>
  <c r="A13" i="8" s="1"/>
  <c r="A14" i="8" s="1"/>
  <c r="B11" i="8"/>
  <c r="C11" i="8"/>
  <c r="D11" i="8"/>
  <c r="E11" i="8"/>
  <c r="F11" i="8"/>
  <c r="G11" i="8"/>
  <c r="H11" i="8"/>
  <c r="I11" i="8"/>
  <c r="J11" i="8"/>
  <c r="K11" i="8"/>
  <c r="N11" i="8" s="1"/>
  <c r="L11" i="8"/>
  <c r="M11" i="8"/>
  <c r="O11" i="8"/>
  <c r="P11" i="8"/>
  <c r="Q11" i="8"/>
  <c r="S11" i="8"/>
  <c r="T11" i="8"/>
  <c r="U11" i="8"/>
  <c r="V11" i="8"/>
  <c r="W11" i="8"/>
  <c r="X11" i="8"/>
  <c r="Y11" i="8"/>
  <c r="Z11" i="8" s="1"/>
  <c r="AA11" i="8"/>
  <c r="AB11" i="8"/>
  <c r="AC11" i="8"/>
  <c r="AD11" i="8"/>
  <c r="AE11" i="8"/>
  <c r="AF11" i="8"/>
  <c r="AG11" i="8"/>
  <c r="AH11" i="8"/>
  <c r="AI11" i="8"/>
  <c r="AK11" i="8"/>
  <c r="AL11" i="8"/>
  <c r="AM11" i="8"/>
  <c r="AN11" i="8"/>
  <c r="AO11" i="8"/>
  <c r="AP11" i="8"/>
  <c r="AQ11" i="8"/>
  <c r="AT11" i="8" s="1"/>
  <c r="AR11" i="8"/>
  <c r="AS11" i="8"/>
  <c r="AU11" i="8"/>
  <c r="AV11" i="8"/>
  <c r="AW11" i="8"/>
  <c r="AX11" i="8"/>
  <c r="AY11" i="8"/>
  <c r="AZ11" i="8"/>
  <c r="BA11" i="8"/>
  <c r="BD11" i="8" s="1"/>
  <c r="BB11" i="8"/>
  <c r="BC11" i="8"/>
  <c r="BE11" i="8"/>
  <c r="BF11" i="8"/>
  <c r="BK11" i="8" s="1"/>
  <c r="BG11" i="8"/>
  <c r="BH11" i="8"/>
  <c r="BM11" i="8" s="1"/>
  <c r="BI11" i="8"/>
  <c r="BJ11" i="8"/>
  <c r="BO11" i="8" s="1"/>
  <c r="BQ11" i="8" s="1"/>
  <c r="B12" i="8"/>
  <c r="C12" i="8"/>
  <c r="D12" i="8"/>
  <c r="E12" i="8"/>
  <c r="F12" i="8"/>
  <c r="G12" i="8"/>
  <c r="H12" i="8"/>
  <c r="I12" i="8"/>
  <c r="J12" i="8"/>
  <c r="K12" i="8"/>
  <c r="L12" i="8"/>
  <c r="M12" i="8"/>
  <c r="O12" i="8"/>
  <c r="P12" i="8"/>
  <c r="Q12" i="8"/>
  <c r="S12" i="8"/>
  <c r="T12" i="8"/>
  <c r="U12" i="8"/>
  <c r="V12" i="8"/>
  <c r="W12" i="8"/>
  <c r="Z12" i="8" s="1"/>
  <c r="X12" i="8"/>
  <c r="Y12" i="8"/>
  <c r="AA12" i="8"/>
  <c r="AB12" i="8"/>
  <c r="AC12" i="8"/>
  <c r="AD12" i="8"/>
  <c r="AE12" i="8"/>
  <c r="AF12" i="8"/>
  <c r="AG12" i="8"/>
  <c r="AH12" i="8"/>
  <c r="AI12" i="8"/>
  <c r="AJ12" i="8" s="1"/>
  <c r="AK12" i="8"/>
  <c r="AL12" i="8"/>
  <c r="AM12" i="8"/>
  <c r="AN12" i="8"/>
  <c r="AO12" i="8"/>
  <c r="AP12" i="8"/>
  <c r="AQ12" i="8"/>
  <c r="AT12" i="8" s="1"/>
  <c r="AR12" i="8"/>
  <c r="AS12" i="8"/>
  <c r="AU12" i="8"/>
  <c r="AV12" i="8"/>
  <c r="AW12" i="8"/>
  <c r="AX12" i="8"/>
  <c r="AY12" i="8"/>
  <c r="AZ12" i="8"/>
  <c r="BA12" i="8"/>
  <c r="BD12" i="8" s="1"/>
  <c r="BB12" i="8"/>
  <c r="BC12" i="8"/>
  <c r="BE12" i="8"/>
  <c r="BF12" i="8"/>
  <c r="BK12" i="8" s="1"/>
  <c r="BG12" i="8"/>
  <c r="BL12" i="8" s="1"/>
  <c r="BH12" i="8"/>
  <c r="BM12" i="8" s="1"/>
  <c r="BI12" i="8"/>
  <c r="BJ12" i="8"/>
  <c r="BO12" i="8"/>
  <c r="B13" i="8"/>
  <c r="C13" i="8"/>
  <c r="D13" i="8"/>
  <c r="E13" i="8"/>
  <c r="F13" i="8"/>
  <c r="G13" i="8"/>
  <c r="H13" i="8"/>
  <c r="I13" i="8"/>
  <c r="J13" i="8"/>
  <c r="K13" i="8"/>
  <c r="L13" i="8"/>
  <c r="M13" i="8"/>
  <c r="O13" i="8"/>
  <c r="P13" i="8"/>
  <c r="Q13" i="8"/>
  <c r="S13" i="8"/>
  <c r="T13" i="8"/>
  <c r="U13" i="8"/>
  <c r="V13" i="8"/>
  <c r="W13" i="8"/>
  <c r="Z13" i="8" s="1"/>
  <c r="X13" i="8"/>
  <c r="Y13" i="8"/>
  <c r="AA13" i="8"/>
  <c r="AB13" i="8"/>
  <c r="AC13" i="8"/>
  <c r="AD13" i="8"/>
  <c r="AE13" i="8"/>
  <c r="AF13" i="8"/>
  <c r="AG13" i="8"/>
  <c r="AH13" i="8"/>
  <c r="AI13" i="8"/>
  <c r="AK13" i="8"/>
  <c r="AL13" i="8"/>
  <c r="AM13" i="8"/>
  <c r="AN13" i="8"/>
  <c r="AO13" i="8"/>
  <c r="AP13" i="8"/>
  <c r="AQ13" i="8"/>
  <c r="AR13" i="8"/>
  <c r="AS13" i="8"/>
  <c r="AU13" i="8"/>
  <c r="AV13" i="8"/>
  <c r="AW13" i="8"/>
  <c r="AX13" i="8"/>
  <c r="AY13" i="8"/>
  <c r="AZ13" i="8"/>
  <c r="BA13" i="8"/>
  <c r="BB13" i="8"/>
  <c r="BC13" i="8"/>
  <c r="BE13" i="8"/>
  <c r="BF13" i="8"/>
  <c r="BK13" i="8" s="1"/>
  <c r="BG13" i="8"/>
  <c r="BH13" i="8"/>
  <c r="BM13" i="8" s="1"/>
  <c r="BI13" i="8"/>
  <c r="BJ13" i="8"/>
  <c r="B14" i="8"/>
  <c r="C14" i="8"/>
  <c r="D14" i="8"/>
  <c r="E14" i="8"/>
  <c r="F14" i="8"/>
  <c r="G14" i="8"/>
  <c r="H14" i="8"/>
  <c r="I14" i="8"/>
  <c r="J14" i="8"/>
  <c r="K14" i="8"/>
  <c r="N14" i="8" s="1"/>
  <c r="L14" i="8"/>
  <c r="M14" i="8"/>
  <c r="O14" i="8"/>
  <c r="P14" i="8"/>
  <c r="Q14" i="8"/>
  <c r="S14" i="8"/>
  <c r="T14" i="8"/>
  <c r="U14" i="8"/>
  <c r="V14" i="8"/>
  <c r="W14" i="8"/>
  <c r="X14" i="8"/>
  <c r="Y14" i="8"/>
  <c r="AA14" i="8"/>
  <c r="AB14" i="8"/>
  <c r="AC14" i="8"/>
  <c r="AD14" i="8"/>
  <c r="AE14" i="8"/>
  <c r="AF14" i="8"/>
  <c r="AG14" i="8"/>
  <c r="AJ14" i="8" s="1"/>
  <c r="AH14" i="8"/>
  <c r="AI14" i="8"/>
  <c r="AK14" i="8"/>
  <c r="AL14" i="8"/>
  <c r="AM14" i="8"/>
  <c r="AN14" i="8"/>
  <c r="AO14" i="8"/>
  <c r="AP14" i="8"/>
  <c r="AQ14" i="8"/>
  <c r="AR14" i="8"/>
  <c r="AS14" i="8"/>
  <c r="AU14" i="8"/>
  <c r="AV14" i="8"/>
  <c r="BK14" i="8" s="1"/>
  <c r="AW14" i="8"/>
  <c r="AX14" i="8"/>
  <c r="AY14" i="8"/>
  <c r="AZ14" i="8"/>
  <c r="BA14" i="8"/>
  <c r="BB14" i="8"/>
  <c r="BC14" i="8"/>
  <c r="BD14" i="8" s="1"/>
  <c r="BE14" i="8"/>
  <c r="BF14" i="8"/>
  <c r="BG14" i="8"/>
  <c r="BH14" i="8"/>
  <c r="BM14" i="8" s="1"/>
  <c r="BI14" i="8"/>
  <c r="BJ14" i="8"/>
  <c r="BO14" i="8"/>
  <c r="BQ14" i="8" s="1"/>
  <c r="A15" i="8"/>
  <c r="A16" i="8" s="1"/>
  <c r="A17" i="8" s="1"/>
  <c r="A18" i="8" s="1"/>
  <c r="B15" i="8"/>
  <c r="C15" i="8"/>
  <c r="D15" i="8"/>
  <c r="E15" i="8"/>
  <c r="F15" i="8"/>
  <c r="G15" i="8"/>
  <c r="H15" i="8"/>
  <c r="I15" i="8"/>
  <c r="J15" i="8"/>
  <c r="K15" i="8"/>
  <c r="L15" i="8"/>
  <c r="M15" i="8"/>
  <c r="O15" i="8"/>
  <c r="P15" i="8"/>
  <c r="Q15" i="8"/>
  <c r="S15" i="8"/>
  <c r="T15" i="8"/>
  <c r="U15" i="8"/>
  <c r="V15" i="8"/>
  <c r="W15" i="8"/>
  <c r="X15" i="8"/>
  <c r="Y15" i="8"/>
  <c r="AA15" i="8"/>
  <c r="AB15" i="8"/>
  <c r="AC15" i="8"/>
  <c r="AD15" i="8"/>
  <c r="AE15" i="8"/>
  <c r="AF15" i="8"/>
  <c r="AG15" i="8"/>
  <c r="AH15" i="8"/>
  <c r="AI15" i="8"/>
  <c r="AK15" i="8"/>
  <c r="AL15" i="8"/>
  <c r="AM15" i="8"/>
  <c r="AN15" i="8"/>
  <c r="AO15" i="8"/>
  <c r="AP15" i="8"/>
  <c r="AQ15" i="8"/>
  <c r="AR15" i="8"/>
  <c r="AS15" i="8"/>
  <c r="AU15" i="8"/>
  <c r="AV15" i="8"/>
  <c r="AW15" i="8"/>
  <c r="AX15" i="8"/>
  <c r="AY15" i="8"/>
  <c r="AZ15" i="8"/>
  <c r="BA15" i="8"/>
  <c r="BB15" i="8"/>
  <c r="BD15" i="8" s="1"/>
  <c r="BC15" i="8"/>
  <c r="BE15" i="8"/>
  <c r="BF15" i="8"/>
  <c r="BK15" i="8" s="1"/>
  <c r="BG15" i="8"/>
  <c r="BH15" i="8"/>
  <c r="BI15" i="8"/>
  <c r="BJ15" i="8"/>
  <c r="BO15" i="8" s="1"/>
  <c r="BQ15" i="8" s="1"/>
  <c r="BM15" i="8"/>
  <c r="B16" i="8"/>
  <c r="C16" i="8"/>
  <c r="D16" i="8"/>
  <c r="E16" i="8"/>
  <c r="F16" i="8"/>
  <c r="G16" i="8"/>
  <c r="H16" i="8"/>
  <c r="I16" i="8"/>
  <c r="J16" i="8"/>
  <c r="K16" i="8"/>
  <c r="N16" i="8" s="1"/>
  <c r="L16" i="8"/>
  <c r="M16" i="8"/>
  <c r="O16" i="8"/>
  <c r="P16" i="8"/>
  <c r="Q16" i="8"/>
  <c r="S16" i="8"/>
  <c r="T16" i="8"/>
  <c r="U16" i="8"/>
  <c r="V16" i="8"/>
  <c r="W16" i="8"/>
  <c r="X16" i="8"/>
  <c r="Y16" i="8"/>
  <c r="Z16" i="8" s="1"/>
  <c r="AA16" i="8"/>
  <c r="AB16" i="8"/>
  <c r="AC16" i="8"/>
  <c r="AD16" i="8"/>
  <c r="AE16" i="8"/>
  <c r="AF16" i="8"/>
  <c r="AG16" i="8"/>
  <c r="AH16" i="8"/>
  <c r="AI16" i="8"/>
  <c r="AJ16" i="8" s="1"/>
  <c r="AK16" i="8"/>
  <c r="AL16" i="8"/>
  <c r="AM16" i="8"/>
  <c r="AN16" i="8"/>
  <c r="AO16" i="8"/>
  <c r="AP16" i="8"/>
  <c r="AQ16" i="8"/>
  <c r="AT16" i="8" s="1"/>
  <c r="AR16" i="8"/>
  <c r="AS16" i="8"/>
  <c r="AU16" i="8"/>
  <c r="AV16" i="8"/>
  <c r="AW16" i="8"/>
  <c r="AX16" i="8"/>
  <c r="AY16" i="8"/>
  <c r="AZ16" i="8"/>
  <c r="BO16" i="8" s="1"/>
  <c r="BA16" i="8"/>
  <c r="BD16" i="8" s="1"/>
  <c r="BB16" i="8"/>
  <c r="BC16" i="8"/>
  <c r="BE16" i="8"/>
  <c r="BF16" i="8"/>
  <c r="BG16" i="8"/>
  <c r="BL16" i="8" s="1"/>
  <c r="BH16" i="8"/>
  <c r="BM16" i="8" s="1"/>
  <c r="BI16" i="8"/>
  <c r="BJ16" i="8"/>
  <c r="BK16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 s="1"/>
  <c r="O17" i="8"/>
  <c r="P17" i="8"/>
  <c r="Q17" i="8"/>
  <c r="S17" i="8"/>
  <c r="T17" i="8"/>
  <c r="U17" i="8"/>
  <c r="V17" i="8"/>
  <c r="W17" i="8"/>
  <c r="Z17" i="8" s="1"/>
  <c r="X17" i="8"/>
  <c r="Y17" i="8"/>
  <c r="AA17" i="8"/>
  <c r="AB17" i="8"/>
  <c r="AC17" i="8"/>
  <c r="AD17" i="8"/>
  <c r="AE17" i="8"/>
  <c r="AF17" i="8"/>
  <c r="AG17" i="8"/>
  <c r="AJ17" i="8" s="1"/>
  <c r="AH17" i="8"/>
  <c r="AI17" i="8"/>
  <c r="AK17" i="8"/>
  <c r="AL17" i="8"/>
  <c r="AM17" i="8"/>
  <c r="AN17" i="8"/>
  <c r="AO17" i="8"/>
  <c r="AP17" i="8"/>
  <c r="AQ17" i="8"/>
  <c r="AR17" i="8"/>
  <c r="AT17" i="8" s="1"/>
  <c r="AS17" i="8"/>
  <c r="AU17" i="8"/>
  <c r="AV17" i="8"/>
  <c r="AW17" i="8"/>
  <c r="AX17" i="8"/>
  <c r="AY17" i="8"/>
  <c r="AZ17" i="8"/>
  <c r="BA17" i="8"/>
  <c r="BD17" i="8" s="1"/>
  <c r="BB17" i="8"/>
  <c r="BC17" i="8"/>
  <c r="BE17" i="8"/>
  <c r="BF17" i="8"/>
  <c r="BK17" i="8" s="1"/>
  <c r="BG17" i="8"/>
  <c r="BH17" i="8"/>
  <c r="BM17" i="8" s="1"/>
  <c r="BI17" i="8"/>
  <c r="BJ17" i="8"/>
  <c r="BO17" i="8" s="1"/>
  <c r="B18" i="8"/>
  <c r="C18" i="8"/>
  <c r="D18" i="8"/>
  <c r="E18" i="8"/>
  <c r="F18" i="8"/>
  <c r="G18" i="8"/>
  <c r="H18" i="8"/>
  <c r="I18" i="8"/>
  <c r="J18" i="8"/>
  <c r="K18" i="8"/>
  <c r="L18" i="8"/>
  <c r="N18" i="8" s="1"/>
  <c r="M18" i="8"/>
  <c r="O18" i="8"/>
  <c r="P18" i="8"/>
  <c r="Q18" i="8"/>
  <c r="S18" i="8"/>
  <c r="T18" i="8"/>
  <c r="U18" i="8"/>
  <c r="V18" i="8"/>
  <c r="W18" i="8"/>
  <c r="X18" i="8"/>
  <c r="Y18" i="8"/>
  <c r="AA18" i="8"/>
  <c r="AB18" i="8"/>
  <c r="AC18" i="8"/>
  <c r="AD18" i="8"/>
  <c r="AE18" i="8"/>
  <c r="AF18" i="8"/>
  <c r="AG18" i="8"/>
  <c r="AJ18" i="8" s="1"/>
  <c r="AH18" i="8"/>
  <c r="AI18" i="8"/>
  <c r="AK18" i="8"/>
  <c r="AL18" i="8"/>
  <c r="AM18" i="8"/>
  <c r="AN18" i="8"/>
  <c r="AO18" i="8"/>
  <c r="AP18" i="8"/>
  <c r="AQ18" i="8"/>
  <c r="AT18" i="8" s="1"/>
  <c r="AR18" i="8"/>
  <c r="AS18" i="8"/>
  <c r="AU18" i="8"/>
  <c r="AV18" i="8"/>
  <c r="BK18" i="8" s="1"/>
  <c r="AW18" i="8"/>
  <c r="AX18" i="8"/>
  <c r="AY18" i="8"/>
  <c r="AZ18" i="8"/>
  <c r="BA18" i="8"/>
  <c r="BB18" i="8"/>
  <c r="BC18" i="8"/>
  <c r="BE18" i="8"/>
  <c r="BF18" i="8"/>
  <c r="BG18" i="8"/>
  <c r="BH18" i="8"/>
  <c r="BM18" i="8" s="1"/>
  <c r="BI18" i="8"/>
  <c r="BJ18" i="8"/>
  <c r="BO18" i="8"/>
  <c r="BQ18" i="8" s="1"/>
  <c r="A19" i="8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B19" i="8"/>
  <c r="C19" i="8"/>
  <c r="D19" i="8"/>
  <c r="E19" i="8"/>
  <c r="F19" i="8"/>
  <c r="G19" i="8"/>
  <c r="H19" i="8"/>
  <c r="I19" i="8"/>
  <c r="J19" i="8"/>
  <c r="K19" i="8"/>
  <c r="N19" i="8" s="1"/>
  <c r="L19" i="8"/>
  <c r="M19" i="8"/>
  <c r="O19" i="8"/>
  <c r="P19" i="8"/>
  <c r="Q19" i="8"/>
  <c r="S19" i="8"/>
  <c r="T19" i="8"/>
  <c r="U19" i="8"/>
  <c r="V19" i="8"/>
  <c r="W19" i="8"/>
  <c r="X19" i="8"/>
  <c r="Y19" i="8"/>
  <c r="AA19" i="8"/>
  <c r="AB19" i="8"/>
  <c r="BK19" i="8" s="1"/>
  <c r="AC19" i="8"/>
  <c r="AD19" i="8"/>
  <c r="AE19" i="8"/>
  <c r="AF19" i="8"/>
  <c r="AG19" i="8"/>
  <c r="AH19" i="8"/>
  <c r="AI19" i="8"/>
  <c r="AK19" i="8"/>
  <c r="AL19" i="8"/>
  <c r="AM19" i="8"/>
  <c r="AN19" i="8"/>
  <c r="AO19" i="8"/>
  <c r="AP19" i="8"/>
  <c r="AQ19" i="8"/>
  <c r="AR19" i="8"/>
  <c r="AS19" i="8"/>
  <c r="AU19" i="8"/>
  <c r="AV19" i="8"/>
  <c r="AW19" i="8"/>
  <c r="AX19" i="8"/>
  <c r="AY19" i="8"/>
  <c r="AZ19" i="8"/>
  <c r="BA19" i="8"/>
  <c r="BD19" i="8" s="1"/>
  <c r="BB19" i="8"/>
  <c r="BC19" i="8"/>
  <c r="BE19" i="8"/>
  <c r="BF19" i="8"/>
  <c r="BG19" i="8"/>
  <c r="BH19" i="8"/>
  <c r="BI19" i="8"/>
  <c r="BJ19" i="8"/>
  <c r="BO19" i="8" s="1"/>
  <c r="BQ19" i="8" s="1"/>
  <c r="BM19" i="8"/>
  <c r="B20" i="8"/>
  <c r="C20" i="8"/>
  <c r="D20" i="8"/>
  <c r="E20" i="8"/>
  <c r="F20" i="8"/>
  <c r="G20" i="8"/>
  <c r="H20" i="8"/>
  <c r="I20" i="8"/>
  <c r="J20" i="8"/>
  <c r="K20" i="8"/>
  <c r="L20" i="8"/>
  <c r="M20" i="8"/>
  <c r="O20" i="8"/>
  <c r="P20" i="8"/>
  <c r="Q20" i="8"/>
  <c r="S20" i="8"/>
  <c r="T20" i="8"/>
  <c r="U20" i="8"/>
  <c r="V20" i="8"/>
  <c r="W20" i="8"/>
  <c r="Z20" i="8" s="1"/>
  <c r="X20" i="8"/>
  <c r="Y20" i="8"/>
  <c r="AA20" i="8"/>
  <c r="AB20" i="8"/>
  <c r="AC20" i="8"/>
  <c r="AD20" i="8"/>
  <c r="AE20" i="8"/>
  <c r="AF20" i="8"/>
  <c r="BO20" i="8" s="1"/>
  <c r="AG20" i="8"/>
  <c r="AH20" i="8"/>
  <c r="AI20" i="8"/>
  <c r="AJ20" i="8" s="1"/>
  <c r="AK20" i="8"/>
  <c r="AL20" i="8"/>
  <c r="AM20" i="8"/>
  <c r="AN20" i="8"/>
  <c r="AO20" i="8"/>
  <c r="AP20" i="8"/>
  <c r="AQ20" i="8"/>
  <c r="AT20" i="8" s="1"/>
  <c r="AR20" i="8"/>
  <c r="AS20" i="8"/>
  <c r="AU20" i="8"/>
  <c r="AV20" i="8"/>
  <c r="AW20" i="8"/>
  <c r="AX20" i="8"/>
  <c r="BM20" i="8" s="1"/>
  <c r="AY20" i="8"/>
  <c r="AZ20" i="8"/>
  <c r="BA20" i="8"/>
  <c r="BB20" i="8"/>
  <c r="BC20" i="8"/>
  <c r="BD20" i="8"/>
  <c r="BE20" i="8"/>
  <c r="BF20" i="8"/>
  <c r="BK20" i="8" s="1"/>
  <c r="BG20" i="8"/>
  <c r="BL20" i="8" s="1"/>
  <c r="BH20" i="8"/>
  <c r="BI20" i="8"/>
  <c r="BJ20" i="8"/>
  <c r="B21" i="8"/>
  <c r="C21" i="8"/>
  <c r="D21" i="8"/>
  <c r="E21" i="8"/>
  <c r="F21" i="8"/>
  <c r="G21" i="8"/>
  <c r="H21" i="8"/>
  <c r="I21" i="8"/>
  <c r="J21" i="8"/>
  <c r="K21" i="8"/>
  <c r="N21" i="8" s="1"/>
  <c r="L21" i="8"/>
  <c r="M21" i="8"/>
  <c r="O21" i="8"/>
  <c r="P21" i="8"/>
  <c r="Q21" i="8"/>
  <c r="S21" i="8"/>
  <c r="T21" i="8"/>
  <c r="U21" i="8"/>
  <c r="V21" i="8"/>
  <c r="W21" i="8"/>
  <c r="Z21" i="8" s="1"/>
  <c r="X21" i="8"/>
  <c r="Y21" i="8"/>
  <c r="AA21" i="8"/>
  <c r="AB21" i="8"/>
  <c r="AC21" i="8"/>
  <c r="AD21" i="8"/>
  <c r="AE21" i="8"/>
  <c r="AF21" i="8"/>
  <c r="AG21" i="8"/>
  <c r="AH21" i="8"/>
  <c r="AI21" i="8"/>
  <c r="AJ21" i="8" s="1"/>
  <c r="AK21" i="8"/>
  <c r="AL21" i="8"/>
  <c r="AM21" i="8"/>
  <c r="AN21" i="8"/>
  <c r="AO21" i="8"/>
  <c r="AP21" i="8"/>
  <c r="AQ21" i="8"/>
  <c r="AT21" i="8" s="1"/>
  <c r="AR21" i="8"/>
  <c r="AS21" i="8"/>
  <c r="AU21" i="8"/>
  <c r="AV21" i="8"/>
  <c r="AW21" i="8"/>
  <c r="AX21" i="8"/>
  <c r="AY21" i="8"/>
  <c r="AZ21" i="8"/>
  <c r="BO21" i="8" s="1"/>
  <c r="BQ21" i="8" s="1"/>
  <c r="BR21" i="8" s="1"/>
  <c r="BA21" i="8"/>
  <c r="BD21" i="8" s="1"/>
  <c r="BB21" i="8"/>
  <c r="BC21" i="8"/>
  <c r="BE21" i="8"/>
  <c r="BF21" i="8"/>
  <c r="BK21" i="8" s="1"/>
  <c r="BG21" i="8"/>
  <c r="BH21" i="8"/>
  <c r="BM21" i="8" s="1"/>
  <c r="BI21" i="8"/>
  <c r="BJ21" i="8"/>
  <c r="B22" i="8"/>
  <c r="C22" i="8"/>
  <c r="D22" i="8"/>
  <c r="E22" i="8"/>
  <c r="F22" i="8"/>
  <c r="G22" i="8"/>
  <c r="H22" i="8"/>
  <c r="I22" i="8"/>
  <c r="J22" i="8"/>
  <c r="K22" i="8"/>
  <c r="N22" i="8" s="1"/>
  <c r="L22" i="8"/>
  <c r="M22" i="8"/>
  <c r="O22" i="8"/>
  <c r="P22" i="8"/>
  <c r="Q22" i="8"/>
  <c r="S22" i="8"/>
  <c r="T22" i="8"/>
  <c r="U22" i="8"/>
  <c r="V22" i="8"/>
  <c r="W22" i="8"/>
  <c r="X22" i="8"/>
  <c r="Y22" i="8"/>
  <c r="AA22" i="8"/>
  <c r="AB22" i="8"/>
  <c r="AC22" i="8"/>
  <c r="AD22" i="8"/>
  <c r="AE22" i="8"/>
  <c r="AF22" i="8"/>
  <c r="AG22" i="8"/>
  <c r="AJ22" i="8" s="1"/>
  <c r="AH22" i="8"/>
  <c r="AI22" i="8"/>
  <c r="AK22" i="8"/>
  <c r="AL22" i="8"/>
  <c r="AM22" i="8"/>
  <c r="AN22" i="8"/>
  <c r="AO22" i="8"/>
  <c r="AP22" i="8"/>
  <c r="AQ22" i="8"/>
  <c r="AT22" i="8" s="1"/>
  <c r="AR22" i="8"/>
  <c r="AS22" i="8"/>
  <c r="AU22" i="8"/>
  <c r="AV22" i="8"/>
  <c r="AW22" i="8"/>
  <c r="AX22" i="8"/>
  <c r="AY22" i="8"/>
  <c r="AZ22" i="8"/>
  <c r="BA22" i="8"/>
  <c r="BB22" i="8"/>
  <c r="BC22" i="8"/>
  <c r="BE22" i="8"/>
  <c r="BF22" i="8"/>
  <c r="BK22" i="8" s="1"/>
  <c r="BG22" i="8"/>
  <c r="BH22" i="8"/>
  <c r="BM22" i="8" s="1"/>
  <c r="BI22" i="8"/>
  <c r="BJ22" i="8"/>
  <c r="BO22" i="8" s="1"/>
  <c r="BQ22" i="8" s="1"/>
  <c r="B23" i="8"/>
  <c r="C23" i="8"/>
  <c r="D23" i="8"/>
  <c r="E23" i="8"/>
  <c r="F23" i="8"/>
  <c r="G23" i="8"/>
  <c r="H23" i="8"/>
  <c r="I23" i="8"/>
  <c r="J23" i="8"/>
  <c r="K23" i="8"/>
  <c r="L23" i="8"/>
  <c r="N23" i="8" s="1"/>
  <c r="M23" i="8"/>
  <c r="O23" i="8"/>
  <c r="P23" i="8"/>
  <c r="Q23" i="8"/>
  <c r="S23" i="8"/>
  <c r="T23" i="8"/>
  <c r="U23" i="8"/>
  <c r="V23" i="8"/>
  <c r="W23" i="8"/>
  <c r="X23" i="8"/>
  <c r="Y23" i="8"/>
  <c r="AA23" i="8"/>
  <c r="AB23" i="8"/>
  <c r="AC23" i="8"/>
  <c r="AD23" i="8"/>
  <c r="AE23" i="8"/>
  <c r="AF23" i="8"/>
  <c r="AG23" i="8"/>
  <c r="AJ23" i="8" s="1"/>
  <c r="AH23" i="8"/>
  <c r="AI23" i="8"/>
  <c r="AK23" i="8"/>
  <c r="AL23" i="8"/>
  <c r="AM23" i="8"/>
  <c r="AN23" i="8"/>
  <c r="AO23" i="8"/>
  <c r="AP23" i="8"/>
  <c r="AQ23" i="8"/>
  <c r="AT23" i="8" s="1"/>
  <c r="AR23" i="8"/>
  <c r="AS23" i="8"/>
  <c r="AU23" i="8"/>
  <c r="AV23" i="8"/>
  <c r="BK23" i="8" s="1"/>
  <c r="AW23" i="8"/>
  <c r="AX23" i="8"/>
  <c r="AY23" i="8"/>
  <c r="AZ23" i="8"/>
  <c r="BA23" i="8"/>
  <c r="BB23" i="8"/>
  <c r="BC23" i="8"/>
  <c r="BE23" i="8"/>
  <c r="BF23" i="8"/>
  <c r="BG23" i="8"/>
  <c r="BH23" i="8"/>
  <c r="BM23" i="8" s="1"/>
  <c r="BI23" i="8"/>
  <c r="BJ23" i="8"/>
  <c r="BO23" i="8"/>
  <c r="BQ23" i="8" s="1"/>
  <c r="B24" i="8"/>
  <c r="C24" i="8"/>
  <c r="D24" i="8"/>
  <c r="E24" i="8"/>
  <c r="F24" i="8"/>
  <c r="G24" i="8"/>
  <c r="H24" i="8"/>
  <c r="I24" i="8"/>
  <c r="J24" i="8"/>
  <c r="K24" i="8"/>
  <c r="N24" i="8" s="1"/>
  <c r="L24" i="8"/>
  <c r="M24" i="8"/>
  <c r="O24" i="8"/>
  <c r="P24" i="8"/>
  <c r="Q24" i="8"/>
  <c r="S24" i="8"/>
  <c r="T24" i="8"/>
  <c r="U24" i="8"/>
  <c r="V24" i="8"/>
  <c r="W24" i="8"/>
  <c r="Z24" i="8" s="1"/>
  <c r="X24" i="8"/>
  <c r="Y24" i="8"/>
  <c r="AA24" i="8"/>
  <c r="AB24" i="8"/>
  <c r="AC24" i="8"/>
  <c r="AD24" i="8"/>
  <c r="AE24" i="8"/>
  <c r="AF24" i="8"/>
  <c r="AG24" i="8"/>
  <c r="AH24" i="8"/>
  <c r="AI24" i="8"/>
  <c r="AK24" i="8"/>
  <c r="AL24" i="8"/>
  <c r="AM24" i="8"/>
  <c r="AN24" i="8"/>
  <c r="AO24" i="8"/>
  <c r="AP24" i="8"/>
  <c r="AQ24" i="8"/>
  <c r="AR24" i="8"/>
  <c r="AS24" i="8"/>
  <c r="AU24" i="8"/>
  <c r="AV24" i="8"/>
  <c r="AW24" i="8"/>
  <c r="AX24" i="8"/>
  <c r="AY24" i="8"/>
  <c r="AZ24" i="8"/>
  <c r="BA24" i="8"/>
  <c r="BB24" i="8"/>
  <c r="BC24" i="8"/>
  <c r="BE24" i="8"/>
  <c r="BF24" i="8"/>
  <c r="BG24" i="8"/>
  <c r="BL24" i="8" s="1"/>
  <c r="BH24" i="8"/>
  <c r="BI24" i="8"/>
  <c r="BJ24" i="8"/>
  <c r="BK24" i="8"/>
  <c r="BN24" i="8" s="1"/>
  <c r="BP24" i="8" s="1"/>
  <c r="BM24" i="8"/>
  <c r="BO24" i="8"/>
  <c r="B25" i="8"/>
  <c r="C25" i="8"/>
  <c r="D25" i="8"/>
  <c r="E25" i="8"/>
  <c r="F25" i="8"/>
  <c r="G25" i="8"/>
  <c r="H25" i="8"/>
  <c r="I25" i="8"/>
  <c r="J25" i="8"/>
  <c r="K25" i="8"/>
  <c r="L25" i="8"/>
  <c r="M25" i="8"/>
  <c r="O25" i="8"/>
  <c r="P25" i="8"/>
  <c r="Q25" i="8"/>
  <c r="S25" i="8"/>
  <c r="T25" i="8"/>
  <c r="U25" i="8"/>
  <c r="V25" i="8"/>
  <c r="W25" i="8"/>
  <c r="X25" i="8"/>
  <c r="Y25" i="8"/>
  <c r="AA25" i="8"/>
  <c r="AB25" i="8"/>
  <c r="AC25" i="8"/>
  <c r="AD25" i="8"/>
  <c r="AE25" i="8"/>
  <c r="AF25" i="8"/>
  <c r="AG25" i="8"/>
  <c r="AH25" i="8"/>
  <c r="AI25" i="8"/>
  <c r="AK25" i="8"/>
  <c r="AL25" i="8"/>
  <c r="BK25" i="8" s="1"/>
  <c r="AM25" i="8"/>
  <c r="AN25" i="8"/>
  <c r="AO25" i="8"/>
  <c r="AP25" i="8"/>
  <c r="AQ25" i="8"/>
  <c r="AR25" i="8"/>
  <c r="AS25" i="8"/>
  <c r="AT25" i="8" s="1"/>
  <c r="AU25" i="8"/>
  <c r="AV25" i="8"/>
  <c r="AW25" i="8"/>
  <c r="AX25" i="8"/>
  <c r="AY25" i="8"/>
  <c r="AZ25" i="8"/>
  <c r="BA25" i="8"/>
  <c r="BB25" i="8"/>
  <c r="BC25" i="8"/>
  <c r="BE25" i="8"/>
  <c r="BF25" i="8"/>
  <c r="BG25" i="8"/>
  <c r="BH25" i="8"/>
  <c r="BI25" i="8"/>
  <c r="BJ25" i="8"/>
  <c r="BO25" i="8" s="1"/>
  <c r="B26" i="8"/>
  <c r="C26" i="8"/>
  <c r="D26" i="8"/>
  <c r="E26" i="8"/>
  <c r="F26" i="8"/>
  <c r="G26" i="8"/>
  <c r="H26" i="8"/>
  <c r="I26" i="8"/>
  <c r="J26" i="8"/>
  <c r="K26" i="8"/>
  <c r="N26" i="8" s="1"/>
  <c r="L26" i="8"/>
  <c r="M26" i="8"/>
  <c r="O26" i="8"/>
  <c r="P26" i="8"/>
  <c r="Q26" i="8"/>
  <c r="S26" i="8"/>
  <c r="T26" i="8"/>
  <c r="U26" i="8"/>
  <c r="V26" i="8"/>
  <c r="W26" i="8"/>
  <c r="X26" i="8"/>
  <c r="Y26" i="8"/>
  <c r="AA26" i="8"/>
  <c r="AB26" i="8"/>
  <c r="AC26" i="8"/>
  <c r="AD26" i="8"/>
  <c r="AE26" i="8"/>
  <c r="AF26" i="8"/>
  <c r="AG26" i="8"/>
  <c r="AJ26" i="8" s="1"/>
  <c r="AH26" i="8"/>
  <c r="AI26" i="8"/>
  <c r="AK26" i="8"/>
  <c r="AL26" i="8"/>
  <c r="AM26" i="8"/>
  <c r="AN26" i="8"/>
  <c r="AO26" i="8"/>
  <c r="AP26" i="8"/>
  <c r="AQ26" i="8"/>
  <c r="AR26" i="8"/>
  <c r="AS26" i="8"/>
  <c r="AU26" i="8"/>
  <c r="AV26" i="8"/>
  <c r="BK26" i="8" s="1"/>
  <c r="AW26" i="8"/>
  <c r="AX26" i="8"/>
  <c r="AY26" i="8"/>
  <c r="AZ26" i="8"/>
  <c r="BA26" i="8"/>
  <c r="BB26" i="8"/>
  <c r="BC26" i="8"/>
  <c r="BD26" i="8" s="1"/>
  <c r="BE26" i="8"/>
  <c r="BF26" i="8"/>
  <c r="BG26" i="8"/>
  <c r="BH26" i="8"/>
  <c r="BI26" i="8"/>
  <c r="BJ26" i="8"/>
  <c r="B27" i="8"/>
  <c r="C27" i="8"/>
  <c r="D27" i="8"/>
  <c r="E27" i="8"/>
  <c r="F27" i="8"/>
  <c r="G27" i="8"/>
  <c r="H27" i="8"/>
  <c r="I27" i="8"/>
  <c r="J27" i="8"/>
  <c r="K27" i="8"/>
  <c r="N27" i="8" s="1"/>
  <c r="L27" i="8"/>
  <c r="M27" i="8"/>
  <c r="O27" i="8"/>
  <c r="P27" i="8"/>
  <c r="Q27" i="8"/>
  <c r="S27" i="8"/>
  <c r="T27" i="8"/>
  <c r="U27" i="8"/>
  <c r="V27" i="8"/>
  <c r="W27" i="8"/>
  <c r="X27" i="8"/>
  <c r="Y27" i="8"/>
  <c r="Z27" i="8" s="1"/>
  <c r="AA27" i="8"/>
  <c r="AB27" i="8"/>
  <c r="AC27" i="8"/>
  <c r="AD27" i="8"/>
  <c r="AE27" i="8"/>
  <c r="AF27" i="8"/>
  <c r="AG27" i="8"/>
  <c r="AJ27" i="8" s="1"/>
  <c r="AH27" i="8"/>
  <c r="AI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E27" i="8"/>
  <c r="BF27" i="8"/>
  <c r="BK27" i="8" s="1"/>
  <c r="BG27" i="8"/>
  <c r="BH27" i="8"/>
  <c r="BI27" i="8"/>
  <c r="BJ27" i="8"/>
  <c r="BM27" i="8"/>
  <c r="B28" i="8"/>
  <c r="C28" i="8"/>
  <c r="D28" i="8"/>
  <c r="E28" i="8"/>
  <c r="F28" i="8"/>
  <c r="G28" i="8"/>
  <c r="H28" i="8"/>
  <c r="I28" i="8"/>
  <c r="J28" i="8"/>
  <c r="K28" i="8"/>
  <c r="L28" i="8"/>
  <c r="M28" i="8"/>
  <c r="O28" i="8"/>
  <c r="P28" i="8"/>
  <c r="Q28" i="8"/>
  <c r="S28" i="8"/>
  <c r="T28" i="8"/>
  <c r="U28" i="8"/>
  <c r="V28" i="8"/>
  <c r="W28" i="8"/>
  <c r="Z28" i="8" s="1"/>
  <c r="X28" i="8"/>
  <c r="Y28" i="8"/>
  <c r="AA28" i="8"/>
  <c r="AB28" i="8"/>
  <c r="AC28" i="8"/>
  <c r="AD28" i="8"/>
  <c r="AE28" i="8"/>
  <c r="AF28" i="8"/>
  <c r="AG28" i="8"/>
  <c r="AH28" i="8"/>
  <c r="AI28" i="8"/>
  <c r="AJ28" i="8" s="1"/>
  <c r="AK28" i="8"/>
  <c r="AL28" i="8"/>
  <c r="AM28" i="8"/>
  <c r="AN28" i="8"/>
  <c r="AO28" i="8"/>
  <c r="AP28" i="8"/>
  <c r="AQ28" i="8"/>
  <c r="AR28" i="8"/>
  <c r="AS28" i="8"/>
  <c r="AU28" i="8"/>
  <c r="AV28" i="8"/>
  <c r="AW28" i="8"/>
  <c r="AX28" i="8"/>
  <c r="AY28" i="8"/>
  <c r="AZ28" i="8"/>
  <c r="BA28" i="8"/>
  <c r="BB28" i="8"/>
  <c r="BD28" i="8" s="1"/>
  <c r="BC28" i="8"/>
  <c r="BE28" i="8"/>
  <c r="BF28" i="8"/>
  <c r="BG28" i="8"/>
  <c r="BL28" i="8" s="1"/>
  <c r="BH28" i="8"/>
  <c r="BM28" i="8" s="1"/>
  <c r="BI28" i="8"/>
  <c r="BJ28" i="8"/>
  <c r="BO28" i="8" s="1"/>
  <c r="B29" i="8"/>
  <c r="C29" i="8"/>
  <c r="D29" i="8"/>
  <c r="E29" i="8"/>
  <c r="F29" i="8"/>
  <c r="G29" i="8"/>
  <c r="H29" i="8"/>
  <c r="I29" i="8"/>
  <c r="J29" i="8"/>
  <c r="K29" i="8"/>
  <c r="L29" i="8"/>
  <c r="M29" i="8"/>
  <c r="N29" i="8" s="1"/>
  <c r="O29" i="8"/>
  <c r="P29" i="8"/>
  <c r="Q29" i="8"/>
  <c r="S29" i="8"/>
  <c r="T29" i="8"/>
  <c r="U29" i="8"/>
  <c r="V29" i="8"/>
  <c r="W29" i="8"/>
  <c r="X29" i="8"/>
  <c r="Y29" i="8"/>
  <c r="Z29" i="8" s="1"/>
  <c r="AA29" i="8"/>
  <c r="AB29" i="8"/>
  <c r="AC29" i="8"/>
  <c r="AD29" i="8"/>
  <c r="AE29" i="8"/>
  <c r="AF29" i="8"/>
  <c r="AG29" i="8"/>
  <c r="AJ29" i="8" s="1"/>
  <c r="AH29" i="8"/>
  <c r="AI29" i="8"/>
  <c r="AK29" i="8"/>
  <c r="AL29" i="8"/>
  <c r="AM29" i="8"/>
  <c r="AN29" i="8"/>
  <c r="AO29" i="8"/>
  <c r="AP29" i="8"/>
  <c r="AQ29" i="8"/>
  <c r="AR29" i="8"/>
  <c r="AS29" i="8"/>
  <c r="AT29" i="8" s="1"/>
  <c r="AU29" i="8"/>
  <c r="AV29" i="8"/>
  <c r="AW29" i="8"/>
  <c r="AX29" i="8"/>
  <c r="AY29" i="8"/>
  <c r="AZ29" i="8"/>
  <c r="BA29" i="8"/>
  <c r="BB29" i="8"/>
  <c r="BC29" i="8"/>
  <c r="BE29" i="8"/>
  <c r="BF29" i="8"/>
  <c r="BG29" i="8"/>
  <c r="BH29" i="8"/>
  <c r="BI29" i="8"/>
  <c r="BJ29" i="8"/>
  <c r="BO29" i="8" s="1"/>
  <c r="BM29" i="8"/>
  <c r="BQ29" i="8"/>
  <c r="B30" i="8"/>
  <c r="C30" i="8"/>
  <c r="D30" i="8"/>
  <c r="E30" i="8"/>
  <c r="F30" i="8"/>
  <c r="G30" i="8"/>
  <c r="H30" i="8"/>
  <c r="I30" i="8"/>
  <c r="J30" i="8"/>
  <c r="K30" i="8"/>
  <c r="N30" i="8" s="1"/>
  <c r="L30" i="8"/>
  <c r="M30" i="8"/>
  <c r="O30" i="8"/>
  <c r="P30" i="8"/>
  <c r="Q30" i="8"/>
  <c r="S30" i="8"/>
  <c r="T30" i="8"/>
  <c r="U30" i="8"/>
  <c r="V30" i="8"/>
  <c r="W30" i="8"/>
  <c r="X30" i="8"/>
  <c r="Y30" i="8"/>
  <c r="AA30" i="8"/>
  <c r="AB30" i="8"/>
  <c r="AC30" i="8"/>
  <c r="AD30" i="8"/>
  <c r="AE30" i="8"/>
  <c r="AF30" i="8"/>
  <c r="AG30" i="8"/>
  <c r="AH30" i="8"/>
  <c r="AI30" i="8"/>
  <c r="AK30" i="8"/>
  <c r="AL30" i="8"/>
  <c r="AM30" i="8"/>
  <c r="BL30" i="8" s="1"/>
  <c r="AN30" i="8"/>
  <c r="AO30" i="8"/>
  <c r="AP30" i="8"/>
  <c r="AQ30" i="8"/>
  <c r="AT30" i="8" s="1"/>
  <c r="AR30" i="8"/>
  <c r="AS30" i="8"/>
  <c r="AU30" i="8"/>
  <c r="AV30" i="8"/>
  <c r="AW30" i="8"/>
  <c r="AX30" i="8"/>
  <c r="AY30" i="8"/>
  <c r="AZ30" i="8"/>
  <c r="BA30" i="8"/>
  <c r="BB30" i="8"/>
  <c r="BC30" i="8"/>
  <c r="BE30" i="8"/>
  <c r="BF30" i="8"/>
  <c r="BG30" i="8"/>
  <c r="BH30" i="8"/>
  <c r="BI30" i="8"/>
  <c r="BJ30" i="8"/>
  <c r="BO30" i="8" s="1"/>
  <c r="BQ30" i="8" s="1"/>
  <c r="BK30" i="8"/>
  <c r="BN30" i="8" s="1"/>
  <c r="BM30" i="8"/>
  <c r="B31" i="8"/>
  <c r="C31" i="8"/>
  <c r="D31" i="8"/>
  <c r="E31" i="8"/>
  <c r="F31" i="8"/>
  <c r="G31" i="8"/>
  <c r="H31" i="8"/>
  <c r="I31" i="8"/>
  <c r="J31" i="8"/>
  <c r="K31" i="8"/>
  <c r="L31" i="8"/>
  <c r="M31" i="8"/>
  <c r="O31" i="8"/>
  <c r="P31" i="8"/>
  <c r="Q31" i="8"/>
  <c r="S31" i="8"/>
  <c r="T31" i="8"/>
  <c r="U31" i="8"/>
  <c r="V31" i="8"/>
  <c r="W31" i="8"/>
  <c r="X31" i="8"/>
  <c r="Y31" i="8"/>
  <c r="AA31" i="8"/>
  <c r="AB31" i="8"/>
  <c r="AC31" i="8"/>
  <c r="AD31" i="8"/>
  <c r="AE31" i="8"/>
  <c r="AF31" i="8"/>
  <c r="AG31" i="8"/>
  <c r="AJ31" i="8" s="1"/>
  <c r="AH31" i="8"/>
  <c r="AI31" i="8"/>
  <c r="AK31" i="8"/>
  <c r="AL31" i="8"/>
  <c r="AM31" i="8"/>
  <c r="AN31" i="8"/>
  <c r="AO31" i="8"/>
  <c r="AP31" i="8"/>
  <c r="AQ31" i="8"/>
  <c r="AT31" i="8" s="1"/>
  <c r="AR31" i="8"/>
  <c r="AS31" i="8"/>
  <c r="AU31" i="8"/>
  <c r="AV31" i="8"/>
  <c r="AW31" i="8"/>
  <c r="AX31" i="8"/>
  <c r="BM31" i="8" s="1"/>
  <c r="AY31" i="8"/>
  <c r="AZ31" i="8"/>
  <c r="BO31" i="8" s="1"/>
  <c r="BQ31" i="8" s="1"/>
  <c r="BA31" i="8"/>
  <c r="BD31" i="8" s="1"/>
  <c r="BB31" i="8"/>
  <c r="BC31" i="8"/>
  <c r="BE31" i="8"/>
  <c r="BF31" i="8"/>
  <c r="BG31" i="8"/>
  <c r="BH31" i="8"/>
  <c r="BI31" i="8"/>
  <c r="BJ31" i="8"/>
  <c r="B32" i="8"/>
  <c r="C32" i="8"/>
  <c r="D32" i="8"/>
  <c r="E32" i="8"/>
  <c r="F32" i="8"/>
  <c r="G32" i="8"/>
  <c r="H32" i="8"/>
  <c r="I32" i="8"/>
  <c r="J32" i="8"/>
  <c r="K32" i="8"/>
  <c r="N32" i="8" s="1"/>
  <c r="L32" i="8"/>
  <c r="M32" i="8"/>
  <c r="O32" i="8"/>
  <c r="P32" i="8"/>
  <c r="Q32" i="8"/>
  <c r="S32" i="8"/>
  <c r="T32" i="8"/>
  <c r="U32" i="8"/>
  <c r="V32" i="8"/>
  <c r="W32" i="8"/>
  <c r="Z32" i="8" s="1"/>
  <c r="X32" i="8"/>
  <c r="Y32" i="8"/>
  <c r="AA32" i="8"/>
  <c r="AB32" i="8"/>
  <c r="AC32" i="8"/>
  <c r="AD32" i="8"/>
  <c r="AE32" i="8"/>
  <c r="AF32" i="8"/>
  <c r="AG32" i="8"/>
  <c r="AH32" i="8"/>
  <c r="AI32" i="8"/>
  <c r="AK32" i="8"/>
  <c r="AL32" i="8"/>
  <c r="AM32" i="8"/>
  <c r="AN32" i="8"/>
  <c r="AO32" i="8"/>
  <c r="AP32" i="8"/>
  <c r="AQ32" i="8"/>
  <c r="AR32" i="8"/>
  <c r="AS32" i="8"/>
  <c r="AU32" i="8"/>
  <c r="AV32" i="8"/>
  <c r="AW32" i="8"/>
  <c r="AX32" i="8"/>
  <c r="AY32" i="8"/>
  <c r="AZ32" i="8"/>
  <c r="BA32" i="8"/>
  <c r="BD32" i="8" s="1"/>
  <c r="BB32" i="8"/>
  <c r="BC32" i="8"/>
  <c r="BE32" i="8"/>
  <c r="BF32" i="8"/>
  <c r="BG32" i="8"/>
  <c r="BL32" i="8" s="1"/>
  <c r="BH32" i="8"/>
  <c r="BI32" i="8"/>
  <c r="BJ32" i="8"/>
  <c r="BO32" i="8" s="1"/>
  <c r="B33" i="8"/>
  <c r="C33" i="8"/>
  <c r="D33" i="8"/>
  <c r="E33" i="8"/>
  <c r="F33" i="8"/>
  <c r="G33" i="8"/>
  <c r="H33" i="8"/>
  <c r="I33" i="8"/>
  <c r="J33" i="8"/>
  <c r="K33" i="8"/>
  <c r="L33" i="8"/>
  <c r="M33" i="8"/>
  <c r="O33" i="8"/>
  <c r="P33" i="8"/>
  <c r="Q33" i="8"/>
  <c r="S33" i="8"/>
  <c r="T33" i="8"/>
  <c r="U33" i="8"/>
  <c r="V33" i="8"/>
  <c r="W33" i="8"/>
  <c r="X33" i="8"/>
  <c r="Y33" i="8"/>
  <c r="Z33" i="8" s="1"/>
  <c r="AA33" i="8"/>
  <c r="AB33" i="8"/>
  <c r="AC33" i="8"/>
  <c r="AD33" i="8"/>
  <c r="AE33" i="8"/>
  <c r="AF33" i="8"/>
  <c r="AG33" i="8"/>
  <c r="AH33" i="8"/>
  <c r="AJ33" i="8" s="1"/>
  <c r="AI33" i="8"/>
  <c r="AK33" i="8"/>
  <c r="AL33" i="8"/>
  <c r="AM33" i="8"/>
  <c r="AN33" i="8"/>
  <c r="AO33" i="8"/>
  <c r="AP33" i="8"/>
  <c r="AQ33" i="8"/>
  <c r="AR33" i="8"/>
  <c r="AT33" i="8" s="1"/>
  <c r="AS33" i="8"/>
  <c r="AU33" i="8"/>
  <c r="AV33" i="8"/>
  <c r="AW33" i="8"/>
  <c r="AX33" i="8"/>
  <c r="AY33" i="8"/>
  <c r="AZ33" i="8"/>
  <c r="BA33" i="8"/>
  <c r="BD33" i="8" s="1"/>
  <c r="BB33" i="8"/>
  <c r="BC33" i="8"/>
  <c r="BE33" i="8"/>
  <c r="BF33" i="8"/>
  <c r="BG33" i="8"/>
  <c r="BH33" i="8"/>
  <c r="BI33" i="8"/>
  <c r="BJ33" i="8"/>
  <c r="BK33" i="8"/>
  <c r="B34" i="8"/>
  <c r="C34" i="8"/>
  <c r="D34" i="8"/>
  <c r="E34" i="8"/>
  <c r="F34" i="8"/>
  <c r="G34" i="8"/>
  <c r="H34" i="8"/>
  <c r="I34" i="8"/>
  <c r="J34" i="8"/>
  <c r="K34" i="8"/>
  <c r="L34" i="8"/>
  <c r="M34" i="8"/>
  <c r="O34" i="8"/>
  <c r="P34" i="8"/>
  <c r="Q34" i="8"/>
  <c r="S34" i="8"/>
  <c r="T34" i="8"/>
  <c r="U34" i="8"/>
  <c r="V34" i="8"/>
  <c r="W34" i="8"/>
  <c r="X34" i="8"/>
  <c r="Y34" i="8"/>
  <c r="AA34" i="8"/>
  <c r="AB34" i="8"/>
  <c r="AC34" i="8"/>
  <c r="AD34" i="8"/>
  <c r="AE34" i="8"/>
  <c r="AF34" i="8"/>
  <c r="AG34" i="8"/>
  <c r="AJ34" i="8" s="1"/>
  <c r="AH34" i="8"/>
  <c r="AI34" i="8"/>
  <c r="AK34" i="8"/>
  <c r="AL34" i="8"/>
  <c r="BK34" i="8" s="1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E34" i="8"/>
  <c r="BF34" i="8"/>
  <c r="BG34" i="8"/>
  <c r="BH34" i="8"/>
  <c r="BI34" i="8"/>
  <c r="BJ34" i="8"/>
  <c r="BM34" i="8"/>
  <c r="B35" i="8"/>
  <c r="C35" i="8"/>
  <c r="D35" i="8"/>
  <c r="E35" i="8"/>
  <c r="F35" i="8"/>
  <c r="G35" i="8"/>
  <c r="H35" i="8"/>
  <c r="I35" i="8"/>
  <c r="J35" i="8"/>
  <c r="K35" i="8"/>
  <c r="L35" i="8"/>
  <c r="M35" i="8"/>
  <c r="O35" i="8"/>
  <c r="P35" i="8"/>
  <c r="Q35" i="8"/>
  <c r="S35" i="8"/>
  <c r="T35" i="8"/>
  <c r="U35" i="8"/>
  <c r="V35" i="8"/>
  <c r="W35" i="8"/>
  <c r="X35" i="8"/>
  <c r="Z35" i="8" s="1"/>
  <c r="Y35" i="8"/>
  <c r="AA35" i="8"/>
  <c r="AB35" i="8"/>
  <c r="AC35" i="8"/>
  <c r="AD35" i="8"/>
  <c r="AE35" i="8"/>
  <c r="AF35" i="8"/>
  <c r="AG35" i="8"/>
  <c r="AH35" i="8"/>
  <c r="AI35" i="8"/>
  <c r="AK35" i="8"/>
  <c r="AL35" i="8"/>
  <c r="AM35" i="8"/>
  <c r="AN35" i="8"/>
  <c r="AO35" i="8"/>
  <c r="AP35" i="8"/>
  <c r="AQ35" i="8"/>
  <c r="AT35" i="8" s="1"/>
  <c r="AR35" i="8"/>
  <c r="AS35" i="8"/>
  <c r="AU35" i="8"/>
  <c r="AV35" i="8"/>
  <c r="AW35" i="8"/>
  <c r="BL35" i="8" s="1"/>
  <c r="AX35" i="8"/>
  <c r="BM35" i="8" s="1"/>
  <c r="AY35" i="8"/>
  <c r="AZ35" i="8"/>
  <c r="BA35" i="8"/>
  <c r="BD35" i="8" s="1"/>
  <c r="BB35" i="8"/>
  <c r="BC35" i="8"/>
  <c r="BE35" i="8"/>
  <c r="BF35" i="8"/>
  <c r="BG35" i="8"/>
  <c r="BH35" i="8"/>
  <c r="BI35" i="8"/>
  <c r="BJ35" i="8"/>
  <c r="BO35" i="8" s="1"/>
  <c r="B36" i="8"/>
  <c r="C36" i="8"/>
  <c r="D36" i="8"/>
  <c r="E36" i="8"/>
  <c r="F36" i="8"/>
  <c r="G36" i="8"/>
  <c r="H36" i="8"/>
  <c r="I36" i="8"/>
  <c r="J36" i="8"/>
  <c r="K36" i="8"/>
  <c r="N36" i="8" s="1"/>
  <c r="L36" i="8"/>
  <c r="M36" i="8"/>
  <c r="O36" i="8"/>
  <c r="P36" i="8"/>
  <c r="Q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T36" i="8" s="1"/>
  <c r="AR36" i="8"/>
  <c r="AS36" i="8"/>
  <c r="AU36" i="8"/>
  <c r="AV36" i="8"/>
  <c r="AW36" i="8"/>
  <c r="AX36" i="8"/>
  <c r="AY36" i="8"/>
  <c r="AZ36" i="8"/>
  <c r="BA36" i="8"/>
  <c r="BD36" i="8" s="1"/>
  <c r="BB36" i="8"/>
  <c r="BC36" i="8"/>
  <c r="BE36" i="8"/>
  <c r="BF36" i="8"/>
  <c r="BG36" i="8"/>
  <c r="BH36" i="8"/>
  <c r="BI36" i="8"/>
  <c r="BJ36" i="8"/>
  <c r="B37" i="8"/>
  <c r="C37" i="8"/>
  <c r="D37" i="8"/>
  <c r="E37" i="8"/>
  <c r="F37" i="8"/>
  <c r="G37" i="8"/>
  <c r="H37" i="8"/>
  <c r="I37" i="8"/>
  <c r="J37" i="8"/>
  <c r="K37" i="8"/>
  <c r="N37" i="8" s="1"/>
  <c r="L37" i="8"/>
  <c r="M37" i="8"/>
  <c r="O37" i="8"/>
  <c r="P37" i="8"/>
  <c r="Q37" i="8"/>
  <c r="S37" i="8"/>
  <c r="T37" i="8"/>
  <c r="U37" i="8"/>
  <c r="V37" i="8"/>
  <c r="W37" i="8"/>
  <c r="X37" i="8"/>
  <c r="Y37" i="8"/>
  <c r="AA37" i="8"/>
  <c r="AB37" i="8"/>
  <c r="AC37" i="8"/>
  <c r="BL37" i="8" s="1"/>
  <c r="AD37" i="8"/>
  <c r="AE37" i="8"/>
  <c r="AF37" i="8"/>
  <c r="AG37" i="8"/>
  <c r="AJ37" i="8" s="1"/>
  <c r="AH37" i="8"/>
  <c r="AI37" i="8"/>
  <c r="AK37" i="8"/>
  <c r="AL37" i="8"/>
  <c r="AM37" i="8"/>
  <c r="AN37" i="8"/>
  <c r="AO37" i="8"/>
  <c r="AP37" i="8"/>
  <c r="AQ37" i="8"/>
  <c r="AT37" i="8" s="1"/>
  <c r="AR37" i="8"/>
  <c r="AS37" i="8"/>
  <c r="AU37" i="8"/>
  <c r="AV37" i="8"/>
  <c r="AW37" i="8"/>
  <c r="AX37" i="8"/>
  <c r="AY37" i="8"/>
  <c r="AZ37" i="8"/>
  <c r="BA37" i="8"/>
  <c r="BD37" i="8" s="1"/>
  <c r="BB37" i="8"/>
  <c r="BC37" i="8"/>
  <c r="BE37" i="8"/>
  <c r="BF37" i="8"/>
  <c r="BG37" i="8"/>
  <c r="BH37" i="8"/>
  <c r="BI37" i="8"/>
  <c r="BJ37" i="8"/>
  <c r="B38" i="8"/>
  <c r="C38" i="8"/>
  <c r="D38" i="8"/>
  <c r="E38" i="8"/>
  <c r="F38" i="8"/>
  <c r="G38" i="8"/>
  <c r="H38" i="8"/>
  <c r="I38" i="8"/>
  <c r="J38" i="8"/>
  <c r="K38" i="8"/>
  <c r="N38" i="8" s="1"/>
  <c r="L38" i="8"/>
  <c r="M38" i="8"/>
  <c r="O38" i="8"/>
  <c r="P38" i="8"/>
  <c r="Q38" i="8"/>
  <c r="S38" i="8"/>
  <c r="T38" i="8"/>
  <c r="U38" i="8"/>
  <c r="V38" i="8"/>
  <c r="W38" i="8"/>
  <c r="Z38" i="8" s="1"/>
  <c r="X38" i="8"/>
  <c r="Y38" i="8"/>
  <c r="AA38" i="8"/>
  <c r="AB38" i="8"/>
  <c r="AC38" i="8"/>
  <c r="AD38" i="8"/>
  <c r="AE38" i="8"/>
  <c r="AF38" i="8"/>
  <c r="AG38" i="8"/>
  <c r="AJ38" i="8" s="1"/>
  <c r="AH38" i="8"/>
  <c r="AI38" i="8"/>
  <c r="AK38" i="8"/>
  <c r="AL38" i="8"/>
  <c r="AM38" i="8"/>
  <c r="AN38" i="8"/>
  <c r="AO38" i="8"/>
  <c r="AP38" i="8"/>
  <c r="AQ38" i="8"/>
  <c r="AT38" i="8" s="1"/>
  <c r="AR38" i="8"/>
  <c r="AS38" i="8"/>
  <c r="AU38" i="8"/>
  <c r="AV38" i="8"/>
  <c r="AW38" i="8"/>
  <c r="AX38" i="8"/>
  <c r="BM38" i="8" s="1"/>
  <c r="AY38" i="8"/>
  <c r="AZ38" i="8"/>
  <c r="BA38" i="8"/>
  <c r="BD38" i="8" s="1"/>
  <c r="BB38" i="8"/>
  <c r="BC38" i="8"/>
  <c r="BE38" i="8"/>
  <c r="BF38" i="8"/>
  <c r="BG38" i="8"/>
  <c r="BH38" i="8"/>
  <c r="BI38" i="8"/>
  <c r="BJ38" i="8"/>
  <c r="B39" i="8"/>
  <c r="C39" i="8"/>
  <c r="D39" i="8"/>
  <c r="E39" i="8"/>
  <c r="F39" i="8"/>
  <c r="G39" i="8"/>
  <c r="H39" i="8"/>
  <c r="I39" i="8"/>
  <c r="J39" i="8"/>
  <c r="K39" i="8"/>
  <c r="N39" i="8" s="1"/>
  <c r="L39" i="8"/>
  <c r="M39" i="8"/>
  <c r="O39" i="8"/>
  <c r="P39" i="8"/>
  <c r="Q39" i="8"/>
  <c r="S39" i="8"/>
  <c r="T39" i="8"/>
  <c r="U39" i="8"/>
  <c r="V39" i="8"/>
  <c r="W39" i="8"/>
  <c r="Z39" i="8" s="1"/>
  <c r="X39" i="8"/>
  <c r="Y39" i="8"/>
  <c r="AA39" i="8"/>
  <c r="AB39" i="8"/>
  <c r="AC39" i="8"/>
  <c r="AD39" i="8"/>
  <c r="AE39" i="8"/>
  <c r="AF39" i="8"/>
  <c r="AG39" i="8"/>
  <c r="AJ39" i="8" s="1"/>
  <c r="AH39" i="8"/>
  <c r="AI39" i="8"/>
  <c r="AK39" i="8"/>
  <c r="AL39" i="8"/>
  <c r="AM39" i="8"/>
  <c r="AN39" i="8"/>
  <c r="AO39" i="8"/>
  <c r="AP39" i="8"/>
  <c r="AQ39" i="8"/>
  <c r="AR39" i="8"/>
  <c r="AS39" i="8"/>
  <c r="AU39" i="8"/>
  <c r="AV39" i="8"/>
  <c r="AW39" i="8"/>
  <c r="AX39" i="8"/>
  <c r="BM39" i="8" s="1"/>
  <c r="AY39" i="8"/>
  <c r="AZ39" i="8"/>
  <c r="BO39" i="8" s="1"/>
  <c r="BA39" i="8"/>
  <c r="BD39" i="8" s="1"/>
  <c r="BB39" i="8"/>
  <c r="BC39" i="8"/>
  <c r="BE39" i="8"/>
  <c r="BF39" i="8"/>
  <c r="BG39" i="8"/>
  <c r="BL39" i="8" s="1"/>
  <c r="BH39" i="8"/>
  <c r="BI39" i="8"/>
  <c r="BJ39" i="8"/>
  <c r="B40" i="8"/>
  <c r="C40" i="8"/>
  <c r="D40" i="8"/>
  <c r="E40" i="8"/>
  <c r="F40" i="8"/>
  <c r="G40" i="8"/>
  <c r="H40" i="8"/>
  <c r="I40" i="8"/>
  <c r="J40" i="8"/>
  <c r="K40" i="8"/>
  <c r="N40" i="8" s="1"/>
  <c r="L40" i="8"/>
  <c r="M40" i="8"/>
  <c r="O40" i="8"/>
  <c r="P40" i="8"/>
  <c r="Q40" i="8"/>
  <c r="S40" i="8"/>
  <c r="T40" i="8"/>
  <c r="U40" i="8"/>
  <c r="V40" i="8"/>
  <c r="W40" i="8"/>
  <c r="X40" i="8"/>
  <c r="Y40" i="8"/>
  <c r="Z40" i="8"/>
  <c r="AA40" i="8"/>
  <c r="AB40" i="8"/>
  <c r="AC40" i="8"/>
  <c r="BL40" i="8" s="1"/>
  <c r="AD40" i="8"/>
  <c r="AE40" i="8"/>
  <c r="AF40" i="8"/>
  <c r="AG40" i="8"/>
  <c r="AH40" i="8"/>
  <c r="AJ40" i="8" s="1"/>
  <c r="AI40" i="8"/>
  <c r="AK40" i="8"/>
  <c r="AL40" i="8"/>
  <c r="AM40" i="8"/>
  <c r="AN40" i="8"/>
  <c r="AO40" i="8"/>
  <c r="AP40" i="8"/>
  <c r="AQ40" i="8"/>
  <c r="AT40" i="8" s="1"/>
  <c r="AR40" i="8"/>
  <c r="AS40" i="8"/>
  <c r="AU40" i="8"/>
  <c r="AV40" i="8"/>
  <c r="AW40" i="8"/>
  <c r="AX40" i="8"/>
  <c r="AY40" i="8"/>
  <c r="AZ40" i="8"/>
  <c r="BA40" i="8"/>
  <c r="BD40" i="8" s="1"/>
  <c r="BB40" i="8"/>
  <c r="BC40" i="8"/>
  <c r="BE40" i="8"/>
  <c r="BF40" i="8"/>
  <c r="BG40" i="8"/>
  <c r="BH40" i="8"/>
  <c r="BI40" i="8"/>
  <c r="BJ40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S41" i="8"/>
  <c r="T41" i="8"/>
  <c r="U41" i="8"/>
  <c r="V41" i="8"/>
  <c r="W41" i="8"/>
  <c r="Z41" i="8" s="1"/>
  <c r="X41" i="8"/>
  <c r="Y41" i="8"/>
  <c r="AA41" i="8"/>
  <c r="AB41" i="8"/>
  <c r="AC41" i="8"/>
  <c r="AD41" i="8"/>
  <c r="AE41" i="8"/>
  <c r="AF41" i="8"/>
  <c r="BO41" i="8" s="1"/>
  <c r="AG41" i="8"/>
  <c r="AJ41" i="8" s="1"/>
  <c r="AH41" i="8"/>
  <c r="AI41" i="8"/>
  <c r="AK41" i="8"/>
  <c r="AL41" i="8"/>
  <c r="AM41" i="8"/>
  <c r="AN41" i="8"/>
  <c r="AO41" i="8"/>
  <c r="AP41" i="8"/>
  <c r="AQ41" i="8"/>
  <c r="AT41" i="8" s="1"/>
  <c r="AR41" i="8"/>
  <c r="AS41" i="8"/>
  <c r="AU41" i="8"/>
  <c r="AV41" i="8"/>
  <c r="BK41" i="8" s="1"/>
  <c r="AW41" i="8"/>
  <c r="BL41" i="8" s="1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42" i="8"/>
  <c r="C42" i="8"/>
  <c r="D42" i="8"/>
  <c r="E42" i="8"/>
  <c r="F42" i="8"/>
  <c r="G42" i="8"/>
  <c r="H42" i="8"/>
  <c r="I42" i="8"/>
  <c r="J42" i="8"/>
  <c r="K42" i="8"/>
  <c r="L42" i="8"/>
  <c r="M42" i="8"/>
  <c r="O42" i="8"/>
  <c r="P42" i="8"/>
  <c r="Q42" i="8"/>
  <c r="S42" i="8"/>
  <c r="T42" i="8"/>
  <c r="U42" i="8"/>
  <c r="V42" i="8"/>
  <c r="W42" i="8"/>
  <c r="Z42" i="8" s="1"/>
  <c r="X42" i="8"/>
  <c r="Y42" i="8"/>
  <c r="AA42" i="8"/>
  <c r="AB42" i="8"/>
  <c r="AC42" i="8"/>
  <c r="AD42" i="8"/>
  <c r="AE42" i="8"/>
  <c r="AF42" i="8"/>
  <c r="AG42" i="8"/>
  <c r="AH42" i="8"/>
  <c r="AI42" i="8"/>
  <c r="AK42" i="8"/>
  <c r="AL42" i="8"/>
  <c r="AM42" i="8"/>
  <c r="AN42" i="8"/>
  <c r="AO42" i="8"/>
  <c r="AP42" i="8"/>
  <c r="AQ42" i="8"/>
  <c r="AR42" i="8"/>
  <c r="AS42" i="8"/>
  <c r="AU42" i="8"/>
  <c r="AV42" i="8"/>
  <c r="BK42" i="8" s="1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43" i="8"/>
  <c r="C43" i="8"/>
  <c r="D43" i="8"/>
  <c r="E43" i="8"/>
  <c r="F43" i="8"/>
  <c r="G43" i="8"/>
  <c r="H43" i="8"/>
  <c r="I43" i="8"/>
  <c r="J43" i="8"/>
  <c r="K43" i="8"/>
  <c r="N43" i="8" s="1"/>
  <c r="L43" i="8"/>
  <c r="M43" i="8"/>
  <c r="O43" i="8"/>
  <c r="P43" i="8"/>
  <c r="Q43" i="8"/>
  <c r="S43" i="8"/>
  <c r="T43" i="8"/>
  <c r="U43" i="8"/>
  <c r="V43" i="8"/>
  <c r="W43" i="8"/>
  <c r="Z43" i="8" s="1"/>
  <c r="X43" i="8"/>
  <c r="Y43" i="8"/>
  <c r="AA43" i="8"/>
  <c r="AB43" i="8"/>
  <c r="BK43" i="8" s="1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U43" i="8"/>
  <c r="AV43" i="8"/>
  <c r="AW43" i="8"/>
  <c r="AX43" i="8"/>
  <c r="BM43" i="8" s="1"/>
  <c r="AY43" i="8"/>
  <c r="AZ43" i="8"/>
  <c r="BA43" i="8"/>
  <c r="BD43" i="8" s="1"/>
  <c r="BB43" i="8"/>
  <c r="BC43" i="8"/>
  <c r="BE43" i="8"/>
  <c r="BF43" i="8"/>
  <c r="BG43" i="8"/>
  <c r="BL43" i="8" s="1"/>
  <c r="BH43" i="8"/>
  <c r="BI43" i="8"/>
  <c r="BJ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S44" i="8"/>
  <c r="T44" i="8"/>
  <c r="U44" i="8"/>
  <c r="V44" i="8"/>
  <c r="W44" i="8"/>
  <c r="X44" i="8"/>
  <c r="Y44" i="8"/>
  <c r="AA44" i="8"/>
  <c r="AB44" i="8"/>
  <c r="AC44" i="8"/>
  <c r="AD44" i="8"/>
  <c r="AE44" i="8"/>
  <c r="AF44" i="8"/>
  <c r="AG44" i="8"/>
  <c r="AJ44" i="8" s="1"/>
  <c r="AH44" i="8"/>
  <c r="AI44" i="8"/>
  <c r="AK44" i="8"/>
  <c r="AL44" i="8"/>
  <c r="AM44" i="8"/>
  <c r="AN44" i="8"/>
  <c r="AO44" i="8"/>
  <c r="AP44" i="8"/>
  <c r="AQ44" i="8"/>
  <c r="AT44" i="8" s="1"/>
  <c r="AR44" i="8"/>
  <c r="AS44" i="8"/>
  <c r="AU44" i="8"/>
  <c r="AV44" i="8"/>
  <c r="AW44" i="8"/>
  <c r="AX44" i="8"/>
  <c r="AY44" i="8"/>
  <c r="AZ44" i="8"/>
  <c r="BA44" i="8"/>
  <c r="BB44" i="8"/>
  <c r="BC44" i="8"/>
  <c r="BE44" i="8"/>
  <c r="BF44" i="8"/>
  <c r="BG44" i="8"/>
  <c r="BH44" i="8"/>
  <c r="BI44" i="8"/>
  <c r="BJ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S45" i="8"/>
  <c r="T45" i="8"/>
  <c r="U45" i="8"/>
  <c r="V45" i="8"/>
  <c r="W45" i="8"/>
  <c r="Z45" i="8" s="1"/>
  <c r="X45" i="8"/>
  <c r="Y45" i="8"/>
  <c r="AA45" i="8"/>
  <c r="AB45" i="8"/>
  <c r="AC45" i="8"/>
  <c r="AD45" i="8"/>
  <c r="AE45" i="8"/>
  <c r="AF45" i="8"/>
  <c r="BO45" i="8" s="1"/>
  <c r="AG45" i="8"/>
  <c r="AJ45" i="8" s="1"/>
  <c r="AH45" i="8"/>
  <c r="AI45" i="8"/>
  <c r="AK45" i="8"/>
  <c r="AL45" i="8"/>
  <c r="AM45" i="8"/>
  <c r="AN45" i="8"/>
  <c r="AO45" i="8"/>
  <c r="AP45" i="8"/>
  <c r="AQ45" i="8"/>
  <c r="AT45" i="8" s="1"/>
  <c r="AR45" i="8"/>
  <c r="AS45" i="8"/>
  <c r="AU45" i="8"/>
  <c r="AV45" i="8"/>
  <c r="AW45" i="8"/>
  <c r="BL45" i="8" s="1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46" i="8"/>
  <c r="C46" i="8"/>
  <c r="D46" i="8"/>
  <c r="E46" i="8"/>
  <c r="F46" i="8"/>
  <c r="G46" i="8"/>
  <c r="H46" i="8"/>
  <c r="I46" i="8"/>
  <c r="J46" i="8"/>
  <c r="K46" i="8"/>
  <c r="N46" i="8" s="1"/>
  <c r="L46" i="8"/>
  <c r="M46" i="8"/>
  <c r="O46" i="8"/>
  <c r="P46" i="8"/>
  <c r="Q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K46" i="8"/>
  <c r="AL46" i="8"/>
  <c r="AM46" i="8"/>
  <c r="AN46" i="8"/>
  <c r="AO46" i="8"/>
  <c r="AP46" i="8"/>
  <c r="AQ46" i="8"/>
  <c r="AR46" i="8"/>
  <c r="AT46" i="8" s="1"/>
  <c r="AS46" i="8"/>
  <c r="AU46" i="8"/>
  <c r="AV46" i="8"/>
  <c r="AW46" i="8"/>
  <c r="AX46" i="8"/>
  <c r="AY46" i="8"/>
  <c r="AZ46" i="8"/>
  <c r="BA46" i="8"/>
  <c r="BD46" i="8" s="1"/>
  <c r="BB46" i="8"/>
  <c r="BC46" i="8"/>
  <c r="BE46" i="8"/>
  <c r="BF46" i="8"/>
  <c r="BG46" i="8"/>
  <c r="BH46" i="8"/>
  <c r="BI46" i="8"/>
  <c r="BJ46" i="8"/>
  <c r="B47" i="8"/>
  <c r="C47" i="8"/>
  <c r="D47" i="8"/>
  <c r="E47" i="8"/>
  <c r="F47" i="8"/>
  <c r="G47" i="8"/>
  <c r="H47" i="8"/>
  <c r="I47" i="8"/>
  <c r="J47" i="8"/>
  <c r="K47" i="8"/>
  <c r="N47" i="8" s="1"/>
  <c r="L47" i="8"/>
  <c r="M47" i="8"/>
  <c r="O47" i="8"/>
  <c r="P47" i="8"/>
  <c r="Q47" i="8"/>
  <c r="S47" i="8"/>
  <c r="T47" i="8"/>
  <c r="U47" i="8"/>
  <c r="V47" i="8"/>
  <c r="W47" i="8"/>
  <c r="Z47" i="8" s="1"/>
  <c r="X47" i="8"/>
  <c r="Y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U47" i="8"/>
  <c r="AV47" i="8"/>
  <c r="AW47" i="8"/>
  <c r="AX47" i="8"/>
  <c r="AY47" i="8"/>
  <c r="AZ47" i="8"/>
  <c r="BO47" i="8" s="1"/>
  <c r="BA47" i="8"/>
  <c r="BB47" i="8"/>
  <c r="BC47" i="8"/>
  <c r="BD47" i="8"/>
  <c r="BE47" i="8"/>
  <c r="BF47" i="8"/>
  <c r="BG47" i="8"/>
  <c r="BL47" i="8" s="1"/>
  <c r="BH47" i="8"/>
  <c r="BI47" i="8"/>
  <c r="BJ47" i="8"/>
  <c r="B48" i="8"/>
  <c r="C48" i="8"/>
  <c r="D48" i="8"/>
  <c r="E48" i="8"/>
  <c r="F48" i="8"/>
  <c r="G48" i="8"/>
  <c r="H48" i="8"/>
  <c r="I48" i="8"/>
  <c r="J48" i="8"/>
  <c r="K48" i="8"/>
  <c r="N48" i="8" s="1"/>
  <c r="L48" i="8"/>
  <c r="M48" i="8"/>
  <c r="O48" i="8"/>
  <c r="P48" i="8"/>
  <c r="Q48" i="8"/>
  <c r="S48" i="8"/>
  <c r="T48" i="8"/>
  <c r="U48" i="8"/>
  <c r="V48" i="8"/>
  <c r="W48" i="8"/>
  <c r="Z48" i="8" s="1"/>
  <c r="X48" i="8"/>
  <c r="Y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D48" i="8" s="1"/>
  <c r="BB48" i="8"/>
  <c r="BC48" i="8"/>
  <c r="BE48" i="8"/>
  <c r="BF48" i="8"/>
  <c r="BG48" i="8"/>
  <c r="BH48" i="8"/>
  <c r="BI48" i="8"/>
  <c r="BJ48" i="8"/>
  <c r="B49" i="8"/>
  <c r="C49" i="8"/>
  <c r="D49" i="8"/>
  <c r="E49" i="8"/>
  <c r="F49" i="8"/>
  <c r="G49" i="8"/>
  <c r="H49" i="8"/>
  <c r="I49" i="8"/>
  <c r="J49" i="8"/>
  <c r="K49" i="8"/>
  <c r="N49" i="8" s="1"/>
  <c r="L49" i="8"/>
  <c r="M49" i="8"/>
  <c r="O49" i="8"/>
  <c r="P49" i="8"/>
  <c r="Q49" i="8"/>
  <c r="S49" i="8"/>
  <c r="T49" i="8"/>
  <c r="U49" i="8"/>
  <c r="V49" i="8"/>
  <c r="W49" i="8"/>
  <c r="X49" i="8"/>
  <c r="Y49" i="8"/>
  <c r="AA49" i="8"/>
  <c r="AB49" i="8"/>
  <c r="AC49" i="8"/>
  <c r="AD49" i="8"/>
  <c r="AE49" i="8"/>
  <c r="AF49" i="8"/>
  <c r="AG49" i="8"/>
  <c r="AH49" i="8"/>
  <c r="AJ49" i="8" s="1"/>
  <c r="AI49" i="8"/>
  <c r="AK49" i="8"/>
  <c r="AL49" i="8"/>
  <c r="AM49" i="8"/>
  <c r="AN49" i="8"/>
  <c r="AO49" i="8"/>
  <c r="AP49" i="8"/>
  <c r="AQ49" i="8"/>
  <c r="AT49" i="8" s="1"/>
  <c r="AR49" i="8"/>
  <c r="AS49" i="8"/>
  <c r="AU49" i="8"/>
  <c r="AV49" i="8"/>
  <c r="AW49" i="8"/>
  <c r="BL49" i="8" s="1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50" i="8"/>
  <c r="C50" i="8"/>
  <c r="D50" i="8"/>
  <c r="E50" i="8"/>
  <c r="F50" i="8"/>
  <c r="G50" i="8"/>
  <c r="H50" i="8"/>
  <c r="I50" i="8"/>
  <c r="J50" i="8"/>
  <c r="K50" i="8"/>
  <c r="L50" i="8"/>
  <c r="N50" i="8" s="1"/>
  <c r="M50" i="8"/>
  <c r="O50" i="8"/>
  <c r="P50" i="8"/>
  <c r="Q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K50" i="8"/>
  <c r="AL50" i="8"/>
  <c r="AM50" i="8"/>
  <c r="AN50" i="8"/>
  <c r="AO50" i="8"/>
  <c r="AP50" i="8"/>
  <c r="AQ50" i="8"/>
  <c r="AR50" i="8"/>
  <c r="AS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51" i="8"/>
  <c r="C51" i="8"/>
  <c r="D51" i="8"/>
  <c r="E51" i="8"/>
  <c r="F51" i="8"/>
  <c r="G51" i="8"/>
  <c r="H51" i="8"/>
  <c r="I51" i="8"/>
  <c r="J51" i="8"/>
  <c r="K51" i="8"/>
  <c r="N51" i="8" s="1"/>
  <c r="L51" i="8"/>
  <c r="M51" i="8"/>
  <c r="O51" i="8"/>
  <c r="P51" i="8"/>
  <c r="Q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U51" i="8"/>
  <c r="AV51" i="8"/>
  <c r="AW51" i="8"/>
  <c r="AX51" i="8"/>
  <c r="AY51" i="8"/>
  <c r="AZ51" i="8"/>
  <c r="BO51" i="8" s="1"/>
  <c r="BA51" i="8"/>
  <c r="BD51" i="8" s="1"/>
  <c r="BB51" i="8"/>
  <c r="BC51" i="8"/>
  <c r="BE51" i="8"/>
  <c r="BF51" i="8"/>
  <c r="BG51" i="8"/>
  <c r="BL51" i="8" s="1"/>
  <c r="BH51" i="8"/>
  <c r="BI51" i="8"/>
  <c r="BJ51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S52" i="8"/>
  <c r="T52" i="8"/>
  <c r="U52" i="8"/>
  <c r="V52" i="8"/>
  <c r="W52" i="8"/>
  <c r="Z52" i="8" s="1"/>
  <c r="X52" i="8"/>
  <c r="Y52" i="8"/>
  <c r="AA52" i="8"/>
  <c r="AB52" i="8"/>
  <c r="AC52" i="8"/>
  <c r="AD52" i="8"/>
  <c r="AE52" i="8"/>
  <c r="AF52" i="8"/>
  <c r="AG52" i="8"/>
  <c r="AJ52" i="8" s="1"/>
  <c r="AH52" i="8"/>
  <c r="AI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E52" i="8"/>
  <c r="BF52" i="8"/>
  <c r="BG52" i="8"/>
  <c r="BH52" i="8"/>
  <c r="BI52" i="8"/>
  <c r="BJ52" i="8"/>
  <c r="BM50" i="8" l="1"/>
  <c r="BO50" i="8"/>
  <c r="BM49" i="8"/>
  <c r="AT47" i="8"/>
  <c r="BO44" i="8"/>
  <c r="BK44" i="8"/>
  <c r="BM42" i="8"/>
  <c r="BN42" i="8" s="1"/>
  <c r="BP42" i="8" s="1"/>
  <c r="BO42" i="8"/>
  <c r="BQ42" i="8" s="1"/>
  <c r="BR42" i="8" s="1"/>
  <c r="AT39" i="8"/>
  <c r="BM36" i="8"/>
  <c r="BL33" i="8"/>
  <c r="BK32" i="8"/>
  <c r="AT28" i="8"/>
  <c r="Z22" i="8"/>
  <c r="BD9" i="8"/>
  <c r="BL5" i="8"/>
  <c r="BL2" i="8"/>
  <c r="BM2" i="8"/>
  <c r="BL50" i="8"/>
  <c r="BL42" i="8"/>
  <c r="BM40" i="8"/>
  <c r="BL36" i="8"/>
  <c r="BD30" i="8"/>
  <c r="AT26" i="8"/>
  <c r="AJ25" i="8"/>
  <c r="BD24" i="8"/>
  <c r="AJ24" i="8"/>
  <c r="AT19" i="8"/>
  <c r="BD18" i="8"/>
  <c r="BL18" i="8"/>
  <c r="BN18" i="8" s="1"/>
  <c r="BP18" i="8" s="1"/>
  <c r="BL14" i="8"/>
  <c r="Z10" i="8"/>
  <c r="BO9" i="8"/>
  <c r="BQ9" i="8" s="1"/>
  <c r="BK5" i="8"/>
  <c r="BN2" i="8"/>
  <c r="BK51" i="8"/>
  <c r="BK50" i="8"/>
  <c r="BM48" i="8"/>
  <c r="BM47" i="8"/>
  <c r="BO36" i="8"/>
  <c r="BK36" i="8"/>
  <c r="BO34" i="8"/>
  <c r="Z31" i="8"/>
  <c r="BK29" i="8"/>
  <c r="BN29" i="8" s="1"/>
  <c r="BP29" i="8" s="1"/>
  <c r="BO27" i="8"/>
  <c r="Z25" i="8"/>
  <c r="N25" i="8"/>
  <c r="AT24" i="8"/>
  <c r="BL22" i="8"/>
  <c r="N20" i="8"/>
  <c r="AJ19" i="8"/>
  <c r="Z19" i="8"/>
  <c r="BO5" i="8"/>
  <c r="BQ5" i="8" s="1"/>
  <c r="AJ3" i="8"/>
  <c r="AT51" i="8"/>
  <c r="BL48" i="8"/>
  <c r="BK45" i="8"/>
  <c r="BO43" i="8"/>
  <c r="BQ43" i="8" s="1"/>
  <c r="AT43" i="8"/>
  <c r="N42" i="8"/>
  <c r="BO40" i="8"/>
  <c r="BK40" i="8"/>
  <c r="BL29" i="8"/>
  <c r="BL27" i="8"/>
  <c r="BN27" i="8" s="1"/>
  <c r="BP27" i="8" s="1"/>
  <c r="BO26" i="8"/>
  <c r="BQ26" i="8" s="1"/>
  <c r="Z26" i="8"/>
  <c r="BD23" i="8"/>
  <c r="AT15" i="8"/>
  <c r="Z15" i="8"/>
  <c r="BL13" i="8"/>
  <c r="BN13" i="8" s="1"/>
  <c r="BP13" i="8" s="1"/>
  <c r="BN12" i="8"/>
  <c r="BP12" i="8" s="1"/>
  <c r="BL10" i="8"/>
  <c r="BN10" i="8" s="1"/>
  <c r="BP10" i="8" s="1"/>
  <c r="Z6" i="8"/>
  <c r="BK4" i="8"/>
  <c r="BO3" i="8"/>
  <c r="BM52" i="8"/>
  <c r="BO48" i="8"/>
  <c r="BK48" i="8"/>
  <c r="BN48" i="8" s="1"/>
  <c r="BP48" i="8" s="1"/>
  <c r="BM45" i="8"/>
  <c r="BN45" i="8" s="1"/>
  <c r="BP45" i="8" s="1"/>
  <c r="Z44" i="8"/>
  <c r="BK37" i="8"/>
  <c r="BN37" i="8" s="1"/>
  <c r="BP37" i="8" s="1"/>
  <c r="BO37" i="8"/>
  <c r="Z37" i="8"/>
  <c r="BO33" i="8"/>
  <c r="BL31" i="8"/>
  <c r="BD29" i="8"/>
  <c r="N28" i="8"/>
  <c r="BM26" i="8"/>
  <c r="BM25" i="8"/>
  <c r="BL19" i="8"/>
  <c r="BN19" i="8" s="1"/>
  <c r="BP19" i="8" s="1"/>
  <c r="BL17" i="8"/>
  <c r="AJ15" i="8"/>
  <c r="AJ11" i="8"/>
  <c r="Z9" i="8"/>
  <c r="BL6" i="8"/>
  <c r="BN6" i="8" s="1"/>
  <c r="BP6" i="8" s="1"/>
  <c r="BD4" i="8"/>
  <c r="BD52" i="8"/>
  <c r="BL52" i="8"/>
  <c r="BM51" i="8"/>
  <c r="BM46" i="8"/>
  <c r="AJ46" i="8"/>
  <c r="BN41" i="8"/>
  <c r="BP41" i="8" s="1"/>
  <c r="Z34" i="8"/>
  <c r="BM33" i="8"/>
  <c r="AT32" i="8"/>
  <c r="BK31" i="8"/>
  <c r="N31" i="8"/>
  <c r="AJ30" i="8"/>
  <c r="BP30" i="8"/>
  <c r="BL26" i="8"/>
  <c r="BL25" i="8"/>
  <c r="BL21" i="8"/>
  <c r="AT14" i="8"/>
  <c r="BD13" i="8"/>
  <c r="AT7" i="8"/>
  <c r="Z7" i="8"/>
  <c r="AT4" i="8"/>
  <c r="BO52" i="8"/>
  <c r="BK52" i="8"/>
  <c r="AT50" i="8"/>
  <c r="BK49" i="8"/>
  <c r="BN49" i="8" s="1"/>
  <c r="BO49" i="8"/>
  <c r="BQ49" i="8" s="1"/>
  <c r="BR49" i="8" s="1"/>
  <c r="Z49" i="8"/>
  <c r="BL46" i="8"/>
  <c r="BO46" i="8"/>
  <c r="BM44" i="8"/>
  <c r="AT42" i="8"/>
  <c r="BL38" i="8"/>
  <c r="BO38" i="8"/>
  <c r="BM37" i="8"/>
  <c r="N35" i="8"/>
  <c r="N34" i="8"/>
  <c r="Z30" i="8"/>
  <c r="BK28" i="8"/>
  <c r="BN20" i="8"/>
  <c r="BP20" i="8" s="1"/>
  <c r="BL15" i="8"/>
  <c r="BO13" i="8"/>
  <c r="BQ13" i="8" s="1"/>
  <c r="BR13" i="8" s="1"/>
  <c r="AJ13" i="8"/>
  <c r="N12" i="8"/>
  <c r="BL11" i="8"/>
  <c r="BN11" i="8" s="1"/>
  <c r="BP11" i="8" s="1"/>
  <c r="AJ7" i="8"/>
  <c r="BK3" i="8"/>
  <c r="BN3" i="8" s="1"/>
  <c r="BP3" i="8" s="1"/>
  <c r="BO2" i="8"/>
  <c r="BQ2" i="8" s="1"/>
  <c r="AJ50" i="8"/>
  <c r="BK47" i="8"/>
  <c r="BN47" i="8" s="1"/>
  <c r="BP47" i="8" s="1"/>
  <c r="BK46" i="8"/>
  <c r="BD44" i="8"/>
  <c r="BL44" i="8"/>
  <c r="BN44" i="8" s="1"/>
  <c r="BP44" i="8" s="1"/>
  <c r="AJ42" i="8"/>
  <c r="BM41" i="8"/>
  <c r="BK39" i="8"/>
  <c r="BK38" i="8"/>
  <c r="BN38" i="8" s="1"/>
  <c r="BP38" i="8" s="1"/>
  <c r="BL34" i="8"/>
  <c r="BN34" i="8" s="1"/>
  <c r="BM32" i="8"/>
  <c r="BD27" i="8"/>
  <c r="BD25" i="8"/>
  <c r="BL23" i="8"/>
  <c r="BN23" i="8" s="1"/>
  <c r="Z18" i="8"/>
  <c r="N15" i="8"/>
  <c r="Z14" i="8"/>
  <c r="BL9" i="8"/>
  <c r="BN9" i="8" s="1"/>
  <c r="BP9" i="8" s="1"/>
  <c r="BL4" i="8"/>
  <c r="BM4" i="8"/>
  <c r="BQ41" i="8"/>
  <c r="BR41" i="8" s="1"/>
  <c r="BQ52" i="8"/>
  <c r="BR52" i="8" s="1"/>
  <c r="BN52" i="8"/>
  <c r="BP52" i="8" s="1"/>
  <c r="BP49" i="8"/>
  <c r="BQ46" i="8"/>
  <c r="BR46" i="8"/>
  <c r="BQ38" i="8"/>
  <c r="BR38" i="8" s="1"/>
  <c r="BQ37" i="8"/>
  <c r="BR37" i="8" s="1"/>
  <c r="BN46" i="8"/>
  <c r="BP46" i="8" s="1"/>
  <c r="BN39" i="8"/>
  <c r="BP39" i="8" s="1"/>
  <c r="BQ35" i="8"/>
  <c r="BR35" i="8" s="1"/>
  <c r="BQ48" i="8"/>
  <c r="BR48" i="8" s="1"/>
  <c r="BQ50" i="8"/>
  <c r="BR50" i="8" s="1"/>
  <c r="BQ47" i="8"/>
  <c r="BR47" i="8"/>
  <c r="BQ44" i="8"/>
  <c r="BR44" i="8" s="1"/>
  <c r="BQ39" i="8"/>
  <c r="BR39" i="8" s="1"/>
  <c r="BN51" i="8"/>
  <c r="BP51" i="8" s="1"/>
  <c r="BN50" i="8"/>
  <c r="BP50" i="8" s="1"/>
  <c r="BQ45" i="8"/>
  <c r="BR45" i="8" s="1"/>
  <c r="BN43" i="8"/>
  <c r="BP43" i="8" s="1"/>
  <c r="BQ36" i="8"/>
  <c r="BR36" i="8"/>
  <c r="BN36" i="8"/>
  <c r="BP36" i="8" s="1"/>
  <c r="BQ34" i="8"/>
  <c r="BR34" i="8"/>
  <c r="BQ51" i="8"/>
  <c r="BR51" i="8"/>
  <c r="BQ40" i="8"/>
  <c r="BR40" i="8" s="1"/>
  <c r="BN40" i="8"/>
  <c r="BP40" i="8" s="1"/>
  <c r="BQ16" i="8"/>
  <c r="BR16" i="8" s="1"/>
  <c r="BQ27" i="8"/>
  <c r="BR27" i="8"/>
  <c r="BD6" i="8"/>
  <c r="BK35" i="8"/>
  <c r="BN35" i="8" s="1"/>
  <c r="BQ20" i="8"/>
  <c r="BR20" i="8"/>
  <c r="BQ12" i="8"/>
  <c r="BR12" i="8"/>
  <c r="BQ6" i="8"/>
  <c r="BR6" i="8" s="1"/>
  <c r="BD34" i="8"/>
  <c r="AJ32" i="8"/>
  <c r="BN31" i="8"/>
  <c r="BP31" i="8" s="1"/>
  <c r="BR29" i="8"/>
  <c r="BN7" i="8"/>
  <c r="BP7" i="8" s="1"/>
  <c r="BN8" i="8"/>
  <c r="BP8" i="8" s="1"/>
  <c r="BQ28" i="8"/>
  <c r="BR28" i="8"/>
  <c r="BN21" i="8"/>
  <c r="BP21" i="8" s="1"/>
  <c r="BQ8" i="8"/>
  <c r="BR8" i="8"/>
  <c r="N9" i="8"/>
  <c r="AJ4" i="8"/>
  <c r="BQ33" i="8"/>
  <c r="BR33" i="8" s="1"/>
  <c r="BN28" i="8"/>
  <c r="BP28" i="8" s="1"/>
  <c r="BN22" i="8"/>
  <c r="BP22" i="8" s="1"/>
  <c r="BD22" i="8"/>
  <c r="BN16" i="8"/>
  <c r="BP16" i="8" s="1"/>
  <c r="BR9" i="8"/>
  <c r="AT5" i="8"/>
  <c r="BN5" i="8"/>
  <c r="BP5" i="8" s="1"/>
  <c r="BD2" i="8"/>
  <c r="BN15" i="8"/>
  <c r="BP15" i="8" s="1"/>
  <c r="AT13" i="8"/>
  <c r="AJ35" i="8"/>
  <c r="N33" i="8"/>
  <c r="BN32" i="8"/>
  <c r="BP32" i="8" s="1"/>
  <c r="BN25" i="8"/>
  <c r="BP25" i="8" s="1"/>
  <c r="BQ17" i="8"/>
  <c r="BR17" i="8" s="1"/>
  <c r="BN14" i="8"/>
  <c r="BR5" i="8"/>
  <c r="BQ32" i="8"/>
  <c r="BR32" i="8"/>
  <c r="BN26" i="8"/>
  <c r="BP26" i="8" s="1"/>
  <c r="BQ25" i="8"/>
  <c r="BR25" i="8" s="1"/>
  <c r="BQ24" i="8"/>
  <c r="BR24" i="8"/>
  <c r="Z23" i="8"/>
  <c r="BN17" i="8"/>
  <c r="BP17" i="8" s="1"/>
  <c r="N13" i="8"/>
  <c r="BQ4" i="8"/>
  <c r="BR4" i="8"/>
  <c r="BN4" i="8"/>
  <c r="BP4" i="8" s="1"/>
  <c r="BQ3" i="8"/>
  <c r="BR3" i="8"/>
  <c r="BR30" i="8"/>
  <c r="BR22" i="8"/>
  <c r="BR18" i="8"/>
  <c r="BR14" i="8"/>
  <c r="BR10" i="8"/>
  <c r="BR31" i="8"/>
  <c r="BR23" i="8"/>
  <c r="BR19" i="8"/>
  <c r="BR15" i="8"/>
  <c r="BR11" i="8"/>
  <c r="BR7" i="8"/>
  <c r="BR2" i="8" l="1"/>
  <c r="BP34" i="8"/>
  <c r="BR43" i="8"/>
  <c r="BP14" i="8"/>
  <c r="BR26" i="8"/>
  <c r="BN33" i="8"/>
  <c r="BP33" i="8" s="1"/>
  <c r="BP23" i="8"/>
  <c r="BP35" i="8"/>
  <c r="BP2" i="8"/>
</calcChain>
</file>

<file path=xl/sharedStrings.xml><?xml version="1.0" encoding="utf-8"?>
<sst xmlns="http://schemas.openxmlformats.org/spreadsheetml/2006/main" count="420" uniqueCount="70">
  <si>
    <t>ANO</t>
  </si>
  <si>
    <t>POPULAÇÃO</t>
  </si>
  <si>
    <t>PIB</t>
  </si>
  <si>
    <t>PIB PC</t>
  </si>
  <si>
    <t>PEA</t>
  </si>
  <si>
    <t>IDH_R</t>
  </si>
  <si>
    <t>IDH_E</t>
  </si>
  <si>
    <t>IDH_S</t>
  </si>
  <si>
    <t>IDH</t>
  </si>
  <si>
    <t>ANOS ESTUDO</t>
  </si>
  <si>
    <t>No RES Alta</t>
  </si>
  <si>
    <t>No RES Média</t>
  </si>
  <si>
    <t>No RES Baixa</t>
  </si>
  <si>
    <t>No RES</t>
  </si>
  <si>
    <t>EE RES A</t>
  </si>
  <si>
    <t>EE RES M</t>
  </si>
  <si>
    <t>EE RES B</t>
  </si>
  <si>
    <t>EE RES</t>
  </si>
  <si>
    <t>AR RES A</t>
  </si>
  <si>
    <t>AR RES M</t>
  </si>
  <si>
    <t>AR RES B</t>
  </si>
  <si>
    <t>AR RES</t>
  </si>
  <si>
    <t>No IND P</t>
  </si>
  <si>
    <t>No IND M</t>
  </si>
  <si>
    <t>No IND G</t>
  </si>
  <si>
    <t>No IND</t>
  </si>
  <si>
    <t>PIB IND</t>
  </si>
  <si>
    <t>EE IND P</t>
  </si>
  <si>
    <t>EE IND M</t>
  </si>
  <si>
    <t>EE IND G</t>
  </si>
  <si>
    <t>EE IND</t>
  </si>
  <si>
    <t>AR IND</t>
  </si>
  <si>
    <t>No SER P</t>
  </si>
  <si>
    <t>No SER M</t>
  </si>
  <si>
    <t>No SER G</t>
  </si>
  <si>
    <t>No SER</t>
  </si>
  <si>
    <t>PIB SER</t>
  </si>
  <si>
    <t>EE SER P</t>
  </si>
  <si>
    <t>EE SER M</t>
  </si>
  <si>
    <t>EE SER G</t>
  </si>
  <si>
    <t>EE SER</t>
  </si>
  <si>
    <t>AR SER</t>
  </si>
  <si>
    <t>No MIN P</t>
  </si>
  <si>
    <t>No MIN M</t>
  </si>
  <si>
    <t>No MIN G</t>
  </si>
  <si>
    <t>No MIN</t>
  </si>
  <si>
    <t>PIB MIN</t>
  </si>
  <si>
    <t>EE MIN P</t>
  </si>
  <si>
    <t>EE MIN M</t>
  </si>
  <si>
    <t>EE MIN G</t>
  </si>
  <si>
    <t>EE MIN</t>
  </si>
  <si>
    <t>AR MIN</t>
  </si>
  <si>
    <t>No AGR P</t>
  </si>
  <si>
    <t>No AGR M</t>
  </si>
  <si>
    <t>No AGR G</t>
  </si>
  <si>
    <t>No AGR</t>
  </si>
  <si>
    <t>PIB AGR</t>
  </si>
  <si>
    <t>EE AGR P</t>
  </si>
  <si>
    <t>EE AGR M</t>
  </si>
  <si>
    <t>EE AGR G</t>
  </si>
  <si>
    <t>EE AGR</t>
  </si>
  <si>
    <t>AR AGR</t>
  </si>
  <si>
    <t>EE UTIL P</t>
  </si>
  <si>
    <t>EE UTIL M</t>
  </si>
  <si>
    <t>EE UTIL G</t>
  </si>
  <si>
    <t>EE UTIL</t>
  </si>
  <si>
    <t>AR UTIL</t>
  </si>
  <si>
    <t>EE</t>
  </si>
  <si>
    <t>AR PUB</t>
  </si>
  <si>
    <t>AR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</si>
</sst>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"/>
    <numFmt numFmtId="166" formatCode="#,##0.000"/>
    <numFmt numFmtId="167" formatCode="0.00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67c2f4e45c00252d/&#193;rea%20de%20Trabalho/2026.1/PLAN/UT&#211;PIA/GERADOR.xlsx" TargetMode="External"/><Relationship Id="rId1" Type="http://schemas.openxmlformats.org/officeDocument/2006/relationships/externalLinkPath" Target="GERAD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OBAL"/>
      <sheetName val="POPULAÇÃO (HAB)"/>
      <sheetName val="PIB (UT$)"/>
      <sheetName val="IDH"/>
      <sheetName val="INDÚSTRIAS"/>
      <sheetName val="SERVIÇOS"/>
      <sheetName val="MINERAÇÃO"/>
      <sheetName val="AGROPECUÁRIA"/>
      <sheetName val="CAPITAL (UT$)"/>
      <sheetName val="RESIDÊNCIAS (RES)"/>
      <sheetName val="CONSUMO RESIDENCIAL (kWh)"/>
      <sheetName val="ÁREA (km^2)"/>
      <sheetName val="CLASSES SOCIAIS"/>
      <sheetName val="INVESTIMENTO (% PIB)"/>
      <sheetName val="EDUCAÇÃO"/>
      <sheetName val="TECNOLOGIA"/>
      <sheetName val="BALANÇA COMERCIAL (UT$)"/>
      <sheetName val="RESUMO CATARINA"/>
      <sheetName val="RESUMO NICODEMUS"/>
      <sheetName val="RESUMO SARAGOÇA"/>
      <sheetName val="RESUMO SANTA BÁRBARA"/>
      <sheetName val="RESUMO RURAL"/>
      <sheetName val="RESUMO UTÓPIA"/>
    </sheetNames>
    <sheetDataSet>
      <sheetData sheetId="0">
        <row r="1">
          <cell r="B1">
            <v>1975</v>
          </cell>
        </row>
        <row r="41">
          <cell r="C41">
            <v>0.3</v>
          </cell>
        </row>
      </sheetData>
      <sheetData sheetId="1">
        <row r="3">
          <cell r="D3">
            <v>180000</v>
          </cell>
          <cell r="E3">
            <v>108000</v>
          </cell>
        </row>
        <row r="4">
          <cell r="D4">
            <v>184052</v>
          </cell>
          <cell r="E4">
            <v>110431</v>
          </cell>
        </row>
        <row r="5">
          <cell r="D5">
            <v>187792</v>
          </cell>
          <cell r="E5">
            <v>112675</v>
          </cell>
        </row>
        <row r="6">
          <cell r="D6">
            <v>191131</v>
          </cell>
          <cell r="E6">
            <v>114678</v>
          </cell>
        </row>
        <row r="7">
          <cell r="D7">
            <v>194011</v>
          </cell>
          <cell r="E7">
            <v>116406</v>
          </cell>
        </row>
        <row r="8">
          <cell r="D8">
            <v>196419</v>
          </cell>
          <cell r="E8">
            <v>117851</v>
          </cell>
        </row>
        <row r="9">
          <cell r="D9">
            <v>198387</v>
          </cell>
          <cell r="E9">
            <v>119032</v>
          </cell>
        </row>
        <row r="10">
          <cell r="D10">
            <v>199983</v>
          </cell>
          <cell r="E10">
            <v>119989</v>
          </cell>
        </row>
        <row r="11">
          <cell r="D11">
            <v>201290</v>
          </cell>
          <cell r="E11">
            <v>120774</v>
          </cell>
        </row>
        <row r="12">
          <cell r="D12">
            <v>202387</v>
          </cell>
          <cell r="E12">
            <v>121432</v>
          </cell>
        </row>
        <row r="13">
          <cell r="D13">
            <v>203342</v>
          </cell>
          <cell r="E13">
            <v>122005</v>
          </cell>
        </row>
        <row r="14">
          <cell r="D14">
            <v>204204</v>
          </cell>
          <cell r="E14">
            <v>122522</v>
          </cell>
        </row>
        <row r="15">
          <cell r="D15">
            <v>205008</v>
          </cell>
          <cell r="E15">
            <v>123004</v>
          </cell>
        </row>
        <row r="16">
          <cell r="D16">
            <v>205778</v>
          </cell>
          <cell r="E16">
            <v>123466</v>
          </cell>
        </row>
        <row r="17">
          <cell r="D17">
            <v>206528</v>
          </cell>
          <cell r="E17">
            <v>123916</v>
          </cell>
        </row>
        <row r="18">
          <cell r="D18">
            <v>207267</v>
          </cell>
          <cell r="E18">
            <v>124360</v>
          </cell>
        </row>
        <row r="19">
          <cell r="D19">
            <v>208001</v>
          </cell>
          <cell r="E19">
            <v>124800</v>
          </cell>
        </row>
        <row r="20">
          <cell r="D20">
            <v>208734</v>
          </cell>
          <cell r="E20">
            <v>125240</v>
          </cell>
        </row>
        <row r="21">
          <cell r="D21">
            <v>209467</v>
          </cell>
          <cell r="E21">
            <v>125680</v>
          </cell>
        </row>
        <row r="22">
          <cell r="D22">
            <v>210201</v>
          </cell>
          <cell r="E22">
            <v>126120</v>
          </cell>
        </row>
        <row r="23">
          <cell r="D23">
            <v>210937</v>
          </cell>
          <cell r="E23">
            <v>126562</v>
          </cell>
        </row>
        <row r="24">
          <cell r="D24">
            <v>211675</v>
          </cell>
          <cell r="E24">
            <v>127005</v>
          </cell>
        </row>
        <row r="25">
          <cell r="D25">
            <v>212416</v>
          </cell>
          <cell r="E25">
            <v>127449</v>
          </cell>
        </row>
        <row r="26">
          <cell r="D26">
            <v>213159</v>
          </cell>
          <cell r="E26">
            <v>127895</v>
          </cell>
        </row>
        <row r="27">
          <cell r="D27">
            <v>213905</v>
          </cell>
          <cell r="E27">
            <v>128343</v>
          </cell>
        </row>
        <row r="28">
          <cell r="D28">
            <v>214653</v>
          </cell>
          <cell r="E28">
            <v>128791</v>
          </cell>
        </row>
        <row r="29">
          <cell r="D29">
            <v>215404</v>
          </cell>
          <cell r="E29">
            <v>129242</v>
          </cell>
        </row>
        <row r="30">
          <cell r="D30">
            <v>216157</v>
          </cell>
          <cell r="E30">
            <v>129694</v>
          </cell>
        </row>
        <row r="31">
          <cell r="D31">
            <v>216913</v>
          </cell>
          <cell r="E31">
            <v>130147</v>
          </cell>
        </row>
        <row r="32">
          <cell r="D32">
            <v>217672</v>
          </cell>
          <cell r="E32">
            <v>130603</v>
          </cell>
        </row>
        <row r="33">
          <cell r="D33">
            <v>218433</v>
          </cell>
          <cell r="E33">
            <v>131059</v>
          </cell>
        </row>
        <row r="34">
          <cell r="D34">
            <v>219197</v>
          </cell>
          <cell r="E34">
            <v>131518</v>
          </cell>
        </row>
        <row r="35">
          <cell r="D35">
            <v>219964</v>
          </cell>
          <cell r="E35">
            <v>131978</v>
          </cell>
        </row>
        <row r="36">
          <cell r="D36">
            <v>220733</v>
          </cell>
          <cell r="E36">
            <v>132439</v>
          </cell>
        </row>
        <row r="37">
          <cell r="D37">
            <v>221505</v>
          </cell>
          <cell r="E37">
            <v>132903</v>
          </cell>
        </row>
        <row r="38">
          <cell r="D38">
            <v>222280</v>
          </cell>
          <cell r="E38">
            <v>133368</v>
          </cell>
        </row>
        <row r="39">
          <cell r="D39">
            <v>223057</v>
          </cell>
          <cell r="E39">
            <v>133834</v>
          </cell>
        </row>
        <row r="40">
          <cell r="D40">
            <v>223837</v>
          </cell>
          <cell r="E40">
            <v>134302</v>
          </cell>
        </row>
        <row r="41">
          <cell r="D41">
            <v>224620</v>
          </cell>
          <cell r="E41">
            <v>134772</v>
          </cell>
        </row>
        <row r="42">
          <cell r="D42">
            <v>225406</v>
          </cell>
          <cell r="E42">
            <v>135243</v>
          </cell>
        </row>
        <row r="43">
          <cell r="D43">
            <v>226194</v>
          </cell>
          <cell r="E43">
            <v>135716</v>
          </cell>
        </row>
        <row r="44">
          <cell r="D44">
            <v>226985</v>
          </cell>
          <cell r="E44">
            <v>136191</v>
          </cell>
        </row>
        <row r="45">
          <cell r="D45">
            <v>227779</v>
          </cell>
          <cell r="E45">
            <v>136667</v>
          </cell>
        </row>
        <row r="46">
          <cell r="D46">
            <v>228576</v>
          </cell>
          <cell r="E46">
            <v>137145</v>
          </cell>
        </row>
        <row r="47">
          <cell r="D47">
            <v>229376</v>
          </cell>
          <cell r="E47">
            <v>137625</v>
          </cell>
        </row>
        <row r="48">
          <cell r="D48">
            <v>230178</v>
          </cell>
          <cell r="E48">
            <v>138106</v>
          </cell>
        </row>
        <row r="49">
          <cell r="D49">
            <v>230983</v>
          </cell>
          <cell r="E49">
            <v>138589</v>
          </cell>
        </row>
        <row r="50">
          <cell r="D50">
            <v>231791</v>
          </cell>
          <cell r="E50">
            <v>139074</v>
          </cell>
        </row>
        <row r="51">
          <cell r="D51">
            <v>232602</v>
          </cell>
          <cell r="E51">
            <v>139561</v>
          </cell>
        </row>
        <row r="52">
          <cell r="D52">
            <v>233416</v>
          </cell>
          <cell r="E52">
            <v>140049</v>
          </cell>
        </row>
        <row r="53">
          <cell r="D53">
            <v>234232</v>
          </cell>
          <cell r="E53">
            <v>140539</v>
          </cell>
        </row>
      </sheetData>
      <sheetData sheetId="2">
        <row r="3">
          <cell r="B3">
            <v>545880.56613054068</v>
          </cell>
          <cell r="C3">
            <v>5120874.2611699281</v>
          </cell>
          <cell r="D3">
            <v>0</v>
          </cell>
          <cell r="E3">
            <v>66245.048558994706</v>
          </cell>
          <cell r="F3">
            <v>5732999.8758594636</v>
          </cell>
          <cell r="G3">
            <v>31.849999310330354</v>
          </cell>
        </row>
        <row r="4">
          <cell r="B4">
            <v>934231.67767825339</v>
          </cell>
          <cell r="C4">
            <v>5497678.8693052195</v>
          </cell>
          <cell r="D4">
            <v>0</v>
          </cell>
          <cell r="E4">
            <v>69199.87716743091</v>
          </cell>
          <cell r="F4">
            <v>6501110.4241509037</v>
          </cell>
          <cell r="G4">
            <v>35.322139526606087</v>
          </cell>
        </row>
        <row r="5">
          <cell r="B5">
            <v>1232708.7513133765</v>
          </cell>
          <cell r="C5">
            <v>5898356.3264237642</v>
          </cell>
          <cell r="D5">
            <v>0</v>
          </cell>
          <cell r="E5">
            <v>71878.903887991371</v>
          </cell>
          <cell r="F5">
            <v>7202943.9816251323</v>
          </cell>
          <cell r="G5">
            <v>38.355968207512205</v>
          </cell>
        </row>
        <row r="6">
          <cell r="B6">
            <v>1498200.6642560023</v>
          </cell>
          <cell r="C6">
            <v>6319362.177429596</v>
          </cell>
          <cell r="D6">
            <v>0</v>
          </cell>
          <cell r="E6">
            <v>74240.060443263297</v>
          </cell>
          <cell r="F6">
            <v>7891802.9021288622</v>
          </cell>
          <cell r="G6">
            <v>41.290020468311589</v>
          </cell>
        </row>
        <row r="7">
          <cell r="B7">
            <v>1746295.5812475085</v>
          </cell>
          <cell r="C7">
            <v>6758289.7649274739</v>
          </cell>
          <cell r="D7">
            <v>0</v>
          </cell>
          <cell r="E7">
            <v>76271.135147181747</v>
          </cell>
          <cell r="F7">
            <v>8580856.4813221637</v>
          </cell>
          <cell r="G7">
            <v>44.228711162367929</v>
          </cell>
        </row>
        <row r="8">
          <cell r="B8">
            <v>1983442.513096889</v>
          </cell>
          <cell r="C8">
            <v>7213549.4511893624</v>
          </cell>
          <cell r="D8">
            <v>0</v>
          </cell>
          <cell r="E8">
            <v>77974.963270057226</v>
          </cell>
          <cell r="F8">
            <v>9274966.927556308</v>
          </cell>
          <cell r="G8">
            <v>47.220314366513975</v>
          </cell>
        </row>
        <row r="9">
          <cell r="B9">
            <v>2212944.7649041638</v>
          </cell>
          <cell r="C9">
            <v>7684533.818792575</v>
          </cell>
          <cell r="D9">
            <v>0</v>
          </cell>
          <cell r="E9">
            <v>79369.11523887029</v>
          </cell>
          <cell r="F9">
            <v>9976847.6989356074</v>
          </cell>
          <cell r="G9">
            <v>50.289825940891326</v>
          </cell>
        </row>
        <row r="10">
          <cell r="B10">
            <v>2436857.5857155123</v>
          </cell>
          <cell r="C10">
            <v>8171630.5314142685</v>
          </cell>
          <cell r="D10">
            <v>0</v>
          </cell>
          <cell r="E10">
            <v>80483.21007032007</v>
          </cell>
          <cell r="F10">
            <v>10688971.3272001</v>
          </cell>
          <cell r="G10">
            <v>53.449399834986473</v>
          </cell>
        </row>
        <row r="11">
          <cell r="B11">
            <v>2656720.4280367843</v>
          </cell>
          <cell r="C11">
            <v>8676079.0261149276</v>
          </cell>
          <cell r="D11">
            <v>0</v>
          </cell>
          <cell r="E11">
            <v>81354.128349406106</v>
          </cell>
          <cell r="F11">
            <v>11414153.582501119</v>
          </cell>
          <cell r="G11">
            <v>56.705020530086536</v>
          </cell>
        </row>
        <row r="12">
          <cell r="B12">
            <v>2873715.4754836736</v>
          </cell>
          <cell r="C12">
            <v>9199197.7602561507</v>
          </cell>
          <cell r="D12">
            <v>0</v>
          </cell>
          <cell r="E12">
            <v>82014.64127241727</v>
          </cell>
          <cell r="F12">
            <v>12154927.877012242</v>
          </cell>
          <cell r="G12">
            <v>60.057848957750458</v>
          </cell>
        </row>
        <row r="13">
          <cell r="B13">
            <v>3088860.6311393743</v>
          </cell>
          <cell r="C13">
            <v>9742574.7139776163</v>
          </cell>
          <cell r="D13">
            <v>0</v>
          </cell>
          <cell r="E13">
            <v>82495.573631135427</v>
          </cell>
          <cell r="F13">
            <v>12913930.918748127</v>
          </cell>
          <cell r="G13">
            <v>63.508428749339181</v>
          </cell>
        </row>
        <row r="14">
          <cell r="B14">
            <v>3302949.2361064469</v>
          </cell>
          <cell r="C14">
            <v>10307496.078407811</v>
          </cell>
          <cell r="D14">
            <v>0</v>
          </cell>
          <cell r="E14">
            <v>82819.550015294837</v>
          </cell>
          <cell r="F14">
            <v>13693264.864529552</v>
          </cell>
          <cell r="G14">
            <v>67.056790584560304</v>
          </cell>
        </row>
        <row r="15">
          <cell r="B15">
            <v>3516620.0607146653</v>
          </cell>
          <cell r="C15">
            <v>10895096.135524312</v>
          </cell>
          <cell r="D15">
            <v>0</v>
          </cell>
          <cell r="E15">
            <v>83003.840205633038</v>
          </cell>
          <cell r="F15">
            <v>14494720.03644461</v>
          </cell>
          <cell r="G15">
            <v>70.703192248324996</v>
          </cell>
        </row>
        <row r="16">
          <cell r="B16">
            <v>3730389.1385762771</v>
          </cell>
          <cell r="C16">
            <v>11506388.020581538</v>
          </cell>
          <cell r="D16">
            <v>0</v>
          </cell>
          <cell r="E16">
            <v>83061.521928943199</v>
          </cell>
          <cell r="F16">
            <v>15319838.681086758</v>
          </cell>
          <cell r="G16">
            <v>74.448379715454323</v>
          </cell>
        </row>
        <row r="17">
          <cell r="B17">
            <v>3944628.6394372312</v>
          </cell>
          <cell r="C17">
            <v>12142115.120673653</v>
          </cell>
          <cell r="D17">
            <v>0</v>
          </cell>
          <cell r="E17">
            <v>83000.892911292292</v>
          </cell>
          <cell r="F17">
            <v>16169744.653022178</v>
          </cell>
          <cell r="G17">
            <v>78.293232167174324</v>
          </cell>
        </row>
        <row r="18">
          <cell r="B18">
            <v>4159640.3508833372</v>
          </cell>
          <cell r="C18">
            <v>12802999.46809667</v>
          </cell>
          <cell r="D18">
            <v>0</v>
          </cell>
          <cell r="E18">
            <v>82828.541588892447</v>
          </cell>
          <cell r="F18">
            <v>17045468.3605689</v>
          </cell>
          <cell r="G18">
            <v>82.239181155557318</v>
          </cell>
        </row>
        <row r="19">
          <cell r="B19">
            <v>4375621.5100234617</v>
          </cell>
          <cell r="C19">
            <v>13489562.570028886</v>
          </cell>
          <cell r="D19">
            <v>0</v>
          </cell>
          <cell r="E19">
            <v>82548.225446020704</v>
          </cell>
          <cell r="F19">
            <v>17947732.305498365</v>
          </cell>
          <cell r="G19">
            <v>86.286759705474324</v>
          </cell>
        </row>
        <row r="20">
          <cell r="B20">
            <v>4592774.1979174921</v>
          </cell>
          <cell r="C20">
            <v>14202528.680948121</v>
          </cell>
          <cell r="D20">
            <v>0</v>
          </cell>
          <cell r="E20">
            <v>82164.519296250175</v>
          </cell>
          <cell r="F20">
            <v>18877467.398161866</v>
          </cell>
          <cell r="G20">
            <v>90.437913316287066</v>
          </cell>
        </row>
        <row r="21">
          <cell r="B21">
            <v>4811199.4868755667</v>
          </cell>
          <cell r="C21">
            <v>14942371.009418033</v>
          </cell>
          <cell r="D21">
            <v>0</v>
          </cell>
          <cell r="E21">
            <v>81679.315732662217</v>
          </cell>
          <cell r="F21">
            <v>19835249.812026262</v>
          </cell>
          <cell r="G21">
            <v>94.693912702364869</v>
          </cell>
        </row>
        <row r="22">
          <cell r="B22">
            <v>5030968.2288549161</v>
          </cell>
          <cell r="C22">
            <v>15709579.210178262</v>
          </cell>
          <cell r="D22">
            <v>0</v>
          </cell>
          <cell r="E22">
            <v>81094.258176306685</v>
          </cell>
          <cell r="F22">
            <v>20821641.697209485</v>
          </cell>
          <cell r="G22">
            <v>99.055864135800903</v>
          </cell>
        </row>
        <row r="23">
          <cell r="B23">
            <v>5252171.6760054454</v>
          </cell>
          <cell r="C23">
            <v>16504842.226659972</v>
          </cell>
          <cell r="D23">
            <v>0</v>
          </cell>
          <cell r="E23">
            <v>80411.926322749263</v>
          </cell>
          <cell r="F23">
            <v>21837425.828988168</v>
          </cell>
          <cell r="G23">
            <v>103.52581969492392</v>
          </cell>
        </row>
        <row r="24">
          <cell r="B24">
            <v>5474818.6943548108</v>
          </cell>
          <cell r="C24">
            <v>17328617.789555613</v>
          </cell>
          <cell r="D24">
            <v>0</v>
          </cell>
          <cell r="E24">
            <v>79632.984031698958</v>
          </cell>
          <cell r="F24">
            <v>22883069.467942122</v>
          </cell>
          <cell r="G24">
            <v>108.1047335204541</v>
          </cell>
        </row>
        <row r="25">
          <cell r="B25">
            <v>5698919.2095050635</v>
          </cell>
          <cell r="C25">
            <v>18181463.214920837</v>
          </cell>
          <cell r="D25">
            <v>0</v>
          </cell>
          <cell r="E25">
            <v>78758.516881299016</v>
          </cell>
          <cell r="F25">
            <v>23959140.941307198</v>
          </cell>
          <cell r="G25">
            <v>112.79348514851611</v>
          </cell>
        </row>
        <row r="26">
          <cell r="B26">
            <v>5924492.5219880585</v>
          </cell>
          <cell r="C26">
            <v>19064059.038122293</v>
          </cell>
          <cell r="D26">
            <v>0</v>
          </cell>
          <cell r="E26">
            <v>77790.021014664468</v>
          </cell>
          <cell r="F26">
            <v>25066341.581125017</v>
          </cell>
          <cell r="G26">
            <v>117.59457297662786</v>
          </cell>
        </row>
        <row r="27">
          <cell r="B27">
            <v>6151522.4817249738</v>
          </cell>
          <cell r="C27">
            <v>19977017.141456395</v>
          </cell>
          <cell r="D27">
            <v>0</v>
          </cell>
          <cell r="E27">
            <v>76728.300179602462</v>
          </cell>
          <cell r="F27">
            <v>26205267.92336097</v>
          </cell>
          <cell r="G27">
            <v>122.5089078018792</v>
          </cell>
        </row>
        <row r="28">
          <cell r="B28">
            <v>6379925.6473669149</v>
          </cell>
          <cell r="C28">
            <v>20920742.88347467</v>
          </cell>
          <cell r="D28">
            <v>0</v>
          </cell>
          <cell r="E28">
            <v>75572.984689305405</v>
          </cell>
          <cell r="F28">
            <v>27376241.515530892</v>
          </cell>
          <cell r="G28">
            <v>127.53719498693656</v>
          </cell>
        </row>
        <row r="29">
          <cell r="B29">
            <v>6609737.0797270481</v>
          </cell>
          <cell r="C29">
            <v>21896211.559975162</v>
          </cell>
          <cell r="D29">
            <v>0</v>
          </cell>
          <cell r="E29">
            <v>74326.256044905182</v>
          </cell>
          <cell r="F29">
            <v>28580274.895747114</v>
          </cell>
          <cell r="G29">
            <v>132.68219204725591</v>
          </cell>
        </row>
        <row r="30">
          <cell r="B30">
            <v>6840851.8199035721</v>
          </cell>
          <cell r="C30">
            <v>22903868.789164804</v>
          </cell>
          <cell r="D30">
            <v>0</v>
          </cell>
          <cell r="E30">
            <v>72987.550381626861</v>
          </cell>
          <cell r="F30">
            <v>29817708.159450002</v>
          </cell>
          <cell r="G30">
            <v>137.94467983664651</v>
          </cell>
        </row>
        <row r="31">
          <cell r="B31">
            <v>7073204.0369295226</v>
          </cell>
          <cell r="C31">
            <v>23944394.340418622</v>
          </cell>
          <cell r="D31">
            <v>0</v>
          </cell>
          <cell r="E31">
            <v>71557.268639028378</v>
          </cell>
          <cell r="F31">
            <v>31089155.645987172</v>
          </cell>
          <cell r="G31">
            <v>143.32546065006326</v>
          </cell>
        </row>
        <row r="32">
          <cell r="B32">
            <v>7306779.9040328739</v>
          </cell>
          <cell r="C32">
            <v>25018758.177612107</v>
          </cell>
          <cell r="D32">
            <v>0</v>
          </cell>
          <cell r="E32">
            <v>70036.678869231328</v>
          </cell>
          <cell r="F32">
            <v>32395574.760514215</v>
          </cell>
          <cell r="G32">
            <v>148.8274778589539</v>
          </cell>
        </row>
        <row r="33">
          <cell r="B33">
            <v>7541408.9244804019</v>
          </cell>
          <cell r="C33">
            <v>26127304.857707702</v>
          </cell>
          <cell r="D33">
            <v>0</v>
          </cell>
          <cell r="E33">
            <v>68424.507559140446</v>
          </cell>
          <cell r="F33">
            <v>33737138.289747246</v>
          </cell>
          <cell r="G33">
            <v>154.45073908130752</v>
          </cell>
        </row>
        <row r="34">
          <cell r="B34">
            <v>7777090.7279799255</v>
          </cell>
          <cell r="C34">
            <v>27271198.636302866</v>
          </cell>
          <cell r="D34">
            <v>0</v>
          </cell>
          <cell r="E34">
            <v>66722.253432622849</v>
          </cell>
          <cell r="F34">
            <v>35115011.617715418</v>
          </cell>
          <cell r="G34">
            <v>160.19841338027172</v>
          </cell>
        </row>
        <row r="35">
          <cell r="B35">
            <v>8013665.4916396793</v>
          </cell>
          <cell r="C35">
            <v>28450950.670296188</v>
          </cell>
          <cell r="D35">
            <v>0</v>
          </cell>
          <cell r="E35">
            <v>64928.944481628081</v>
          </cell>
          <cell r="F35">
            <v>36529545.106417492</v>
          </cell>
          <cell r="G35">
            <v>166.07056203022992</v>
          </cell>
        </row>
        <row r="36">
          <cell r="B36">
            <v>8251022.435312544</v>
          </cell>
          <cell r="C36">
            <v>29667358.563956484</v>
          </cell>
          <cell r="D36">
            <v>0</v>
          </cell>
          <cell r="E36">
            <v>63044.445794968131</v>
          </cell>
          <cell r="F36">
            <v>37981425.445064001</v>
          </cell>
          <cell r="G36">
            <v>172.06953851514726</v>
          </cell>
        </row>
        <row r="37">
          <cell r="B37">
            <v>8489112.4244335368</v>
          </cell>
          <cell r="C37">
            <v>30921570.684690382</v>
          </cell>
          <cell r="D37">
            <v>0</v>
          </cell>
          <cell r="E37">
            <v>61069.32260280598</v>
          </cell>
          <cell r="F37">
            <v>39471752.431726724</v>
          </cell>
          <cell r="G37">
            <v>178.19802005248968</v>
          </cell>
        </row>
        <row r="38">
          <cell r="B38">
            <v>8727744.5920259431</v>
          </cell>
          <cell r="C38">
            <v>32214141.627706945</v>
          </cell>
          <cell r="D38">
            <v>0</v>
          </cell>
          <cell r="E38">
            <v>59002.29264342878</v>
          </cell>
          <cell r="F38">
            <v>41000888.512376316</v>
          </cell>
          <cell r="G38">
            <v>184.45603973536222</v>
          </cell>
        </row>
        <row r="39">
          <cell r="B39">
            <v>8966781.9200996403</v>
          </cell>
          <cell r="C39">
            <v>33545947.355518993</v>
          </cell>
          <cell r="D39">
            <v>0</v>
          </cell>
          <cell r="E39">
            <v>56842.793042241632</v>
          </cell>
          <cell r="F39">
            <v>42569572.068660878</v>
          </cell>
          <cell r="G39">
            <v>190.84616070628081</v>
          </cell>
        </row>
        <row r="40">
          <cell r="B40">
            <v>9206116.039919043</v>
          </cell>
          <cell r="C40">
            <v>34918072.811093599</v>
          </cell>
          <cell r="D40">
            <v>0</v>
          </cell>
          <cell r="E40">
            <v>54590.450439518543</v>
          </cell>
          <cell r="F40">
            <v>44178779.30145216</v>
          </cell>
          <cell r="G40">
            <v>197.37031545925007</v>
          </cell>
        </row>
        <row r="41">
          <cell r="B41">
            <v>9445596.2135739438</v>
          </cell>
          <cell r="C41">
            <v>36331472.612179324</v>
          </cell>
          <cell r="D41">
            <v>0</v>
          </cell>
          <cell r="E41">
            <v>52244.276314088696</v>
          </cell>
          <cell r="F41">
            <v>45829313.102067359</v>
          </cell>
          <cell r="G41">
            <v>204.03042071973715</v>
          </cell>
        </row>
        <row r="42">
          <cell r="B42">
            <v>9685022.6106134746</v>
          </cell>
          <cell r="C42">
            <v>37786935.442984425</v>
          </cell>
          <cell r="D42">
            <v>0</v>
          </cell>
          <cell r="E42">
            <v>49802.711808244778</v>
          </cell>
          <cell r="F42">
            <v>47521760.765406139</v>
          </cell>
          <cell r="G42">
            <v>210.82739929463341</v>
          </cell>
        </row>
        <row r="43">
          <cell r="B43">
            <v>9924260.2105182242</v>
          </cell>
          <cell r="C43">
            <v>39285653.270432606</v>
          </cell>
          <cell r="D43">
            <v>0</v>
          </cell>
          <cell r="E43">
            <v>47264.612958617909</v>
          </cell>
          <cell r="F43">
            <v>49257178.09390945</v>
          </cell>
          <cell r="G43">
            <v>217.76518428388661</v>
          </cell>
        </row>
        <row r="44">
          <cell r="B44">
            <v>10163127.949314281</v>
          </cell>
          <cell r="C44">
            <v>40828671.075757302</v>
          </cell>
          <cell r="D44">
            <v>0</v>
          </cell>
          <cell r="E44">
            <v>44628.13874428672</v>
          </cell>
          <cell r="F44">
            <v>51036427.163815871</v>
          </cell>
          <cell r="G44">
            <v>224.84493320622892</v>
          </cell>
        </row>
        <row r="45">
          <cell r="B45">
            <v>10401391.80063111</v>
          </cell>
          <cell r="C45">
            <v>42416848.397036128</v>
          </cell>
          <cell r="D45">
            <v>0</v>
          </cell>
          <cell r="E45">
            <v>41890.764601754294</v>
          </cell>
          <cell r="F45">
            <v>52860130.962268993</v>
          </cell>
          <cell r="G45">
            <v>232.06762239832906</v>
          </cell>
        </row>
        <row r="46">
          <cell r="B46">
            <v>10638885.861903127</v>
          </cell>
          <cell r="C46">
            <v>44051492.160060115</v>
          </cell>
          <cell r="D46">
            <v>0</v>
          </cell>
          <cell r="E46">
            <v>39050.048851102256</v>
          </cell>
          <cell r="F46">
            <v>54729428.070814341</v>
          </cell>
          <cell r="G46">
            <v>239.43645908063112</v>
          </cell>
        </row>
        <row r="47">
          <cell r="B47">
            <v>10875393.99949527</v>
          </cell>
          <cell r="C47">
            <v>45733744.258122653</v>
          </cell>
          <cell r="D47">
            <v>0</v>
          </cell>
          <cell r="E47">
            <v>36102.59876770687</v>
          </cell>
          <cell r="F47">
            <v>56645240.856385626</v>
          </cell>
          <cell r="G47">
            <v>246.95365189202718</v>
          </cell>
        </row>
        <row r="48">
          <cell r="B48">
            <v>11110642.752073186</v>
          </cell>
          <cell r="C48">
            <v>47464540.074965432</v>
          </cell>
          <cell r="D48">
            <v>0</v>
          </cell>
          <cell r="E48">
            <v>33043.971645584359</v>
          </cell>
          <cell r="F48">
            <v>58608226.798684202</v>
          </cell>
          <cell r="G48">
            <v>254.62132262285797</v>
          </cell>
        </row>
        <row r="49">
          <cell r="B49">
            <v>11344429.34388984</v>
          </cell>
          <cell r="C49">
            <v>49245309.772212684</v>
          </cell>
          <cell r="D49">
            <v>0</v>
          </cell>
          <cell r="E49">
            <v>29869.075572434682</v>
          </cell>
          <cell r="F49">
            <v>60619608.191674955</v>
          </cell>
          <cell r="G49">
            <v>262.44186018743784</v>
          </cell>
        </row>
        <row r="50">
          <cell r="B50">
            <v>11576496.015814111</v>
          </cell>
          <cell r="C50">
            <v>51077298.949849203</v>
          </cell>
          <cell r="D50">
            <v>0</v>
          </cell>
          <cell r="E50">
            <v>26571.003087916666</v>
          </cell>
          <cell r="F50">
            <v>62680365.968751229</v>
          </cell>
          <cell r="G50">
            <v>270.41760020342133</v>
          </cell>
        </row>
        <row r="51">
          <cell r="B51">
            <v>11806569.280459804</v>
          </cell>
          <cell r="C51">
            <v>52961789.597687028</v>
          </cell>
          <cell r="D51">
            <v>0</v>
          </cell>
          <cell r="E51">
            <v>23140.565279740655</v>
          </cell>
          <cell r="F51">
            <v>64791499.443426572</v>
          </cell>
          <cell r="G51">
            <v>278.55091290456045</v>
          </cell>
        </row>
        <row r="52">
          <cell r="B52">
            <v>12034311.599976845</v>
          </cell>
          <cell r="C52">
            <v>54899826.477237843</v>
          </cell>
          <cell r="D52">
            <v>0</v>
          </cell>
          <cell r="E52">
            <v>19564.908633611529</v>
          </cell>
          <cell r="F52">
            <v>66953702.9858483</v>
          </cell>
          <cell r="G52">
            <v>286.842817055593</v>
          </cell>
        </row>
        <row r="53">
          <cell r="B53">
            <v>12259458.073168144</v>
          </cell>
          <cell r="C53">
            <v>56893017.692165762</v>
          </cell>
          <cell r="D53">
            <v>0</v>
          </cell>
          <cell r="E53">
            <v>15825.522424218118</v>
          </cell>
          <cell r="F53">
            <v>69168301.287758127</v>
          </cell>
          <cell r="G53">
            <v>295.29825680418611</v>
          </cell>
        </row>
      </sheetData>
      <sheetData sheetId="3">
        <row r="3">
          <cell r="B3">
            <v>0.5228095298025347</v>
          </cell>
          <cell r="C3">
            <v>0.4</v>
          </cell>
          <cell r="D3">
            <v>0.91451084978141528</v>
          </cell>
          <cell r="E3">
            <v>0.57614365443995263</v>
          </cell>
        </row>
        <row r="4">
          <cell r="B4">
            <v>0.538056605719343</v>
          </cell>
          <cell r="C4">
            <v>0.42091229911876099</v>
          </cell>
          <cell r="D4">
            <v>0.95540134918424913</v>
          </cell>
          <cell r="E4">
            <v>0.60034626258466395</v>
          </cell>
        </row>
        <row r="5">
          <cell r="B5">
            <v>0.55022771104598589</v>
          </cell>
          <cell r="C5">
            <v>0.44100461526046092</v>
          </cell>
          <cell r="D5">
            <v>0.97518535703159615</v>
          </cell>
          <cell r="E5">
            <v>0.61852547049265272</v>
          </cell>
        </row>
        <row r="6">
          <cell r="B6">
            <v>0.56114967701678553</v>
          </cell>
          <cell r="C6">
            <v>0.46030910041751599</v>
          </cell>
          <cell r="D6">
            <v>0.98604692586675047</v>
          </cell>
          <cell r="E6">
            <v>0.63388229349647751</v>
          </cell>
        </row>
        <row r="7">
          <cell r="B7">
            <v>0.5713690061645561</v>
          </cell>
          <cell r="C7">
            <v>0.47885664588468729</v>
          </cell>
          <cell r="D7">
            <v>0.99219954543737454</v>
          </cell>
          <cell r="E7">
            <v>0.64750094580974593</v>
          </cell>
        </row>
        <row r="8">
          <cell r="B8">
            <v>0.58112471464231008</v>
          </cell>
          <cell r="C8">
            <v>0.49667693169174304</v>
          </cell>
          <cell r="D8">
            <v>0.99569671007090721</v>
          </cell>
          <cell r="E8">
            <v>0.6599182453751139</v>
          </cell>
        </row>
        <row r="9">
          <cell r="B9">
            <v>0.5905344950988094</v>
          </cell>
          <cell r="C9">
            <v>0.51379847409783819</v>
          </cell>
          <cell r="D9">
            <v>0.99766630309056092</v>
          </cell>
          <cell r="E9">
            <v>0.67144090442213777</v>
          </cell>
        </row>
        <row r="10">
          <cell r="B10">
            <v>0.59965635417423047</v>
          </cell>
          <cell r="C10">
            <v>0.53024867122361308</v>
          </cell>
          <cell r="D10">
            <v>0.99875811218618649</v>
          </cell>
          <cell r="E10">
            <v>0.68225613486801207</v>
          </cell>
        </row>
        <row r="11">
          <cell r="B11">
            <v>0.60852168428069131</v>
          </cell>
          <cell r="C11">
            <v>0.54605384689403147</v>
          </cell>
          <cell r="D11">
            <v>0.99935202101651399</v>
          </cell>
          <cell r="E11">
            <v>0.69248442233569907</v>
          </cell>
        </row>
        <row r="12">
          <cell r="B12">
            <v>0.61714522073946099</v>
          </cell>
          <cell r="C12">
            <v>0.56123929276211681</v>
          </cell>
          <cell r="D12">
            <v>0.99966850616319225</v>
          </cell>
          <cell r="E12">
            <v>0.70220483640839459</v>
          </cell>
        </row>
        <row r="13">
          <cell r="B13">
            <v>0.6255391045220422</v>
          </cell>
          <cell r="C13">
            <v>0.57582930878099237</v>
          </cell>
          <cell r="D13">
            <v>0.99983372242728563</v>
          </cell>
          <cell r="E13">
            <v>0.71147340415876403</v>
          </cell>
        </row>
        <row r="14">
          <cell r="B14">
            <v>0.63371368840019304</v>
          </cell>
          <cell r="C14">
            <v>0.5898472420889912</v>
          </cell>
          <cell r="D14">
            <v>0.99991821689723503</v>
          </cell>
          <cell r="E14">
            <v>0.72033144547067895</v>
          </cell>
        </row>
        <row r="15">
          <cell r="B15">
            <v>0.64167943790139303</v>
          </cell>
          <cell r="C15">
            <v>0.6033155243700582</v>
          </cell>
          <cell r="D15">
            <v>0.99996055794371319</v>
          </cell>
          <cell r="E15">
            <v>0.72881141235077596</v>
          </cell>
        </row>
        <row r="16">
          <cell r="B16">
            <v>0.64944733042701086</v>
          </cell>
          <cell r="C16">
            <v>0.61625570774922978</v>
          </cell>
          <cell r="D16">
            <v>0.99998135056286397</v>
          </cell>
          <cell r="E16">
            <v>0.73694022693749484</v>
          </cell>
        </row>
        <row r="17">
          <cell r="B17">
            <v>0.65702790453457216</v>
          </cell>
          <cell r="C17">
            <v>0.62868849928063208</v>
          </cell>
          <cell r="D17">
            <v>0.99999135608607703</v>
          </cell>
          <cell r="E17">
            <v>0.74474087757666252</v>
          </cell>
        </row>
        <row r="18">
          <cell r="B18">
            <v>0.66443199171374667</v>
          </cell>
          <cell r="C18">
            <v>0.64063379408318588</v>
          </cell>
          <cell r="D18">
            <v>0.99999607380642463</v>
          </cell>
          <cell r="E18">
            <v>0.7522338828897317</v>
          </cell>
        </row>
        <row r="19">
          <cell r="B19">
            <v>0.67166900616389213</v>
          </cell>
          <cell r="C19">
            <v>0.65211070717704078</v>
          </cell>
          <cell r="D19">
            <v>0.99999825255124586</v>
          </cell>
          <cell r="E19">
            <v>0.75943736359265657</v>
          </cell>
        </row>
        <row r="20">
          <cell r="B20">
            <v>0.67874795348684624</v>
          </cell>
          <cell r="C20">
            <v>0.66313760407168565</v>
          </cell>
          <cell r="D20">
            <v>0.99999923820125103</v>
          </cell>
          <cell r="E20">
            <v>0.7663678654211431</v>
          </cell>
        </row>
        <row r="21">
          <cell r="B21">
            <v>0.68567695523429706</v>
          </cell>
          <cell r="C21">
            <v>0.6737321301546817</v>
          </cell>
          <cell r="D21">
            <v>0.99999967478614815</v>
          </cell>
          <cell r="E21">
            <v>0.77304045807283528</v>
          </cell>
        </row>
        <row r="22">
          <cell r="B22">
            <v>0.69246318113529071</v>
          </cell>
          <cell r="C22">
            <v>0.6839112389280485</v>
          </cell>
          <cell r="D22">
            <v>0.99999986407641217</v>
          </cell>
          <cell r="E22">
            <v>0.7794688953825375</v>
          </cell>
        </row>
        <row r="23">
          <cell r="B23">
            <v>0.69911456508640635</v>
          </cell>
          <cell r="C23">
            <v>0.69369121913748188</v>
          </cell>
          <cell r="D23">
            <v>0.99999994440452344</v>
          </cell>
          <cell r="E23">
            <v>0.7856663891263439</v>
          </cell>
        </row>
        <row r="24">
          <cell r="B24">
            <v>0.70563675634034317</v>
          </cell>
          <cell r="C24">
            <v>0.70308772083782423</v>
          </cell>
          <cell r="D24">
            <v>0.99999997775050953</v>
          </cell>
          <cell r="E24">
            <v>0.79164456198471633</v>
          </cell>
        </row>
        <row r="25">
          <cell r="B25">
            <v>0.71203488258907066</v>
          </cell>
          <cell r="C25">
            <v>0.71211578043648993</v>
          </cell>
          <cell r="D25">
            <v>0.99999999128915507</v>
          </cell>
          <cell r="E25">
            <v>0.79741418831926458</v>
          </cell>
        </row>
        <row r="26">
          <cell r="B26">
            <v>0.71831578656395223</v>
          </cell>
          <cell r="C26">
            <v>0.7207898447549258</v>
          </cell>
          <cell r="D26">
            <v>0.99999999666540507</v>
          </cell>
          <cell r="E26">
            <v>0.80298609153508194</v>
          </cell>
        </row>
        <row r="27">
          <cell r="B27">
            <v>0.72448372240069892</v>
          </cell>
          <cell r="C27">
            <v>0.729123794146607</v>
          </cell>
          <cell r="D27">
            <v>0.99999999875207235</v>
          </cell>
          <cell r="E27">
            <v>0.80836959032479394</v>
          </cell>
        </row>
        <row r="28">
          <cell r="B28">
            <v>0.73054242080152065</v>
          </cell>
          <cell r="C28">
            <v>0.7371309647085641</v>
          </cell>
          <cell r="D28">
            <v>0.99999999954350305</v>
          </cell>
          <cell r="E28">
            <v>0.81357332002081373</v>
          </cell>
        </row>
        <row r="29">
          <cell r="B29">
            <v>0.73617224626762734</v>
          </cell>
          <cell r="C29">
            <v>0.74482416962198383</v>
          </cell>
          <cell r="D29">
            <v>0.99999999983686427</v>
          </cell>
          <cell r="E29">
            <v>0.818485645431689</v>
          </cell>
        </row>
        <row r="30">
          <cell r="B30">
            <v>0.74167998949453151</v>
          </cell>
          <cell r="C30">
            <v>0.7522157196560324</v>
          </cell>
          <cell r="D30">
            <v>0.99999999994305511</v>
          </cell>
          <cell r="E30">
            <v>0.82322709430611174</v>
          </cell>
        </row>
        <row r="31">
          <cell r="B31">
            <v>0.74706839752230947</v>
          </cell>
          <cell r="C31">
            <v>0.7593174428677123</v>
          </cell>
          <cell r="D31">
            <v>0.99999999998058731</v>
          </cell>
          <cell r="E31">
            <v>0.8278047496993387</v>
          </cell>
        </row>
        <row r="32">
          <cell r="B32">
            <v>0.75234210506581956</v>
          </cell>
          <cell r="C32">
            <v>0.76614070352927721</v>
          </cell>
          <cell r="D32">
            <v>0.99999999999354061</v>
          </cell>
          <cell r="E32">
            <v>0.83222604153279589</v>
          </cell>
        </row>
        <row r="33">
          <cell r="B33">
            <v>0.75750231658415657</v>
          </cell>
          <cell r="C33">
            <v>0.77269642031349217</v>
          </cell>
          <cell r="D33">
            <v>0.99999999999790223</v>
          </cell>
          <cell r="E33">
            <v>0.83649680889939115</v>
          </cell>
        </row>
        <row r="34">
          <cell r="B34">
            <v>0.76255315124493983</v>
          </cell>
          <cell r="C34">
            <v>0.77899508376583959</v>
          </cell>
          <cell r="D34">
            <v>0.99999999999933553</v>
          </cell>
          <cell r="E34">
            <v>0.84062366567961289</v>
          </cell>
        </row>
        <row r="35">
          <cell r="B35">
            <v>0.7674954256835792</v>
          </cell>
          <cell r="C35">
            <v>0.78504677309162973</v>
          </cell>
          <cell r="D35">
            <v>0.99999999999979461</v>
          </cell>
          <cell r="E35">
            <v>0.84461173170728943</v>
          </cell>
        </row>
        <row r="36">
          <cell r="B36">
            <v>0.77233200627302534</v>
          </cell>
          <cell r="C36">
            <v>0.79086117228487984</v>
          </cell>
          <cell r="D36">
            <v>0.99999999999993805</v>
          </cell>
          <cell r="E36">
            <v>0.84846662228332836</v>
          </cell>
        </row>
        <row r="37">
          <cell r="B37">
            <v>0.77706570049477353</v>
          </cell>
          <cell r="C37">
            <v>0.79644758562477025</v>
          </cell>
          <cell r="D37">
            <v>0.99999999999998179</v>
          </cell>
          <cell r="E37">
            <v>0.85219368820806152</v>
          </cell>
        </row>
        <row r="38">
          <cell r="B38">
            <v>0.78169689414374854</v>
          </cell>
          <cell r="C38">
            <v>0.80181495256447666</v>
          </cell>
          <cell r="D38">
            <v>0.99999999999999489</v>
          </cell>
          <cell r="E38">
            <v>0.8557971695390002</v>
          </cell>
        </row>
        <row r="39">
          <cell r="B39">
            <v>0.78606307846641976</v>
          </cell>
          <cell r="C39">
            <v>0.80697186203620175</v>
          </cell>
          <cell r="D39">
            <v>0.99999999999999856</v>
          </cell>
          <cell r="E39">
            <v>0.85922175227688746</v>
          </cell>
        </row>
        <row r="40">
          <cell r="B40">
            <v>0.79034067075181269</v>
          </cell>
          <cell r="C40">
            <v>0.8119265661952999</v>
          </cell>
          <cell r="D40">
            <v>0.99999999999999956</v>
          </cell>
          <cell r="E40">
            <v>0.86253559723830731</v>
          </cell>
        </row>
        <row r="41">
          <cell r="B41">
            <v>0.79453063581647465</v>
          </cell>
          <cell r="C41">
            <v>0.81668699362548547</v>
          </cell>
          <cell r="D41">
            <v>1</v>
          </cell>
          <cell r="E41">
            <v>0.86574254850801247</v>
          </cell>
        </row>
        <row r="42">
          <cell r="B42">
            <v>0.79863317533693112</v>
          </cell>
          <cell r="C42">
            <v>0.82126076202625886</v>
          </cell>
          <cell r="D42">
            <v>1</v>
          </cell>
          <cell r="E42">
            <v>0.86884600164027548</v>
          </cell>
        </row>
        <row r="43">
          <cell r="B43">
            <v>0.80265068044302024</v>
          </cell>
          <cell r="C43">
            <v>0.8256551904028504</v>
          </cell>
          <cell r="D43">
            <v>1</v>
          </cell>
          <cell r="E43">
            <v>0.87184998523550716</v>
          </cell>
        </row>
        <row r="44">
          <cell r="B44">
            <v>0.80660888645320894</v>
          </cell>
          <cell r="C44">
            <v>0.82987731077819094</v>
          </cell>
          <cell r="D44">
            <v>1</v>
          </cell>
          <cell r="E44">
            <v>0.87476681178266358</v>
          </cell>
        </row>
        <row r="45">
          <cell r="B45">
            <v>0.81048479546204821</v>
          </cell>
          <cell r="C45">
            <v>0.83393387944564812</v>
          </cell>
          <cell r="D45">
            <v>1</v>
          </cell>
          <cell r="E45">
            <v>0.8775910051199538</v>
          </cell>
        </row>
        <row r="46">
          <cell r="B46">
            <v>0.81428047661822522</v>
          </cell>
          <cell r="C46">
            <v>0.8378313877805369</v>
          </cell>
          <cell r="D46">
            <v>1</v>
          </cell>
          <cell r="E46">
            <v>0.88032604213662691</v>
          </cell>
        </row>
        <row r="47">
          <cell r="B47">
            <v>0.81799736421372793</v>
          </cell>
          <cell r="C47">
            <v>0.8415760726277064</v>
          </cell>
          <cell r="D47">
            <v>1</v>
          </cell>
          <cell r="E47">
            <v>0.88297504156345064</v>
          </cell>
        </row>
        <row r="48">
          <cell r="B48">
            <v>0.82163700086813929</v>
          </cell>
          <cell r="C48">
            <v>0.84517392628182053</v>
          </cell>
          <cell r="D48">
            <v>1</v>
          </cell>
          <cell r="E48">
            <v>0.8855410397869552</v>
          </cell>
        </row>
        <row r="49">
          <cell r="B49">
            <v>0.82520127089507933</v>
          </cell>
          <cell r="C49">
            <v>0.84863070607630897</v>
          </cell>
          <cell r="D49">
            <v>1</v>
          </cell>
          <cell r="E49">
            <v>0.88802708080590764</v>
          </cell>
        </row>
        <row r="50">
          <cell r="B50">
            <v>0.82869217245051419</v>
          </cell>
          <cell r="C50">
            <v>0.85195194359632853</v>
          </cell>
          <cell r="D50">
            <v>1</v>
          </cell>
          <cell r="E50">
            <v>0.89043613979609759</v>
          </cell>
        </row>
        <row r="51">
          <cell r="B51">
            <v>0.83211194694892177</v>
          </cell>
          <cell r="C51">
            <v>0.85514295353047998</v>
          </cell>
          <cell r="D51">
            <v>1</v>
          </cell>
          <cell r="E51">
            <v>0.8927711747998246</v>
          </cell>
        </row>
        <row r="52">
          <cell r="B52">
            <v>0.83546234411157927</v>
          </cell>
          <cell r="C52">
            <v>0.85820884217544269</v>
          </cell>
          <cell r="D52">
            <v>1</v>
          </cell>
          <cell r="E52">
            <v>0.89503486897270912</v>
          </cell>
        </row>
        <row r="53">
          <cell r="B53">
            <v>0.83874735264288336</v>
          </cell>
          <cell r="C53">
            <v>0.86115451560713985</v>
          </cell>
          <cell r="D53">
            <v>1</v>
          </cell>
          <cell r="E53">
            <v>0.89723061058599718</v>
          </cell>
        </row>
      </sheetData>
      <sheetData sheetId="4">
        <row r="4">
          <cell r="F4">
            <v>11</v>
          </cell>
          <cell r="G4">
            <v>0</v>
          </cell>
          <cell r="H4">
            <v>0</v>
          </cell>
          <cell r="AW4">
            <v>269500</v>
          </cell>
          <cell r="AX4">
            <v>0</v>
          </cell>
          <cell r="AY4">
            <v>0</v>
          </cell>
          <cell r="AZ4">
            <v>269500</v>
          </cell>
        </row>
        <row r="5">
          <cell r="F5">
            <v>19</v>
          </cell>
          <cell r="G5">
            <v>0</v>
          </cell>
          <cell r="H5">
            <v>0</v>
          </cell>
          <cell r="AW5">
            <v>456000</v>
          </cell>
          <cell r="AX5">
            <v>0</v>
          </cell>
          <cell r="AY5">
            <v>0</v>
          </cell>
          <cell r="AZ5">
            <v>456000</v>
          </cell>
        </row>
        <row r="6">
          <cell r="F6">
            <v>24</v>
          </cell>
          <cell r="G6">
            <v>0</v>
          </cell>
          <cell r="H6">
            <v>0</v>
          </cell>
          <cell r="AW6">
            <v>585600</v>
          </cell>
          <cell r="AX6">
            <v>0</v>
          </cell>
          <cell r="AY6">
            <v>0</v>
          </cell>
          <cell r="AZ6">
            <v>585600</v>
          </cell>
        </row>
        <row r="7">
          <cell r="F7">
            <v>29</v>
          </cell>
          <cell r="G7">
            <v>0</v>
          </cell>
          <cell r="H7">
            <v>0</v>
          </cell>
          <cell r="AW7">
            <v>716300</v>
          </cell>
          <cell r="AX7">
            <v>0</v>
          </cell>
          <cell r="AY7">
            <v>0</v>
          </cell>
          <cell r="AZ7">
            <v>716300</v>
          </cell>
        </row>
        <row r="8">
          <cell r="F8">
            <v>34</v>
          </cell>
          <cell r="G8">
            <v>0</v>
          </cell>
          <cell r="H8">
            <v>0</v>
          </cell>
          <cell r="AW8">
            <v>826200</v>
          </cell>
          <cell r="AX8">
            <v>0</v>
          </cell>
          <cell r="AY8">
            <v>0</v>
          </cell>
          <cell r="AZ8">
            <v>826200</v>
          </cell>
        </row>
        <row r="9">
          <cell r="F9">
            <v>38</v>
          </cell>
          <cell r="G9">
            <v>0</v>
          </cell>
          <cell r="H9">
            <v>0</v>
          </cell>
          <cell r="AW9">
            <v>912000</v>
          </cell>
          <cell r="AX9">
            <v>0</v>
          </cell>
          <cell r="AY9">
            <v>0</v>
          </cell>
          <cell r="AZ9">
            <v>912000</v>
          </cell>
        </row>
        <row r="10">
          <cell r="F10">
            <v>42</v>
          </cell>
          <cell r="G10">
            <v>0</v>
          </cell>
          <cell r="H10">
            <v>0</v>
          </cell>
          <cell r="AW10">
            <v>1016400</v>
          </cell>
          <cell r="AX10">
            <v>0</v>
          </cell>
          <cell r="AY10">
            <v>0</v>
          </cell>
          <cell r="AZ10">
            <v>1016400</v>
          </cell>
        </row>
        <row r="11">
          <cell r="F11">
            <v>46</v>
          </cell>
          <cell r="G11">
            <v>0</v>
          </cell>
          <cell r="H11">
            <v>0</v>
          </cell>
          <cell r="AW11">
            <v>1104000</v>
          </cell>
          <cell r="AX11">
            <v>0</v>
          </cell>
          <cell r="AY11">
            <v>0</v>
          </cell>
          <cell r="AZ11">
            <v>1104000</v>
          </cell>
        </row>
        <row r="12">
          <cell r="F12">
            <v>50</v>
          </cell>
          <cell r="G12">
            <v>0</v>
          </cell>
          <cell r="H12">
            <v>0</v>
          </cell>
          <cell r="AW12">
            <v>1220000</v>
          </cell>
          <cell r="AX12">
            <v>0</v>
          </cell>
          <cell r="AY12">
            <v>0</v>
          </cell>
          <cell r="AZ12">
            <v>1220000</v>
          </cell>
        </row>
        <row r="13">
          <cell r="F13">
            <v>54</v>
          </cell>
          <cell r="G13">
            <v>0</v>
          </cell>
          <cell r="H13">
            <v>0</v>
          </cell>
          <cell r="AW13">
            <v>1312200</v>
          </cell>
          <cell r="AX13">
            <v>0</v>
          </cell>
          <cell r="AY13">
            <v>0</v>
          </cell>
          <cell r="AZ13">
            <v>1312200</v>
          </cell>
        </row>
        <row r="14">
          <cell r="F14">
            <v>57</v>
          </cell>
          <cell r="G14">
            <v>0</v>
          </cell>
          <cell r="H14">
            <v>0</v>
          </cell>
          <cell r="AW14">
            <v>1407900</v>
          </cell>
          <cell r="AX14">
            <v>0</v>
          </cell>
          <cell r="AY14">
            <v>0</v>
          </cell>
          <cell r="AZ14">
            <v>1407900</v>
          </cell>
        </row>
        <row r="15">
          <cell r="F15">
            <v>61</v>
          </cell>
          <cell r="G15">
            <v>0</v>
          </cell>
          <cell r="H15">
            <v>0</v>
          </cell>
          <cell r="AW15">
            <v>1512800</v>
          </cell>
          <cell r="AX15">
            <v>0</v>
          </cell>
          <cell r="AY15">
            <v>0</v>
          </cell>
          <cell r="AZ15">
            <v>1512800</v>
          </cell>
        </row>
        <row r="16">
          <cell r="F16">
            <v>64</v>
          </cell>
          <cell r="G16">
            <v>0</v>
          </cell>
          <cell r="H16">
            <v>0</v>
          </cell>
          <cell r="AW16">
            <v>1568000</v>
          </cell>
          <cell r="AX16">
            <v>0</v>
          </cell>
          <cell r="AY16">
            <v>0</v>
          </cell>
          <cell r="AZ16">
            <v>1568000</v>
          </cell>
        </row>
        <row r="17">
          <cell r="F17">
            <v>67</v>
          </cell>
          <cell r="G17">
            <v>0</v>
          </cell>
          <cell r="H17">
            <v>0</v>
          </cell>
          <cell r="AW17">
            <v>1661600</v>
          </cell>
          <cell r="AX17">
            <v>0</v>
          </cell>
          <cell r="AY17">
            <v>0</v>
          </cell>
          <cell r="AZ17">
            <v>1661600</v>
          </cell>
        </row>
        <row r="18">
          <cell r="F18">
            <v>70</v>
          </cell>
          <cell r="G18">
            <v>0</v>
          </cell>
          <cell r="H18">
            <v>0</v>
          </cell>
          <cell r="AW18">
            <v>1708000</v>
          </cell>
          <cell r="AX18">
            <v>0</v>
          </cell>
          <cell r="AY18">
            <v>0</v>
          </cell>
          <cell r="AZ18">
            <v>1708000</v>
          </cell>
        </row>
        <row r="19">
          <cell r="F19">
            <v>73</v>
          </cell>
          <cell r="G19">
            <v>0</v>
          </cell>
          <cell r="H19">
            <v>0</v>
          </cell>
          <cell r="AW19">
            <v>1759300</v>
          </cell>
          <cell r="AX19">
            <v>0</v>
          </cell>
          <cell r="AY19">
            <v>0</v>
          </cell>
          <cell r="AZ19">
            <v>1759300</v>
          </cell>
        </row>
        <row r="20">
          <cell r="F20">
            <v>76</v>
          </cell>
          <cell r="G20">
            <v>0</v>
          </cell>
          <cell r="H20">
            <v>0</v>
          </cell>
          <cell r="AW20">
            <v>1839200</v>
          </cell>
          <cell r="AX20">
            <v>0</v>
          </cell>
          <cell r="AY20">
            <v>0</v>
          </cell>
          <cell r="AZ20">
            <v>1839200</v>
          </cell>
        </row>
        <row r="21">
          <cell r="F21">
            <v>79</v>
          </cell>
          <cell r="G21">
            <v>0</v>
          </cell>
          <cell r="H21">
            <v>0</v>
          </cell>
          <cell r="AW21">
            <v>1959200</v>
          </cell>
          <cell r="AX21">
            <v>0</v>
          </cell>
          <cell r="AY21">
            <v>0</v>
          </cell>
          <cell r="AZ21">
            <v>1959200</v>
          </cell>
        </row>
        <row r="22">
          <cell r="F22">
            <v>82</v>
          </cell>
          <cell r="G22">
            <v>0</v>
          </cell>
          <cell r="H22">
            <v>0</v>
          </cell>
          <cell r="AW22">
            <v>1976200</v>
          </cell>
          <cell r="AX22">
            <v>0</v>
          </cell>
          <cell r="AY22">
            <v>0</v>
          </cell>
          <cell r="AZ22">
            <v>1976200</v>
          </cell>
        </row>
        <row r="23">
          <cell r="F23">
            <v>85</v>
          </cell>
          <cell r="G23">
            <v>0</v>
          </cell>
          <cell r="H23">
            <v>0</v>
          </cell>
          <cell r="AW23">
            <v>2074000</v>
          </cell>
          <cell r="AX23">
            <v>0</v>
          </cell>
          <cell r="AY23">
            <v>0</v>
          </cell>
          <cell r="AZ23">
            <v>2074000</v>
          </cell>
        </row>
        <row r="24">
          <cell r="F24">
            <v>87</v>
          </cell>
          <cell r="G24">
            <v>0</v>
          </cell>
          <cell r="H24">
            <v>0</v>
          </cell>
          <cell r="AW24">
            <v>2122800</v>
          </cell>
          <cell r="AX24">
            <v>0</v>
          </cell>
          <cell r="AY24">
            <v>0</v>
          </cell>
          <cell r="AZ24">
            <v>2122800</v>
          </cell>
        </row>
        <row r="25">
          <cell r="F25">
            <v>90</v>
          </cell>
          <cell r="G25">
            <v>0</v>
          </cell>
          <cell r="H25">
            <v>0</v>
          </cell>
          <cell r="AW25">
            <v>2169000</v>
          </cell>
          <cell r="AX25">
            <v>0</v>
          </cell>
          <cell r="AY25">
            <v>0</v>
          </cell>
          <cell r="AZ25">
            <v>2169000</v>
          </cell>
        </row>
        <row r="26">
          <cell r="F26">
            <v>92</v>
          </cell>
          <cell r="G26">
            <v>0</v>
          </cell>
          <cell r="H26">
            <v>0</v>
          </cell>
          <cell r="AW26">
            <v>2226400</v>
          </cell>
          <cell r="AX26">
            <v>0</v>
          </cell>
          <cell r="AY26">
            <v>0</v>
          </cell>
          <cell r="AZ26">
            <v>2226400</v>
          </cell>
        </row>
        <row r="27">
          <cell r="F27">
            <v>94</v>
          </cell>
          <cell r="G27">
            <v>0</v>
          </cell>
          <cell r="H27">
            <v>0</v>
          </cell>
          <cell r="AW27">
            <v>2293600</v>
          </cell>
          <cell r="AX27">
            <v>0</v>
          </cell>
          <cell r="AY27">
            <v>0</v>
          </cell>
          <cell r="AZ27">
            <v>2293600</v>
          </cell>
        </row>
        <row r="28">
          <cell r="F28">
            <v>97</v>
          </cell>
          <cell r="G28">
            <v>0</v>
          </cell>
          <cell r="H28">
            <v>0</v>
          </cell>
          <cell r="AW28">
            <v>2337700</v>
          </cell>
          <cell r="AX28">
            <v>0</v>
          </cell>
          <cell r="AY28">
            <v>0</v>
          </cell>
          <cell r="AZ28">
            <v>2337700</v>
          </cell>
        </row>
        <row r="29">
          <cell r="F29">
            <v>99</v>
          </cell>
          <cell r="G29">
            <v>0</v>
          </cell>
          <cell r="H29">
            <v>0</v>
          </cell>
          <cell r="AW29">
            <v>2415600</v>
          </cell>
          <cell r="AX29">
            <v>0</v>
          </cell>
          <cell r="AY29">
            <v>0</v>
          </cell>
          <cell r="AZ29">
            <v>2415600</v>
          </cell>
        </row>
        <row r="30">
          <cell r="F30">
            <v>101</v>
          </cell>
          <cell r="G30">
            <v>0</v>
          </cell>
          <cell r="H30">
            <v>0</v>
          </cell>
          <cell r="AW30">
            <v>2504800</v>
          </cell>
          <cell r="AX30">
            <v>0</v>
          </cell>
          <cell r="AY30">
            <v>0</v>
          </cell>
          <cell r="AZ30">
            <v>2504800</v>
          </cell>
        </row>
        <row r="31">
          <cell r="F31">
            <v>104</v>
          </cell>
          <cell r="G31">
            <v>0</v>
          </cell>
          <cell r="H31">
            <v>0</v>
          </cell>
          <cell r="AW31">
            <v>2537600</v>
          </cell>
          <cell r="AX31">
            <v>0</v>
          </cell>
          <cell r="AY31">
            <v>0</v>
          </cell>
          <cell r="AZ31">
            <v>2537600</v>
          </cell>
        </row>
        <row r="32">
          <cell r="F32">
            <v>106</v>
          </cell>
          <cell r="G32">
            <v>0</v>
          </cell>
          <cell r="H32">
            <v>0</v>
          </cell>
          <cell r="AW32">
            <v>2544000</v>
          </cell>
          <cell r="AX32">
            <v>0</v>
          </cell>
          <cell r="AY32">
            <v>0</v>
          </cell>
          <cell r="AZ32">
            <v>2544000</v>
          </cell>
        </row>
        <row r="33">
          <cell r="F33">
            <v>108</v>
          </cell>
          <cell r="G33">
            <v>0</v>
          </cell>
          <cell r="H33">
            <v>0</v>
          </cell>
          <cell r="AW33">
            <v>2613600</v>
          </cell>
          <cell r="AX33">
            <v>0</v>
          </cell>
          <cell r="AY33">
            <v>0</v>
          </cell>
          <cell r="AZ33">
            <v>2613600</v>
          </cell>
        </row>
        <row r="34">
          <cell r="F34">
            <v>110</v>
          </cell>
          <cell r="G34">
            <v>0</v>
          </cell>
          <cell r="H34">
            <v>0</v>
          </cell>
          <cell r="AW34">
            <v>2662000</v>
          </cell>
          <cell r="AX34">
            <v>0</v>
          </cell>
          <cell r="AY34">
            <v>0</v>
          </cell>
          <cell r="AZ34">
            <v>2662000</v>
          </cell>
        </row>
        <row r="35">
          <cell r="F35">
            <v>113</v>
          </cell>
          <cell r="G35">
            <v>0</v>
          </cell>
          <cell r="H35">
            <v>0</v>
          </cell>
          <cell r="AW35">
            <v>2768500</v>
          </cell>
          <cell r="AX35">
            <v>0</v>
          </cell>
          <cell r="AY35">
            <v>0</v>
          </cell>
          <cell r="AZ35">
            <v>2768500</v>
          </cell>
        </row>
        <row r="36">
          <cell r="F36">
            <v>115</v>
          </cell>
          <cell r="G36">
            <v>0</v>
          </cell>
          <cell r="H36">
            <v>0</v>
          </cell>
          <cell r="AW36">
            <v>2817500</v>
          </cell>
          <cell r="AX36">
            <v>0</v>
          </cell>
          <cell r="AY36">
            <v>0</v>
          </cell>
          <cell r="AZ36">
            <v>2817500</v>
          </cell>
        </row>
        <row r="37">
          <cell r="F37">
            <v>117</v>
          </cell>
          <cell r="G37">
            <v>0</v>
          </cell>
          <cell r="H37">
            <v>0</v>
          </cell>
          <cell r="AW37">
            <v>2901600</v>
          </cell>
          <cell r="AX37">
            <v>0</v>
          </cell>
          <cell r="AY37">
            <v>0</v>
          </cell>
          <cell r="AZ37">
            <v>2901600</v>
          </cell>
        </row>
        <row r="38">
          <cell r="F38">
            <v>120</v>
          </cell>
          <cell r="G38">
            <v>0</v>
          </cell>
          <cell r="H38">
            <v>0</v>
          </cell>
          <cell r="AW38">
            <v>2964000</v>
          </cell>
          <cell r="AX38">
            <v>0</v>
          </cell>
          <cell r="AY38">
            <v>0</v>
          </cell>
          <cell r="AZ38">
            <v>2964000</v>
          </cell>
        </row>
        <row r="39">
          <cell r="F39">
            <v>122</v>
          </cell>
          <cell r="G39">
            <v>0</v>
          </cell>
          <cell r="H39">
            <v>0</v>
          </cell>
          <cell r="AW39">
            <v>3001200</v>
          </cell>
          <cell r="AX39">
            <v>0</v>
          </cell>
          <cell r="AY39">
            <v>0</v>
          </cell>
          <cell r="AZ39">
            <v>3001200</v>
          </cell>
        </row>
        <row r="40">
          <cell r="F40">
            <v>124</v>
          </cell>
          <cell r="G40">
            <v>0</v>
          </cell>
          <cell r="H40">
            <v>0</v>
          </cell>
          <cell r="AW40">
            <v>3050400</v>
          </cell>
          <cell r="AX40">
            <v>0</v>
          </cell>
          <cell r="AY40">
            <v>0</v>
          </cell>
          <cell r="AZ40">
            <v>3050400</v>
          </cell>
        </row>
        <row r="41">
          <cell r="F41">
            <v>127</v>
          </cell>
          <cell r="G41">
            <v>0</v>
          </cell>
          <cell r="H41">
            <v>0</v>
          </cell>
          <cell r="AW41">
            <v>3111500</v>
          </cell>
          <cell r="AX41">
            <v>0</v>
          </cell>
          <cell r="AY41">
            <v>0</v>
          </cell>
          <cell r="AZ41">
            <v>3111500</v>
          </cell>
        </row>
        <row r="42">
          <cell r="F42">
            <v>129</v>
          </cell>
          <cell r="G42">
            <v>0</v>
          </cell>
          <cell r="H42">
            <v>0</v>
          </cell>
          <cell r="AW42">
            <v>3096000</v>
          </cell>
          <cell r="AX42">
            <v>0</v>
          </cell>
          <cell r="AY42">
            <v>0</v>
          </cell>
          <cell r="AZ42">
            <v>3096000</v>
          </cell>
        </row>
        <row r="43">
          <cell r="F43">
            <v>132</v>
          </cell>
          <cell r="G43">
            <v>0</v>
          </cell>
          <cell r="H43">
            <v>0</v>
          </cell>
          <cell r="AW43">
            <v>3168000</v>
          </cell>
          <cell r="AX43">
            <v>0</v>
          </cell>
          <cell r="AY43">
            <v>0</v>
          </cell>
          <cell r="AZ43">
            <v>3168000</v>
          </cell>
        </row>
        <row r="44">
          <cell r="F44">
            <v>134</v>
          </cell>
          <cell r="G44">
            <v>0</v>
          </cell>
          <cell r="H44">
            <v>0</v>
          </cell>
          <cell r="AW44">
            <v>3283000</v>
          </cell>
          <cell r="AX44">
            <v>0</v>
          </cell>
          <cell r="AY44">
            <v>0</v>
          </cell>
          <cell r="AZ44">
            <v>3283000</v>
          </cell>
        </row>
        <row r="45">
          <cell r="F45">
            <v>137</v>
          </cell>
          <cell r="G45">
            <v>1</v>
          </cell>
          <cell r="H45">
            <v>0</v>
          </cell>
          <cell r="AW45">
            <v>3301700</v>
          </cell>
          <cell r="AX45">
            <v>247000</v>
          </cell>
          <cell r="AY45">
            <v>0</v>
          </cell>
          <cell r="AZ45">
            <v>3548700</v>
          </cell>
        </row>
        <row r="46">
          <cell r="F46">
            <v>140</v>
          </cell>
          <cell r="G46">
            <v>1</v>
          </cell>
          <cell r="H46">
            <v>0</v>
          </cell>
          <cell r="AW46">
            <v>3444000</v>
          </cell>
          <cell r="AX46">
            <v>243000</v>
          </cell>
          <cell r="AY46">
            <v>0</v>
          </cell>
          <cell r="AZ46">
            <v>3687000</v>
          </cell>
        </row>
        <row r="47">
          <cell r="F47">
            <v>142</v>
          </cell>
          <cell r="G47">
            <v>1</v>
          </cell>
          <cell r="H47">
            <v>0</v>
          </cell>
          <cell r="AW47">
            <v>3464800</v>
          </cell>
          <cell r="AX47">
            <v>248000</v>
          </cell>
          <cell r="AY47">
            <v>0</v>
          </cell>
          <cell r="AZ47">
            <v>3712800</v>
          </cell>
        </row>
        <row r="48">
          <cell r="F48">
            <v>145</v>
          </cell>
          <cell r="G48">
            <v>1</v>
          </cell>
          <cell r="H48">
            <v>0</v>
          </cell>
          <cell r="AW48">
            <v>3494500</v>
          </cell>
          <cell r="AX48">
            <v>246000</v>
          </cell>
          <cell r="AY48">
            <v>0</v>
          </cell>
          <cell r="AZ48">
            <v>3740500</v>
          </cell>
        </row>
        <row r="49">
          <cell r="F49">
            <v>148</v>
          </cell>
          <cell r="G49">
            <v>1</v>
          </cell>
          <cell r="H49">
            <v>0</v>
          </cell>
          <cell r="AW49">
            <v>3566800</v>
          </cell>
          <cell r="AX49">
            <v>243000</v>
          </cell>
          <cell r="AY49">
            <v>0</v>
          </cell>
          <cell r="AZ49">
            <v>3809800</v>
          </cell>
        </row>
        <row r="50">
          <cell r="F50">
            <v>150</v>
          </cell>
          <cell r="G50">
            <v>1</v>
          </cell>
          <cell r="H50">
            <v>0</v>
          </cell>
          <cell r="AW50">
            <v>3675000</v>
          </cell>
          <cell r="AX50">
            <v>246000</v>
          </cell>
          <cell r="AY50">
            <v>0</v>
          </cell>
          <cell r="AZ50">
            <v>3921000</v>
          </cell>
        </row>
        <row r="51">
          <cell r="F51">
            <v>153</v>
          </cell>
          <cell r="G51">
            <v>1</v>
          </cell>
          <cell r="H51">
            <v>0</v>
          </cell>
          <cell r="AW51">
            <v>3687300</v>
          </cell>
          <cell r="AX51">
            <v>245000</v>
          </cell>
          <cell r="AY51">
            <v>0</v>
          </cell>
          <cell r="AZ51">
            <v>3932300</v>
          </cell>
        </row>
        <row r="52">
          <cell r="F52">
            <v>156</v>
          </cell>
          <cell r="G52">
            <v>1</v>
          </cell>
          <cell r="H52">
            <v>0</v>
          </cell>
          <cell r="AW52">
            <v>3853200</v>
          </cell>
          <cell r="AX52">
            <v>247000</v>
          </cell>
          <cell r="AY52">
            <v>0</v>
          </cell>
          <cell r="AZ52">
            <v>4100200</v>
          </cell>
        </row>
        <row r="53">
          <cell r="F53">
            <v>158</v>
          </cell>
          <cell r="G53">
            <v>1</v>
          </cell>
          <cell r="H53">
            <v>0</v>
          </cell>
          <cell r="AW53">
            <v>3918400</v>
          </cell>
          <cell r="AX53">
            <v>247000</v>
          </cell>
          <cell r="AY53">
            <v>0</v>
          </cell>
          <cell r="AZ53">
            <v>4165400</v>
          </cell>
        </row>
        <row r="54">
          <cell r="F54">
            <v>161</v>
          </cell>
          <cell r="G54">
            <v>1</v>
          </cell>
          <cell r="H54">
            <v>0</v>
          </cell>
          <cell r="AW54">
            <v>3976700</v>
          </cell>
          <cell r="AX54">
            <v>248000</v>
          </cell>
          <cell r="AY54">
            <v>0</v>
          </cell>
          <cell r="AZ54">
            <v>4224700</v>
          </cell>
        </row>
      </sheetData>
      <sheetData sheetId="5">
        <row r="4">
          <cell r="F4">
            <v>11</v>
          </cell>
          <cell r="G4">
            <v>0</v>
          </cell>
          <cell r="H4">
            <v>0</v>
          </cell>
          <cell r="AW4">
            <v>86680</v>
          </cell>
          <cell r="AX4">
            <v>0</v>
          </cell>
          <cell r="AY4">
            <v>0</v>
          </cell>
          <cell r="AZ4">
            <v>86680</v>
          </cell>
        </row>
        <row r="5">
          <cell r="F5">
            <v>19</v>
          </cell>
          <cell r="G5">
            <v>0</v>
          </cell>
          <cell r="H5">
            <v>0</v>
          </cell>
          <cell r="AW5">
            <v>148960</v>
          </cell>
          <cell r="AX5">
            <v>0</v>
          </cell>
          <cell r="AY5">
            <v>0</v>
          </cell>
          <cell r="AZ5">
            <v>148960</v>
          </cell>
        </row>
        <row r="6">
          <cell r="F6">
            <v>24</v>
          </cell>
          <cell r="G6">
            <v>0</v>
          </cell>
          <cell r="H6">
            <v>0</v>
          </cell>
          <cell r="AW6">
            <v>187200</v>
          </cell>
          <cell r="AX6">
            <v>0</v>
          </cell>
          <cell r="AY6">
            <v>0</v>
          </cell>
          <cell r="AZ6">
            <v>187200</v>
          </cell>
        </row>
        <row r="7">
          <cell r="F7">
            <v>29</v>
          </cell>
          <cell r="G7">
            <v>0</v>
          </cell>
          <cell r="H7">
            <v>0</v>
          </cell>
          <cell r="AW7">
            <v>222720</v>
          </cell>
          <cell r="AX7">
            <v>0</v>
          </cell>
          <cell r="AY7">
            <v>0</v>
          </cell>
          <cell r="AZ7">
            <v>222720</v>
          </cell>
        </row>
        <row r="8">
          <cell r="F8">
            <v>34</v>
          </cell>
          <cell r="G8">
            <v>0</v>
          </cell>
          <cell r="H8">
            <v>0</v>
          </cell>
          <cell r="AW8">
            <v>259760</v>
          </cell>
          <cell r="AX8">
            <v>0</v>
          </cell>
          <cell r="AY8">
            <v>0</v>
          </cell>
          <cell r="AZ8">
            <v>259760</v>
          </cell>
        </row>
        <row r="9">
          <cell r="F9">
            <v>38</v>
          </cell>
          <cell r="G9">
            <v>0</v>
          </cell>
          <cell r="H9">
            <v>0</v>
          </cell>
          <cell r="AW9">
            <v>299440</v>
          </cell>
          <cell r="AX9">
            <v>0</v>
          </cell>
          <cell r="AY9">
            <v>0</v>
          </cell>
          <cell r="AZ9">
            <v>299440</v>
          </cell>
        </row>
        <row r="10">
          <cell r="F10">
            <v>42</v>
          </cell>
          <cell r="G10">
            <v>0</v>
          </cell>
          <cell r="H10">
            <v>0</v>
          </cell>
          <cell r="AW10">
            <v>324240</v>
          </cell>
          <cell r="AX10">
            <v>0</v>
          </cell>
          <cell r="AY10">
            <v>0</v>
          </cell>
          <cell r="AZ10">
            <v>324240</v>
          </cell>
        </row>
        <row r="11">
          <cell r="F11">
            <v>46</v>
          </cell>
          <cell r="G11">
            <v>0</v>
          </cell>
          <cell r="H11">
            <v>0</v>
          </cell>
          <cell r="AW11">
            <v>360640</v>
          </cell>
          <cell r="AX11">
            <v>0</v>
          </cell>
          <cell r="AY11">
            <v>0</v>
          </cell>
          <cell r="AZ11">
            <v>360640</v>
          </cell>
        </row>
        <row r="12">
          <cell r="F12">
            <v>50</v>
          </cell>
          <cell r="G12">
            <v>0</v>
          </cell>
          <cell r="H12">
            <v>0</v>
          </cell>
          <cell r="AW12">
            <v>386000</v>
          </cell>
          <cell r="AX12">
            <v>0</v>
          </cell>
          <cell r="AY12">
            <v>0</v>
          </cell>
          <cell r="AZ12">
            <v>386000</v>
          </cell>
        </row>
        <row r="13">
          <cell r="F13">
            <v>54</v>
          </cell>
          <cell r="G13">
            <v>0</v>
          </cell>
          <cell r="H13">
            <v>0</v>
          </cell>
          <cell r="AW13">
            <v>423360</v>
          </cell>
          <cell r="AX13">
            <v>0</v>
          </cell>
          <cell r="AY13">
            <v>0</v>
          </cell>
          <cell r="AZ13">
            <v>423360</v>
          </cell>
        </row>
        <row r="14">
          <cell r="F14">
            <v>57</v>
          </cell>
          <cell r="G14">
            <v>0</v>
          </cell>
          <cell r="H14">
            <v>0</v>
          </cell>
          <cell r="AW14">
            <v>451440</v>
          </cell>
          <cell r="AX14">
            <v>0</v>
          </cell>
          <cell r="AY14">
            <v>0</v>
          </cell>
          <cell r="AZ14">
            <v>451440</v>
          </cell>
        </row>
        <row r="15">
          <cell r="F15">
            <v>61</v>
          </cell>
          <cell r="G15">
            <v>0</v>
          </cell>
          <cell r="H15">
            <v>0</v>
          </cell>
          <cell r="AW15">
            <v>468480</v>
          </cell>
          <cell r="AX15">
            <v>0</v>
          </cell>
          <cell r="AY15">
            <v>0</v>
          </cell>
          <cell r="AZ15">
            <v>468480</v>
          </cell>
        </row>
        <row r="16">
          <cell r="F16">
            <v>64</v>
          </cell>
          <cell r="G16">
            <v>0</v>
          </cell>
          <cell r="H16">
            <v>0</v>
          </cell>
          <cell r="AW16">
            <v>496640</v>
          </cell>
          <cell r="AX16">
            <v>0</v>
          </cell>
          <cell r="AY16">
            <v>0</v>
          </cell>
          <cell r="AZ16">
            <v>496640</v>
          </cell>
        </row>
        <row r="17">
          <cell r="F17">
            <v>67</v>
          </cell>
          <cell r="G17">
            <v>0</v>
          </cell>
          <cell r="H17">
            <v>0</v>
          </cell>
          <cell r="AW17">
            <v>519920</v>
          </cell>
          <cell r="AX17">
            <v>0</v>
          </cell>
          <cell r="AY17">
            <v>0</v>
          </cell>
          <cell r="AZ17">
            <v>519920</v>
          </cell>
        </row>
        <row r="18">
          <cell r="F18">
            <v>70</v>
          </cell>
          <cell r="G18">
            <v>0</v>
          </cell>
          <cell r="H18">
            <v>0</v>
          </cell>
          <cell r="AW18">
            <v>543200</v>
          </cell>
          <cell r="AX18">
            <v>0</v>
          </cell>
          <cell r="AY18">
            <v>0</v>
          </cell>
          <cell r="AZ18">
            <v>543200</v>
          </cell>
        </row>
        <row r="19">
          <cell r="F19">
            <v>73</v>
          </cell>
          <cell r="G19">
            <v>0</v>
          </cell>
          <cell r="H19">
            <v>0</v>
          </cell>
          <cell r="AW19">
            <v>566480</v>
          </cell>
          <cell r="AX19">
            <v>0</v>
          </cell>
          <cell r="AY19">
            <v>0</v>
          </cell>
          <cell r="AZ19">
            <v>566480</v>
          </cell>
        </row>
        <row r="20">
          <cell r="F20">
            <v>76</v>
          </cell>
          <cell r="G20">
            <v>0</v>
          </cell>
          <cell r="H20">
            <v>0</v>
          </cell>
          <cell r="AW20">
            <v>589760</v>
          </cell>
          <cell r="AX20">
            <v>0</v>
          </cell>
          <cell r="AY20">
            <v>0</v>
          </cell>
          <cell r="AZ20">
            <v>589760</v>
          </cell>
        </row>
        <row r="21">
          <cell r="F21">
            <v>79</v>
          </cell>
          <cell r="G21">
            <v>0</v>
          </cell>
          <cell r="H21">
            <v>0</v>
          </cell>
          <cell r="AW21">
            <v>609880</v>
          </cell>
          <cell r="AX21">
            <v>0</v>
          </cell>
          <cell r="AY21">
            <v>0</v>
          </cell>
          <cell r="AZ21">
            <v>609880</v>
          </cell>
        </row>
        <row r="22">
          <cell r="F22">
            <v>82</v>
          </cell>
          <cell r="G22">
            <v>0</v>
          </cell>
          <cell r="H22">
            <v>0</v>
          </cell>
          <cell r="AW22">
            <v>639600</v>
          </cell>
          <cell r="AX22">
            <v>0</v>
          </cell>
          <cell r="AY22">
            <v>0</v>
          </cell>
          <cell r="AZ22">
            <v>639600</v>
          </cell>
        </row>
        <row r="23">
          <cell r="F23">
            <v>85</v>
          </cell>
          <cell r="G23">
            <v>0</v>
          </cell>
          <cell r="H23">
            <v>0</v>
          </cell>
          <cell r="AW23">
            <v>649400</v>
          </cell>
          <cell r="AX23">
            <v>0</v>
          </cell>
          <cell r="AY23">
            <v>0</v>
          </cell>
          <cell r="AZ23">
            <v>649400</v>
          </cell>
        </row>
        <row r="24">
          <cell r="F24">
            <v>87</v>
          </cell>
          <cell r="G24">
            <v>0</v>
          </cell>
          <cell r="H24">
            <v>0</v>
          </cell>
          <cell r="AW24">
            <v>668160</v>
          </cell>
          <cell r="AX24">
            <v>0</v>
          </cell>
          <cell r="AY24">
            <v>0</v>
          </cell>
          <cell r="AZ24">
            <v>668160</v>
          </cell>
        </row>
        <row r="25">
          <cell r="F25">
            <v>90</v>
          </cell>
          <cell r="G25">
            <v>0</v>
          </cell>
          <cell r="H25">
            <v>0</v>
          </cell>
          <cell r="AW25">
            <v>691200</v>
          </cell>
          <cell r="AX25">
            <v>0</v>
          </cell>
          <cell r="AY25">
            <v>0</v>
          </cell>
          <cell r="AZ25">
            <v>691200</v>
          </cell>
        </row>
        <row r="26">
          <cell r="F26">
            <v>92</v>
          </cell>
          <cell r="G26">
            <v>0</v>
          </cell>
          <cell r="H26">
            <v>0</v>
          </cell>
          <cell r="AW26">
            <v>721280</v>
          </cell>
          <cell r="AX26">
            <v>0</v>
          </cell>
          <cell r="AY26">
            <v>0</v>
          </cell>
          <cell r="AZ26">
            <v>721280</v>
          </cell>
        </row>
        <row r="27">
          <cell r="F27">
            <v>94</v>
          </cell>
          <cell r="G27">
            <v>0</v>
          </cell>
          <cell r="H27">
            <v>0</v>
          </cell>
          <cell r="AW27">
            <v>740720</v>
          </cell>
          <cell r="AX27">
            <v>0</v>
          </cell>
          <cell r="AY27">
            <v>0</v>
          </cell>
          <cell r="AZ27">
            <v>740720</v>
          </cell>
        </row>
        <row r="28">
          <cell r="F28">
            <v>97</v>
          </cell>
          <cell r="G28">
            <v>0</v>
          </cell>
          <cell r="H28">
            <v>0</v>
          </cell>
          <cell r="AW28">
            <v>756600</v>
          </cell>
          <cell r="AX28">
            <v>0</v>
          </cell>
          <cell r="AY28">
            <v>0</v>
          </cell>
          <cell r="AZ28">
            <v>756600</v>
          </cell>
        </row>
        <row r="29">
          <cell r="F29">
            <v>99</v>
          </cell>
          <cell r="G29">
            <v>0</v>
          </cell>
          <cell r="H29">
            <v>0</v>
          </cell>
          <cell r="AW29">
            <v>760320</v>
          </cell>
          <cell r="AX29">
            <v>0</v>
          </cell>
          <cell r="AY29">
            <v>0</v>
          </cell>
          <cell r="AZ29">
            <v>760320</v>
          </cell>
        </row>
        <row r="30">
          <cell r="F30">
            <v>101</v>
          </cell>
          <cell r="G30">
            <v>0</v>
          </cell>
          <cell r="H30">
            <v>0</v>
          </cell>
          <cell r="AW30">
            <v>783760</v>
          </cell>
          <cell r="AX30">
            <v>0</v>
          </cell>
          <cell r="AY30">
            <v>0</v>
          </cell>
          <cell r="AZ30">
            <v>783760</v>
          </cell>
        </row>
        <row r="31">
          <cell r="F31">
            <v>104</v>
          </cell>
          <cell r="G31">
            <v>0</v>
          </cell>
          <cell r="H31">
            <v>0</v>
          </cell>
          <cell r="AW31">
            <v>811200</v>
          </cell>
          <cell r="AX31">
            <v>0</v>
          </cell>
          <cell r="AY31">
            <v>0</v>
          </cell>
          <cell r="AZ31">
            <v>811200</v>
          </cell>
        </row>
        <row r="32">
          <cell r="F32">
            <v>106</v>
          </cell>
          <cell r="G32">
            <v>0</v>
          </cell>
          <cell r="H32">
            <v>0</v>
          </cell>
          <cell r="AW32">
            <v>839520</v>
          </cell>
          <cell r="AX32">
            <v>0</v>
          </cell>
          <cell r="AY32">
            <v>0</v>
          </cell>
          <cell r="AZ32">
            <v>839520</v>
          </cell>
        </row>
        <row r="33">
          <cell r="F33">
            <v>108</v>
          </cell>
          <cell r="G33">
            <v>0</v>
          </cell>
          <cell r="H33">
            <v>0</v>
          </cell>
          <cell r="AW33">
            <v>838080</v>
          </cell>
          <cell r="AX33">
            <v>0</v>
          </cell>
          <cell r="AY33">
            <v>0</v>
          </cell>
          <cell r="AZ33">
            <v>838080</v>
          </cell>
        </row>
        <row r="34">
          <cell r="F34">
            <v>110</v>
          </cell>
          <cell r="G34">
            <v>0</v>
          </cell>
          <cell r="H34">
            <v>0</v>
          </cell>
          <cell r="AW34">
            <v>862400</v>
          </cell>
          <cell r="AX34">
            <v>0</v>
          </cell>
          <cell r="AY34">
            <v>0</v>
          </cell>
          <cell r="AZ34">
            <v>862400</v>
          </cell>
        </row>
        <row r="35">
          <cell r="F35">
            <v>113</v>
          </cell>
          <cell r="G35">
            <v>0</v>
          </cell>
          <cell r="H35">
            <v>0</v>
          </cell>
          <cell r="AW35">
            <v>890440</v>
          </cell>
          <cell r="AX35">
            <v>0</v>
          </cell>
          <cell r="AY35">
            <v>0</v>
          </cell>
          <cell r="AZ35">
            <v>890440</v>
          </cell>
        </row>
        <row r="36">
          <cell r="F36">
            <v>115</v>
          </cell>
          <cell r="G36">
            <v>0</v>
          </cell>
          <cell r="H36">
            <v>0</v>
          </cell>
          <cell r="AW36">
            <v>901600</v>
          </cell>
          <cell r="AX36">
            <v>0</v>
          </cell>
          <cell r="AY36">
            <v>0</v>
          </cell>
          <cell r="AZ36">
            <v>901600</v>
          </cell>
        </row>
        <row r="37">
          <cell r="F37">
            <v>117</v>
          </cell>
          <cell r="G37">
            <v>0</v>
          </cell>
          <cell r="H37">
            <v>0</v>
          </cell>
          <cell r="AW37">
            <v>926640</v>
          </cell>
          <cell r="AX37">
            <v>0</v>
          </cell>
          <cell r="AY37">
            <v>0</v>
          </cell>
          <cell r="AZ37">
            <v>926640</v>
          </cell>
        </row>
        <row r="38">
          <cell r="F38">
            <v>120</v>
          </cell>
          <cell r="G38">
            <v>0</v>
          </cell>
          <cell r="H38">
            <v>0</v>
          </cell>
          <cell r="AW38">
            <v>940800</v>
          </cell>
          <cell r="AX38">
            <v>0</v>
          </cell>
          <cell r="AY38">
            <v>0</v>
          </cell>
          <cell r="AZ38">
            <v>940800</v>
          </cell>
        </row>
        <row r="39">
          <cell r="F39">
            <v>122</v>
          </cell>
          <cell r="G39">
            <v>0</v>
          </cell>
          <cell r="H39">
            <v>0</v>
          </cell>
          <cell r="AW39">
            <v>941840</v>
          </cell>
          <cell r="AX39">
            <v>0</v>
          </cell>
          <cell r="AY39">
            <v>0</v>
          </cell>
          <cell r="AZ39">
            <v>941840</v>
          </cell>
        </row>
        <row r="40">
          <cell r="F40">
            <v>124</v>
          </cell>
          <cell r="G40">
            <v>0</v>
          </cell>
          <cell r="H40">
            <v>0</v>
          </cell>
          <cell r="AW40">
            <v>982080</v>
          </cell>
          <cell r="AX40">
            <v>0</v>
          </cell>
          <cell r="AY40">
            <v>0</v>
          </cell>
          <cell r="AZ40">
            <v>982080</v>
          </cell>
        </row>
        <row r="41">
          <cell r="F41">
            <v>127</v>
          </cell>
          <cell r="G41">
            <v>0</v>
          </cell>
          <cell r="H41">
            <v>0</v>
          </cell>
          <cell r="AW41">
            <v>995680</v>
          </cell>
          <cell r="AX41">
            <v>0</v>
          </cell>
          <cell r="AY41">
            <v>0</v>
          </cell>
          <cell r="AZ41">
            <v>995680</v>
          </cell>
        </row>
        <row r="42">
          <cell r="F42">
            <v>129</v>
          </cell>
          <cell r="G42">
            <v>0</v>
          </cell>
          <cell r="H42">
            <v>0</v>
          </cell>
          <cell r="AW42">
            <v>1016520</v>
          </cell>
          <cell r="AX42">
            <v>0</v>
          </cell>
          <cell r="AY42">
            <v>0</v>
          </cell>
          <cell r="AZ42">
            <v>1016520</v>
          </cell>
        </row>
        <row r="43">
          <cell r="F43">
            <v>132</v>
          </cell>
          <cell r="G43">
            <v>0</v>
          </cell>
          <cell r="H43">
            <v>0</v>
          </cell>
          <cell r="AW43">
            <v>1034880</v>
          </cell>
          <cell r="AX43">
            <v>0</v>
          </cell>
          <cell r="AY43">
            <v>0</v>
          </cell>
          <cell r="AZ43">
            <v>1034880</v>
          </cell>
        </row>
        <row r="44">
          <cell r="F44">
            <v>134</v>
          </cell>
          <cell r="G44">
            <v>0</v>
          </cell>
          <cell r="H44">
            <v>0</v>
          </cell>
          <cell r="AW44">
            <v>1018400</v>
          </cell>
          <cell r="AX44">
            <v>0</v>
          </cell>
          <cell r="AY44">
            <v>0</v>
          </cell>
          <cell r="AZ44">
            <v>1018400</v>
          </cell>
        </row>
        <row r="45">
          <cell r="F45">
            <v>137</v>
          </cell>
          <cell r="G45">
            <v>1</v>
          </cell>
          <cell r="H45">
            <v>0</v>
          </cell>
          <cell r="AW45">
            <v>1046680</v>
          </cell>
          <cell r="AX45">
            <v>97000</v>
          </cell>
          <cell r="AY45">
            <v>0</v>
          </cell>
          <cell r="AZ45">
            <v>1143680</v>
          </cell>
        </row>
        <row r="46">
          <cell r="F46">
            <v>140</v>
          </cell>
          <cell r="G46">
            <v>1</v>
          </cell>
          <cell r="H46">
            <v>0</v>
          </cell>
          <cell r="AW46">
            <v>1092000</v>
          </cell>
          <cell r="AX46">
            <v>97000</v>
          </cell>
          <cell r="AY46">
            <v>0</v>
          </cell>
          <cell r="AZ46">
            <v>1189000</v>
          </cell>
        </row>
        <row r="47">
          <cell r="F47">
            <v>142</v>
          </cell>
          <cell r="G47">
            <v>1</v>
          </cell>
          <cell r="H47">
            <v>0</v>
          </cell>
          <cell r="AW47">
            <v>1101920</v>
          </cell>
          <cell r="AX47">
            <v>97000</v>
          </cell>
          <cell r="AY47">
            <v>0</v>
          </cell>
          <cell r="AZ47">
            <v>1198920</v>
          </cell>
        </row>
        <row r="48">
          <cell r="F48">
            <v>145</v>
          </cell>
          <cell r="G48">
            <v>1</v>
          </cell>
          <cell r="H48">
            <v>0</v>
          </cell>
          <cell r="AW48">
            <v>1102000</v>
          </cell>
          <cell r="AX48">
            <v>98000</v>
          </cell>
          <cell r="AY48">
            <v>0</v>
          </cell>
          <cell r="AZ48">
            <v>1200000</v>
          </cell>
        </row>
        <row r="49">
          <cell r="F49">
            <v>148</v>
          </cell>
          <cell r="G49">
            <v>1</v>
          </cell>
          <cell r="H49">
            <v>0</v>
          </cell>
          <cell r="AW49">
            <v>1160320</v>
          </cell>
          <cell r="AX49">
            <v>96500</v>
          </cell>
          <cell r="AY49">
            <v>0</v>
          </cell>
          <cell r="AZ49">
            <v>1256820</v>
          </cell>
        </row>
        <row r="50">
          <cell r="F50">
            <v>150</v>
          </cell>
          <cell r="G50">
            <v>1</v>
          </cell>
          <cell r="H50">
            <v>0</v>
          </cell>
          <cell r="AW50">
            <v>1182000</v>
          </cell>
          <cell r="AX50">
            <v>96500</v>
          </cell>
          <cell r="AY50">
            <v>0</v>
          </cell>
          <cell r="AZ50">
            <v>1278500</v>
          </cell>
        </row>
        <row r="51">
          <cell r="F51">
            <v>153</v>
          </cell>
          <cell r="G51">
            <v>1</v>
          </cell>
          <cell r="H51">
            <v>0</v>
          </cell>
          <cell r="AW51">
            <v>1211760</v>
          </cell>
          <cell r="AX51">
            <v>97000</v>
          </cell>
          <cell r="AY51">
            <v>0</v>
          </cell>
          <cell r="AZ51">
            <v>1308760</v>
          </cell>
        </row>
        <row r="52">
          <cell r="F52">
            <v>156</v>
          </cell>
          <cell r="G52">
            <v>1</v>
          </cell>
          <cell r="H52">
            <v>0</v>
          </cell>
          <cell r="AW52">
            <v>1210560</v>
          </cell>
          <cell r="AX52">
            <v>96000</v>
          </cell>
          <cell r="AY52">
            <v>0</v>
          </cell>
          <cell r="AZ52">
            <v>1306560</v>
          </cell>
        </row>
        <row r="53">
          <cell r="F53">
            <v>158</v>
          </cell>
          <cell r="G53">
            <v>1</v>
          </cell>
          <cell r="H53">
            <v>0</v>
          </cell>
          <cell r="AW53">
            <v>1213440</v>
          </cell>
          <cell r="AX53">
            <v>98000</v>
          </cell>
          <cell r="AY53">
            <v>0</v>
          </cell>
          <cell r="AZ53">
            <v>1311440</v>
          </cell>
        </row>
        <row r="54">
          <cell r="F54">
            <v>161</v>
          </cell>
          <cell r="G54">
            <v>1</v>
          </cell>
          <cell r="H54">
            <v>0</v>
          </cell>
          <cell r="AW54">
            <v>1262240</v>
          </cell>
          <cell r="AX54">
            <v>97500</v>
          </cell>
          <cell r="AY54">
            <v>0</v>
          </cell>
          <cell r="AZ54">
            <v>1359740</v>
          </cell>
        </row>
      </sheetData>
      <sheetData sheetId="6">
        <row r="4">
          <cell r="F4">
            <v>0</v>
          </cell>
          <cell r="G4">
            <v>0</v>
          </cell>
          <cell r="H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</row>
        <row r="5">
          <cell r="F5">
            <v>0</v>
          </cell>
          <cell r="G5">
            <v>0</v>
          </cell>
          <cell r="H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</row>
        <row r="6">
          <cell r="F6">
            <v>0</v>
          </cell>
          <cell r="G6">
            <v>0</v>
          </cell>
          <cell r="H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</row>
        <row r="7">
          <cell r="F7">
            <v>0</v>
          </cell>
          <cell r="G7">
            <v>0</v>
          </cell>
          <cell r="H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</row>
        <row r="8">
          <cell r="F8">
            <v>0</v>
          </cell>
          <cell r="G8">
            <v>0</v>
          </cell>
          <cell r="H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</row>
        <row r="9">
          <cell r="F9">
            <v>0</v>
          </cell>
          <cell r="G9">
            <v>0</v>
          </cell>
          <cell r="H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</row>
        <row r="10">
          <cell r="F10">
            <v>0</v>
          </cell>
          <cell r="G10">
            <v>0</v>
          </cell>
          <cell r="H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</row>
        <row r="11">
          <cell r="F11">
            <v>0</v>
          </cell>
          <cell r="G11">
            <v>0</v>
          </cell>
          <cell r="H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</row>
        <row r="12">
          <cell r="F12">
            <v>0</v>
          </cell>
          <cell r="G12">
            <v>0</v>
          </cell>
          <cell r="H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</row>
        <row r="13">
          <cell r="F13">
            <v>0</v>
          </cell>
          <cell r="G13">
            <v>0</v>
          </cell>
          <cell r="H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</row>
        <row r="14">
          <cell r="F14">
            <v>0</v>
          </cell>
          <cell r="G14">
            <v>0</v>
          </cell>
          <cell r="H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</row>
        <row r="15">
          <cell r="F15">
            <v>0</v>
          </cell>
          <cell r="G15">
            <v>0</v>
          </cell>
          <cell r="H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</row>
        <row r="16">
          <cell r="F16">
            <v>0</v>
          </cell>
          <cell r="G16">
            <v>0</v>
          </cell>
          <cell r="H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</row>
        <row r="17">
          <cell r="F17">
            <v>0</v>
          </cell>
          <cell r="G17">
            <v>0</v>
          </cell>
          <cell r="H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</row>
        <row r="18">
          <cell r="F18">
            <v>0</v>
          </cell>
          <cell r="G18">
            <v>0</v>
          </cell>
          <cell r="H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</row>
        <row r="19">
          <cell r="F19">
            <v>0</v>
          </cell>
          <cell r="G19">
            <v>0</v>
          </cell>
          <cell r="H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</row>
        <row r="20">
          <cell r="F20">
            <v>0</v>
          </cell>
          <cell r="G20">
            <v>0</v>
          </cell>
          <cell r="H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</row>
        <row r="21">
          <cell r="F21">
            <v>0</v>
          </cell>
          <cell r="G21">
            <v>0</v>
          </cell>
          <cell r="H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</row>
        <row r="22">
          <cell r="F22">
            <v>0</v>
          </cell>
          <cell r="G22">
            <v>0</v>
          </cell>
          <cell r="H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</row>
        <row r="23">
          <cell r="F23">
            <v>0</v>
          </cell>
          <cell r="G23">
            <v>0</v>
          </cell>
          <cell r="H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</row>
        <row r="24">
          <cell r="F24">
            <v>0</v>
          </cell>
          <cell r="G24">
            <v>0</v>
          </cell>
          <cell r="H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</row>
        <row r="25">
          <cell r="F25">
            <v>0</v>
          </cell>
          <cell r="G25">
            <v>0</v>
          </cell>
          <cell r="H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</row>
        <row r="26">
          <cell r="F26">
            <v>0</v>
          </cell>
          <cell r="G26">
            <v>0</v>
          </cell>
          <cell r="H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</row>
        <row r="27">
          <cell r="F27">
            <v>0</v>
          </cell>
          <cell r="G27">
            <v>0</v>
          </cell>
          <cell r="H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</row>
        <row r="28">
          <cell r="F28">
            <v>0</v>
          </cell>
          <cell r="G28">
            <v>0</v>
          </cell>
          <cell r="H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</row>
        <row r="29">
          <cell r="F29">
            <v>0</v>
          </cell>
          <cell r="G29">
            <v>0</v>
          </cell>
          <cell r="H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</row>
        <row r="30">
          <cell r="F30">
            <v>0</v>
          </cell>
          <cell r="G30">
            <v>0</v>
          </cell>
          <cell r="H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</row>
        <row r="31">
          <cell r="F31">
            <v>0</v>
          </cell>
          <cell r="G31">
            <v>0</v>
          </cell>
          <cell r="H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</row>
        <row r="32">
          <cell r="F32">
            <v>0</v>
          </cell>
          <cell r="G32">
            <v>0</v>
          </cell>
          <cell r="H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</row>
        <row r="33">
          <cell r="F33">
            <v>0</v>
          </cell>
          <cell r="G33">
            <v>0</v>
          </cell>
          <cell r="H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</row>
        <row r="34">
          <cell r="F34">
            <v>0</v>
          </cell>
          <cell r="G34">
            <v>0</v>
          </cell>
          <cell r="H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</row>
        <row r="35">
          <cell r="F35">
            <v>0</v>
          </cell>
          <cell r="G35">
            <v>0</v>
          </cell>
          <cell r="H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</row>
        <row r="36">
          <cell r="F36">
            <v>0</v>
          </cell>
          <cell r="G36">
            <v>0</v>
          </cell>
          <cell r="H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</row>
        <row r="37">
          <cell r="F37">
            <v>0</v>
          </cell>
          <cell r="G37">
            <v>0</v>
          </cell>
          <cell r="H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</row>
        <row r="38">
          <cell r="F38">
            <v>0</v>
          </cell>
          <cell r="G38">
            <v>0</v>
          </cell>
          <cell r="H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</row>
        <row r="39">
          <cell r="F39">
            <v>0</v>
          </cell>
          <cell r="G39">
            <v>0</v>
          </cell>
          <cell r="H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</row>
        <row r="40">
          <cell r="F40">
            <v>0</v>
          </cell>
          <cell r="G40">
            <v>0</v>
          </cell>
          <cell r="H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</row>
        <row r="41">
          <cell r="F41">
            <v>0</v>
          </cell>
          <cell r="G41">
            <v>0</v>
          </cell>
          <cell r="H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</row>
        <row r="42">
          <cell r="F42">
            <v>0</v>
          </cell>
          <cell r="G42">
            <v>0</v>
          </cell>
          <cell r="H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</row>
        <row r="43">
          <cell r="F43">
            <v>0</v>
          </cell>
          <cell r="G43">
            <v>0</v>
          </cell>
          <cell r="H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</row>
        <row r="44">
          <cell r="F44">
            <v>0</v>
          </cell>
          <cell r="G44">
            <v>0</v>
          </cell>
          <cell r="H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</row>
        <row r="45">
          <cell r="F45">
            <v>0</v>
          </cell>
          <cell r="G45">
            <v>0</v>
          </cell>
          <cell r="H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</row>
        <row r="46">
          <cell r="F46">
            <v>0</v>
          </cell>
          <cell r="G46">
            <v>0</v>
          </cell>
          <cell r="H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</row>
        <row r="47">
          <cell r="F47">
            <v>0</v>
          </cell>
          <cell r="G47">
            <v>0</v>
          </cell>
          <cell r="H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</row>
        <row r="48">
          <cell r="F48">
            <v>0</v>
          </cell>
          <cell r="G48">
            <v>0</v>
          </cell>
          <cell r="H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</row>
        <row r="49">
          <cell r="F49">
            <v>0</v>
          </cell>
          <cell r="G49">
            <v>0</v>
          </cell>
          <cell r="H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</row>
        <row r="50">
          <cell r="F50">
            <v>0</v>
          </cell>
          <cell r="G50">
            <v>0</v>
          </cell>
          <cell r="H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</row>
        <row r="51">
          <cell r="F51">
            <v>0</v>
          </cell>
          <cell r="G51">
            <v>0</v>
          </cell>
          <cell r="H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</row>
        <row r="52">
          <cell r="F52">
            <v>0</v>
          </cell>
          <cell r="G52">
            <v>0</v>
          </cell>
          <cell r="H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</row>
        <row r="53">
          <cell r="F53">
            <v>0</v>
          </cell>
          <cell r="G53">
            <v>0</v>
          </cell>
          <cell r="H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</row>
        <row r="54">
          <cell r="F54">
            <v>0</v>
          </cell>
          <cell r="G54">
            <v>0</v>
          </cell>
          <cell r="H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</row>
      </sheetData>
      <sheetData sheetId="7">
        <row r="4">
          <cell r="F4">
            <v>7</v>
          </cell>
          <cell r="G4">
            <v>0</v>
          </cell>
          <cell r="H4">
            <v>0</v>
          </cell>
          <cell r="AW4">
            <v>40110</v>
          </cell>
          <cell r="AX4">
            <v>0</v>
          </cell>
          <cell r="AY4">
            <v>0</v>
          </cell>
          <cell r="AZ4">
            <v>40110</v>
          </cell>
        </row>
        <row r="5">
          <cell r="F5">
            <v>7</v>
          </cell>
          <cell r="G5">
            <v>0</v>
          </cell>
          <cell r="H5">
            <v>0</v>
          </cell>
          <cell r="AW5">
            <v>40110</v>
          </cell>
          <cell r="AX5">
            <v>0</v>
          </cell>
          <cell r="AY5">
            <v>0</v>
          </cell>
          <cell r="AZ5">
            <v>40110</v>
          </cell>
        </row>
        <row r="6">
          <cell r="F6">
            <v>8</v>
          </cell>
          <cell r="G6">
            <v>0</v>
          </cell>
          <cell r="H6">
            <v>0</v>
          </cell>
          <cell r="AW6">
            <v>45840</v>
          </cell>
          <cell r="AX6">
            <v>0</v>
          </cell>
          <cell r="AY6">
            <v>0</v>
          </cell>
          <cell r="AZ6">
            <v>45840</v>
          </cell>
        </row>
        <row r="7">
          <cell r="F7">
            <v>8</v>
          </cell>
          <cell r="G7">
            <v>0</v>
          </cell>
          <cell r="H7">
            <v>0</v>
          </cell>
          <cell r="AW7">
            <v>44400</v>
          </cell>
          <cell r="AX7">
            <v>0</v>
          </cell>
          <cell r="AY7">
            <v>0</v>
          </cell>
          <cell r="AZ7">
            <v>44400</v>
          </cell>
        </row>
        <row r="8">
          <cell r="F8">
            <v>8</v>
          </cell>
          <cell r="G8">
            <v>0</v>
          </cell>
          <cell r="H8">
            <v>0</v>
          </cell>
          <cell r="AW8">
            <v>44400</v>
          </cell>
          <cell r="AX8">
            <v>0</v>
          </cell>
          <cell r="AY8">
            <v>0</v>
          </cell>
          <cell r="AZ8">
            <v>44400</v>
          </cell>
        </row>
        <row r="9">
          <cell r="F9">
            <v>8</v>
          </cell>
          <cell r="G9">
            <v>0</v>
          </cell>
          <cell r="H9">
            <v>0</v>
          </cell>
          <cell r="AW9">
            <v>46200</v>
          </cell>
          <cell r="AX9">
            <v>0</v>
          </cell>
          <cell r="AY9">
            <v>0</v>
          </cell>
          <cell r="AZ9">
            <v>46200</v>
          </cell>
        </row>
        <row r="10">
          <cell r="F10">
            <v>8</v>
          </cell>
          <cell r="G10">
            <v>0</v>
          </cell>
          <cell r="H10">
            <v>0</v>
          </cell>
          <cell r="AW10">
            <v>44400</v>
          </cell>
          <cell r="AX10">
            <v>0</v>
          </cell>
          <cell r="AY10">
            <v>0</v>
          </cell>
          <cell r="AZ10">
            <v>44400</v>
          </cell>
        </row>
        <row r="11">
          <cell r="F11">
            <v>8</v>
          </cell>
          <cell r="G11">
            <v>0</v>
          </cell>
          <cell r="H11">
            <v>0</v>
          </cell>
          <cell r="AW11">
            <v>44760</v>
          </cell>
          <cell r="AX11">
            <v>0</v>
          </cell>
          <cell r="AY11">
            <v>0</v>
          </cell>
          <cell r="AZ11">
            <v>44760</v>
          </cell>
        </row>
        <row r="12">
          <cell r="F12">
            <v>8</v>
          </cell>
          <cell r="G12">
            <v>0</v>
          </cell>
          <cell r="H12">
            <v>0</v>
          </cell>
          <cell r="AW12">
            <v>45120</v>
          </cell>
          <cell r="AX12">
            <v>0</v>
          </cell>
          <cell r="AY12">
            <v>0</v>
          </cell>
          <cell r="AZ12">
            <v>45120</v>
          </cell>
        </row>
        <row r="13">
          <cell r="F13">
            <v>8</v>
          </cell>
          <cell r="G13">
            <v>0</v>
          </cell>
          <cell r="H13">
            <v>0</v>
          </cell>
          <cell r="AW13">
            <v>44760</v>
          </cell>
          <cell r="AX13">
            <v>0</v>
          </cell>
          <cell r="AY13">
            <v>0</v>
          </cell>
          <cell r="AZ13">
            <v>44760</v>
          </cell>
        </row>
        <row r="14">
          <cell r="F14">
            <v>8</v>
          </cell>
          <cell r="G14">
            <v>0</v>
          </cell>
          <cell r="H14">
            <v>0</v>
          </cell>
          <cell r="AW14">
            <v>45120</v>
          </cell>
          <cell r="AX14">
            <v>0</v>
          </cell>
          <cell r="AY14">
            <v>0</v>
          </cell>
          <cell r="AZ14">
            <v>45120</v>
          </cell>
        </row>
        <row r="15">
          <cell r="F15">
            <v>8</v>
          </cell>
          <cell r="G15">
            <v>0</v>
          </cell>
          <cell r="H15">
            <v>0</v>
          </cell>
          <cell r="AW15">
            <v>46560</v>
          </cell>
          <cell r="AX15">
            <v>0</v>
          </cell>
          <cell r="AY15">
            <v>0</v>
          </cell>
          <cell r="AZ15">
            <v>46560</v>
          </cell>
        </row>
        <row r="16">
          <cell r="F16">
            <v>8</v>
          </cell>
          <cell r="G16">
            <v>0</v>
          </cell>
          <cell r="H16">
            <v>0</v>
          </cell>
          <cell r="AW16">
            <v>45120</v>
          </cell>
          <cell r="AX16">
            <v>0</v>
          </cell>
          <cell r="AY16">
            <v>0</v>
          </cell>
          <cell r="AZ16">
            <v>45120</v>
          </cell>
        </row>
        <row r="17">
          <cell r="F17">
            <v>8</v>
          </cell>
          <cell r="G17">
            <v>0</v>
          </cell>
          <cell r="H17">
            <v>0</v>
          </cell>
          <cell r="AW17">
            <v>44760</v>
          </cell>
          <cell r="AX17">
            <v>0</v>
          </cell>
          <cell r="AY17">
            <v>0</v>
          </cell>
          <cell r="AZ17">
            <v>44760</v>
          </cell>
        </row>
        <row r="18">
          <cell r="F18">
            <v>8</v>
          </cell>
          <cell r="G18">
            <v>0</v>
          </cell>
          <cell r="H18">
            <v>0</v>
          </cell>
          <cell r="AW18">
            <v>46920</v>
          </cell>
          <cell r="AX18">
            <v>0</v>
          </cell>
          <cell r="AY18">
            <v>0</v>
          </cell>
          <cell r="AZ18">
            <v>46920</v>
          </cell>
        </row>
        <row r="19">
          <cell r="F19">
            <v>8</v>
          </cell>
          <cell r="G19">
            <v>0</v>
          </cell>
          <cell r="H19">
            <v>0</v>
          </cell>
          <cell r="AW19">
            <v>46200</v>
          </cell>
          <cell r="AX19">
            <v>0</v>
          </cell>
          <cell r="AY19">
            <v>0</v>
          </cell>
          <cell r="AZ19">
            <v>46200</v>
          </cell>
        </row>
        <row r="20">
          <cell r="F20">
            <v>8</v>
          </cell>
          <cell r="G20">
            <v>0</v>
          </cell>
          <cell r="H20">
            <v>0</v>
          </cell>
          <cell r="AW20">
            <v>46200</v>
          </cell>
          <cell r="AX20">
            <v>0</v>
          </cell>
          <cell r="AY20">
            <v>0</v>
          </cell>
          <cell r="AZ20">
            <v>46200</v>
          </cell>
        </row>
        <row r="21">
          <cell r="F21">
            <v>8</v>
          </cell>
          <cell r="G21">
            <v>0</v>
          </cell>
          <cell r="H21">
            <v>0</v>
          </cell>
          <cell r="AW21">
            <v>45840</v>
          </cell>
          <cell r="AX21">
            <v>0</v>
          </cell>
          <cell r="AY21">
            <v>0</v>
          </cell>
          <cell r="AZ21">
            <v>45840</v>
          </cell>
        </row>
        <row r="22">
          <cell r="F22">
            <v>8</v>
          </cell>
          <cell r="G22">
            <v>0</v>
          </cell>
          <cell r="H22">
            <v>0</v>
          </cell>
          <cell r="AW22">
            <v>45120</v>
          </cell>
          <cell r="AX22">
            <v>0</v>
          </cell>
          <cell r="AY22">
            <v>0</v>
          </cell>
          <cell r="AZ22">
            <v>45120</v>
          </cell>
        </row>
        <row r="23">
          <cell r="F23">
            <v>7</v>
          </cell>
          <cell r="G23">
            <v>0</v>
          </cell>
          <cell r="H23">
            <v>0</v>
          </cell>
          <cell r="AW23">
            <v>39165</v>
          </cell>
          <cell r="AX23">
            <v>0</v>
          </cell>
          <cell r="AY23">
            <v>0</v>
          </cell>
          <cell r="AZ23">
            <v>39165</v>
          </cell>
        </row>
        <row r="24">
          <cell r="F24">
            <v>7</v>
          </cell>
          <cell r="G24">
            <v>0</v>
          </cell>
          <cell r="H24">
            <v>0</v>
          </cell>
          <cell r="AW24">
            <v>39165</v>
          </cell>
          <cell r="AX24">
            <v>0</v>
          </cell>
          <cell r="AY24">
            <v>0</v>
          </cell>
          <cell r="AZ24">
            <v>39165</v>
          </cell>
        </row>
        <row r="25">
          <cell r="F25">
            <v>7</v>
          </cell>
          <cell r="G25">
            <v>0</v>
          </cell>
          <cell r="H25">
            <v>0</v>
          </cell>
          <cell r="AW25">
            <v>41370</v>
          </cell>
          <cell r="AX25">
            <v>0</v>
          </cell>
          <cell r="AY25">
            <v>0</v>
          </cell>
          <cell r="AZ25">
            <v>41370</v>
          </cell>
        </row>
        <row r="26">
          <cell r="F26">
            <v>7</v>
          </cell>
          <cell r="G26">
            <v>0</v>
          </cell>
          <cell r="H26">
            <v>0</v>
          </cell>
          <cell r="AW26">
            <v>39795</v>
          </cell>
          <cell r="AX26">
            <v>0</v>
          </cell>
          <cell r="AY26">
            <v>0</v>
          </cell>
          <cell r="AZ26">
            <v>39795</v>
          </cell>
        </row>
        <row r="27">
          <cell r="F27">
            <v>7</v>
          </cell>
          <cell r="G27">
            <v>0</v>
          </cell>
          <cell r="H27">
            <v>0</v>
          </cell>
          <cell r="AW27">
            <v>38850</v>
          </cell>
          <cell r="AX27">
            <v>0</v>
          </cell>
          <cell r="AY27">
            <v>0</v>
          </cell>
          <cell r="AZ27">
            <v>38850</v>
          </cell>
        </row>
        <row r="28">
          <cell r="F28">
            <v>7</v>
          </cell>
          <cell r="G28">
            <v>0</v>
          </cell>
          <cell r="H28">
            <v>0</v>
          </cell>
          <cell r="AW28">
            <v>38850</v>
          </cell>
          <cell r="AX28">
            <v>0</v>
          </cell>
          <cell r="AY28">
            <v>0</v>
          </cell>
          <cell r="AZ28">
            <v>38850</v>
          </cell>
        </row>
        <row r="29">
          <cell r="F29">
            <v>7</v>
          </cell>
          <cell r="G29">
            <v>0</v>
          </cell>
          <cell r="H29">
            <v>0</v>
          </cell>
          <cell r="AW29">
            <v>40740</v>
          </cell>
          <cell r="AX29">
            <v>0</v>
          </cell>
          <cell r="AY29">
            <v>0</v>
          </cell>
          <cell r="AZ29">
            <v>40740</v>
          </cell>
        </row>
        <row r="30">
          <cell r="F30">
            <v>6</v>
          </cell>
          <cell r="G30">
            <v>0</v>
          </cell>
          <cell r="H30">
            <v>0</v>
          </cell>
          <cell r="AW30">
            <v>34650</v>
          </cell>
          <cell r="AX30">
            <v>0</v>
          </cell>
          <cell r="AY30">
            <v>0</v>
          </cell>
          <cell r="AZ30">
            <v>34650</v>
          </cell>
        </row>
        <row r="31">
          <cell r="F31">
            <v>6</v>
          </cell>
          <cell r="G31">
            <v>0</v>
          </cell>
          <cell r="H31">
            <v>0</v>
          </cell>
          <cell r="AW31">
            <v>35190</v>
          </cell>
          <cell r="AX31">
            <v>0</v>
          </cell>
          <cell r="AY31">
            <v>0</v>
          </cell>
          <cell r="AZ31">
            <v>35190</v>
          </cell>
        </row>
        <row r="32">
          <cell r="F32">
            <v>6</v>
          </cell>
          <cell r="G32">
            <v>0</v>
          </cell>
          <cell r="H32">
            <v>0</v>
          </cell>
          <cell r="AW32">
            <v>34650</v>
          </cell>
          <cell r="AX32">
            <v>0</v>
          </cell>
          <cell r="AY32">
            <v>0</v>
          </cell>
          <cell r="AZ32">
            <v>34650</v>
          </cell>
        </row>
        <row r="33">
          <cell r="F33">
            <v>6</v>
          </cell>
          <cell r="G33">
            <v>0</v>
          </cell>
          <cell r="H33">
            <v>0</v>
          </cell>
          <cell r="AW33">
            <v>34650</v>
          </cell>
          <cell r="AX33">
            <v>0</v>
          </cell>
          <cell r="AY33">
            <v>0</v>
          </cell>
          <cell r="AZ33">
            <v>34650</v>
          </cell>
        </row>
        <row r="34">
          <cell r="F34">
            <v>6</v>
          </cell>
          <cell r="G34">
            <v>0</v>
          </cell>
          <cell r="H34">
            <v>0</v>
          </cell>
          <cell r="AW34">
            <v>35460</v>
          </cell>
          <cell r="AX34">
            <v>0</v>
          </cell>
          <cell r="AY34">
            <v>0</v>
          </cell>
          <cell r="AZ34">
            <v>35460</v>
          </cell>
        </row>
        <row r="35">
          <cell r="F35">
            <v>5</v>
          </cell>
          <cell r="G35">
            <v>0</v>
          </cell>
          <cell r="H35">
            <v>0</v>
          </cell>
          <cell r="AW35">
            <v>27975</v>
          </cell>
          <cell r="AX35">
            <v>0</v>
          </cell>
          <cell r="AY35">
            <v>0</v>
          </cell>
          <cell r="AZ35">
            <v>27975</v>
          </cell>
        </row>
        <row r="36">
          <cell r="F36">
            <v>5</v>
          </cell>
          <cell r="G36">
            <v>0</v>
          </cell>
          <cell r="H36">
            <v>0</v>
          </cell>
          <cell r="AW36">
            <v>29550</v>
          </cell>
          <cell r="AX36">
            <v>0</v>
          </cell>
          <cell r="AY36">
            <v>0</v>
          </cell>
          <cell r="AZ36">
            <v>29550</v>
          </cell>
        </row>
        <row r="37">
          <cell r="F37">
            <v>5</v>
          </cell>
          <cell r="G37">
            <v>0</v>
          </cell>
          <cell r="H37">
            <v>0</v>
          </cell>
          <cell r="AW37">
            <v>27750</v>
          </cell>
          <cell r="AX37">
            <v>0</v>
          </cell>
          <cell r="AY37">
            <v>0</v>
          </cell>
          <cell r="AZ37">
            <v>27750</v>
          </cell>
        </row>
        <row r="38">
          <cell r="F38">
            <v>5</v>
          </cell>
          <cell r="G38">
            <v>0</v>
          </cell>
          <cell r="H38">
            <v>0</v>
          </cell>
          <cell r="AW38">
            <v>28200</v>
          </cell>
          <cell r="AX38">
            <v>0</v>
          </cell>
          <cell r="AY38">
            <v>0</v>
          </cell>
          <cell r="AZ38">
            <v>28200</v>
          </cell>
        </row>
        <row r="39">
          <cell r="F39">
            <v>5</v>
          </cell>
          <cell r="G39">
            <v>0</v>
          </cell>
          <cell r="H39">
            <v>0</v>
          </cell>
          <cell r="AW39">
            <v>27975</v>
          </cell>
          <cell r="AX39">
            <v>0</v>
          </cell>
          <cell r="AY39">
            <v>0</v>
          </cell>
          <cell r="AZ39">
            <v>27975</v>
          </cell>
        </row>
        <row r="40">
          <cell r="F40">
            <v>5</v>
          </cell>
          <cell r="G40">
            <v>0</v>
          </cell>
          <cell r="H40">
            <v>0</v>
          </cell>
          <cell r="AW40">
            <v>27975</v>
          </cell>
          <cell r="AX40">
            <v>0</v>
          </cell>
          <cell r="AY40">
            <v>0</v>
          </cell>
          <cell r="AZ40">
            <v>27975</v>
          </cell>
        </row>
        <row r="41">
          <cell r="F41">
            <v>4</v>
          </cell>
          <cell r="G41">
            <v>0</v>
          </cell>
          <cell r="H41">
            <v>0</v>
          </cell>
          <cell r="AW41">
            <v>23460</v>
          </cell>
          <cell r="AX41">
            <v>0</v>
          </cell>
          <cell r="AY41">
            <v>0</v>
          </cell>
          <cell r="AZ41">
            <v>23460</v>
          </cell>
        </row>
        <row r="42">
          <cell r="F42">
            <v>4</v>
          </cell>
          <cell r="G42">
            <v>0</v>
          </cell>
          <cell r="H42">
            <v>0</v>
          </cell>
          <cell r="AW42">
            <v>22380</v>
          </cell>
          <cell r="AX42">
            <v>0</v>
          </cell>
          <cell r="AY42">
            <v>0</v>
          </cell>
          <cell r="AZ42">
            <v>22380</v>
          </cell>
        </row>
        <row r="43">
          <cell r="F43">
            <v>4</v>
          </cell>
          <cell r="G43">
            <v>0</v>
          </cell>
          <cell r="H43">
            <v>0</v>
          </cell>
          <cell r="AW43">
            <v>23640</v>
          </cell>
          <cell r="AX43">
            <v>0</v>
          </cell>
          <cell r="AY43">
            <v>0</v>
          </cell>
          <cell r="AZ43">
            <v>23640</v>
          </cell>
        </row>
        <row r="44">
          <cell r="F44">
            <v>4</v>
          </cell>
          <cell r="G44">
            <v>0</v>
          </cell>
          <cell r="H44">
            <v>0</v>
          </cell>
          <cell r="AW44">
            <v>22200</v>
          </cell>
          <cell r="AX44">
            <v>0</v>
          </cell>
          <cell r="AY44">
            <v>0</v>
          </cell>
          <cell r="AZ44">
            <v>22200</v>
          </cell>
        </row>
        <row r="45">
          <cell r="F45">
            <v>4</v>
          </cell>
          <cell r="G45">
            <v>0</v>
          </cell>
          <cell r="H45">
            <v>0</v>
          </cell>
          <cell r="AW45">
            <v>22740</v>
          </cell>
          <cell r="AX45">
            <v>0</v>
          </cell>
          <cell r="AY45">
            <v>0</v>
          </cell>
          <cell r="AZ45">
            <v>22740</v>
          </cell>
        </row>
        <row r="46">
          <cell r="F46">
            <v>3</v>
          </cell>
          <cell r="G46">
            <v>0</v>
          </cell>
          <cell r="H46">
            <v>0</v>
          </cell>
          <cell r="AW46">
            <v>17325</v>
          </cell>
          <cell r="AX46">
            <v>0</v>
          </cell>
          <cell r="AY46">
            <v>0</v>
          </cell>
          <cell r="AZ46">
            <v>17325</v>
          </cell>
        </row>
        <row r="47">
          <cell r="F47">
            <v>3</v>
          </cell>
          <cell r="G47">
            <v>0</v>
          </cell>
          <cell r="H47">
            <v>0</v>
          </cell>
          <cell r="AW47">
            <v>16650</v>
          </cell>
          <cell r="AX47">
            <v>0</v>
          </cell>
          <cell r="AY47">
            <v>0</v>
          </cell>
          <cell r="AZ47">
            <v>16650</v>
          </cell>
        </row>
        <row r="48">
          <cell r="F48">
            <v>3</v>
          </cell>
          <cell r="G48">
            <v>0</v>
          </cell>
          <cell r="H48">
            <v>0</v>
          </cell>
          <cell r="AW48">
            <v>17055</v>
          </cell>
          <cell r="AX48">
            <v>0</v>
          </cell>
          <cell r="AY48">
            <v>0</v>
          </cell>
          <cell r="AZ48">
            <v>17055</v>
          </cell>
        </row>
        <row r="49">
          <cell r="F49">
            <v>3</v>
          </cell>
          <cell r="G49">
            <v>0</v>
          </cell>
          <cell r="H49">
            <v>0</v>
          </cell>
          <cell r="AW49">
            <v>17190</v>
          </cell>
          <cell r="AX49">
            <v>0</v>
          </cell>
          <cell r="AY49">
            <v>0</v>
          </cell>
          <cell r="AZ49">
            <v>17190</v>
          </cell>
        </row>
        <row r="50">
          <cell r="F50">
            <v>3</v>
          </cell>
          <cell r="G50">
            <v>0</v>
          </cell>
          <cell r="H50">
            <v>0</v>
          </cell>
          <cell r="AW50">
            <v>17460</v>
          </cell>
          <cell r="AX50">
            <v>0</v>
          </cell>
          <cell r="AY50">
            <v>0</v>
          </cell>
          <cell r="AZ50">
            <v>17460</v>
          </cell>
        </row>
        <row r="51">
          <cell r="F51">
            <v>2</v>
          </cell>
          <cell r="G51">
            <v>0</v>
          </cell>
          <cell r="H51">
            <v>0</v>
          </cell>
          <cell r="AW51">
            <v>11280</v>
          </cell>
          <cell r="AX51">
            <v>0</v>
          </cell>
          <cell r="AY51">
            <v>0</v>
          </cell>
          <cell r="AZ51">
            <v>11280</v>
          </cell>
        </row>
        <row r="52">
          <cell r="F52">
            <v>2</v>
          </cell>
          <cell r="G52">
            <v>0</v>
          </cell>
          <cell r="H52">
            <v>0</v>
          </cell>
          <cell r="AW52">
            <v>11640</v>
          </cell>
          <cell r="AX52">
            <v>0</v>
          </cell>
          <cell r="AY52">
            <v>0</v>
          </cell>
          <cell r="AZ52">
            <v>11640</v>
          </cell>
        </row>
        <row r="53">
          <cell r="F53">
            <v>2</v>
          </cell>
          <cell r="G53">
            <v>0</v>
          </cell>
          <cell r="H53">
            <v>0</v>
          </cell>
          <cell r="AW53">
            <v>11460</v>
          </cell>
          <cell r="AX53">
            <v>0</v>
          </cell>
          <cell r="AY53">
            <v>0</v>
          </cell>
          <cell r="AZ53">
            <v>11460</v>
          </cell>
        </row>
        <row r="54">
          <cell r="F54">
            <v>2</v>
          </cell>
          <cell r="G54">
            <v>0</v>
          </cell>
          <cell r="H54">
            <v>0</v>
          </cell>
          <cell r="AW54">
            <v>11100</v>
          </cell>
          <cell r="AX54">
            <v>0</v>
          </cell>
          <cell r="AY54">
            <v>0</v>
          </cell>
          <cell r="AZ54">
            <v>11100</v>
          </cell>
        </row>
      </sheetData>
      <sheetData sheetId="8">
        <row r="4">
          <cell r="AF4">
            <v>0.216</v>
          </cell>
          <cell r="AG4">
            <v>0.13500000000000001</v>
          </cell>
          <cell r="AH4">
            <v>0</v>
          </cell>
          <cell r="AI4">
            <v>5.4</v>
          </cell>
        </row>
        <row r="5">
          <cell r="AF5">
            <v>0.66167999006875711</v>
          </cell>
          <cell r="AG5">
            <v>0.14050499979309911</v>
          </cell>
          <cell r="AH5">
            <v>0</v>
          </cell>
          <cell r="AI5">
            <v>6.7709999586198215</v>
          </cell>
        </row>
        <row r="6">
          <cell r="AF6">
            <v>1.1420680245967039</v>
          </cell>
          <cell r="AG6">
            <v>0.14712503383955763</v>
          </cell>
          <cell r="AH6">
            <v>0</v>
          </cell>
          <cell r="AI6">
            <v>8.2609367708081418</v>
          </cell>
        </row>
        <row r="7">
          <cell r="AF7">
            <v>1.649779461650912</v>
          </cell>
          <cell r="AG7">
            <v>0.1547161894604128</v>
          </cell>
          <cell r="AH7">
            <v>0</v>
          </cell>
          <cell r="AI7">
            <v>9.8358244209357046</v>
          </cell>
        </row>
        <row r="8">
          <cell r="AF8">
            <v>2.1821369261221664</v>
          </cell>
          <cell r="AG8">
            <v>0.16322770861348185</v>
          </cell>
          <cell r="AH8">
            <v>0</v>
          </cell>
          <cell r="AI8">
            <v>11.482842946218421</v>
          </cell>
        </row>
        <row r="9">
          <cell r="AF9">
            <v>2.7376772290606088</v>
          </cell>
          <cell r="AG9">
            <v>0.17263230482394765</v>
          </cell>
          <cell r="AH9">
            <v>0</v>
          </cell>
          <cell r="AI9">
            <v>13.194844145370634</v>
          </cell>
        </row>
        <row r="10">
          <cell r="AF10">
            <v>3.3154139495214769</v>
          </cell>
          <cell r="AG10">
            <v>0.18291161389182303</v>
          </cell>
          <cell r="AH10">
            <v>0</v>
          </cell>
          <cell r="AI10">
            <v>14.967015373352341</v>
          </cell>
        </row>
        <row r="11">
          <cell r="AF11">
            <v>3.9146369284650362</v>
          </cell>
          <cell r="AG11">
            <v>0.19405234497329435</v>
          </cell>
          <cell r="AH11">
            <v>0</v>
          </cell>
          <cell r="AI11">
            <v>16.795929735662309</v>
          </cell>
        </row>
        <row r="12">
          <cell r="AF12">
            <v>4.5348764189331421</v>
          </cell>
          <cell r="AG12">
            <v>0.20604572683609568</v>
          </cell>
          <cell r="AH12">
            <v>0</v>
          </cell>
          <cell r="AI12">
            <v>18.679327204496115</v>
          </cell>
        </row>
        <row r="13">
          <cell r="AF13">
            <v>5.1759161203972432</v>
          </cell>
          <cell r="AG13">
            <v>0.21888794433518133</v>
          </cell>
          <cell r="AH13">
            <v>0</v>
          </cell>
          <cell r="AI13">
            <v>20.616112344880214</v>
          </cell>
        </row>
        <row r="14">
          <cell r="AF14">
            <v>5.8377553833343869</v>
          </cell>
          <cell r="AG14">
            <v>0.23257951913347966</v>
          </cell>
          <cell r="AH14">
            <v>0</v>
          </cell>
          <cell r="AI14">
            <v>22.606143736062936</v>
          </cell>
        </row>
        <row r="15">
          <cell r="AF15">
            <v>6.5206045338341738</v>
          </cell>
          <cell r="AG15">
            <v>0.24712535175738881</v>
          </cell>
          <cell r="AH15">
            <v>0</v>
          </cell>
          <cell r="AI15">
            <v>24.650173002039352</v>
          </cell>
        </row>
        <row r="16">
          <cell r="AF16">
            <v>7.2248294509664861</v>
          </cell>
          <cell r="AG16">
            <v>0.26253369931221643</v>
          </cell>
          <cell r="AH16">
            <v>0</v>
          </cell>
          <cell r="AI16">
            <v>26.749577323345267</v>
          </cell>
        </row>
        <row r="17">
          <cell r="AF17">
            <v>7.9509172868240654</v>
          </cell>
          <cell r="AG17">
            <v>0.27881555506025762</v>
          </cell>
          <cell r="AH17">
            <v>0</v>
          </cell>
          <cell r="AI17">
            <v>28.906192936492282</v>
          </cell>
        </row>
        <row r="18">
          <cell r="AF18">
            <v>8.6994493441015628</v>
          </cell>
          <cell r="AG18">
            <v>0.29598415287692781</v>
          </cell>
          <cell r="AH18">
            <v>0</v>
          </cell>
          <cell r="AI18">
            <v>31.122186536538639</v>
          </cell>
        </row>
        <row r="19">
          <cell r="AF19">
            <v>9.4710619556972429</v>
          </cell>
          <cell r="AG19">
            <v>0.31405420271232365</v>
          </cell>
          <cell r="AH19">
            <v>0</v>
          </cell>
          <cell r="AI19">
            <v>33.399882767225506</v>
          </cell>
        </row>
        <row r="20">
          <cell r="AF20">
            <v>10.26643570720092</v>
          </cell>
          <cell r="AG20">
            <v>0.33304169056523542</v>
          </cell>
          <cell r="AH20">
            <v>0</v>
          </cell>
          <cell r="AI20">
            <v>35.741717277359257</v>
          </cell>
        </row>
        <row r="21">
          <cell r="AF21">
            <v>11.086268149208731</v>
          </cell>
          <cell r="AG21">
            <v>0.35296332702410893</v>
          </cell>
          <cell r="AH21">
            <v>0</v>
          </cell>
          <cell r="AI21">
            <v>38.150122984789455</v>
          </cell>
        </row>
        <row r="22">
          <cell r="AF22">
            <v>11.931289452109157</v>
          </cell>
          <cell r="AG22">
            <v>0.37383687287698875</v>
          </cell>
          <cell r="AH22">
            <v>0</v>
          </cell>
          <cell r="AI22">
            <v>40.627599819031133</v>
          </cell>
        </row>
        <row r="23">
          <cell r="AF23">
            <v>12.802232069944708</v>
          </cell>
          <cell r="AG23">
            <v>0.39568051637738949</v>
          </cell>
          <cell r="AH23">
            <v>0</v>
          </cell>
          <cell r="AI23">
            <v>43.176589774470109</v>
          </cell>
        </row>
        <row r="24">
          <cell r="AF24">
            <v>13.699829481524784</v>
          </cell>
          <cell r="AG24">
            <v>0.41851283704808362</v>
          </cell>
          <cell r="AH24">
            <v>0</v>
          </cell>
          <cell r="AI24">
            <v>45.799478029426261</v>
          </cell>
        </row>
        <row r="25">
          <cell r="AF25">
            <v>14.624833778952349</v>
          </cell>
          <cell r="AG25">
            <v>0.44235316165162136</v>
          </cell>
          <cell r="AH25">
            <v>0</v>
          </cell>
          <cell r="AI25">
            <v>48.49867216947969</v>
          </cell>
        </row>
        <row r="26">
          <cell r="AF26">
            <v>15.577989309650576</v>
          </cell>
          <cell r="AG26">
            <v>0.46722101591530957</v>
          </cell>
          <cell r="AH26">
            <v>0</v>
          </cell>
          <cell r="AI26">
            <v>51.276494775179096</v>
          </cell>
        </row>
        <row r="27">
          <cell r="AF27">
            <v>16.560041226376118</v>
          </cell>
          <cell r="AG27">
            <v>0.49313628700669565</v>
          </cell>
          <cell r="AH27">
            <v>0</v>
          </cell>
          <cell r="AI27">
            <v>54.135225611430258</v>
          </cell>
        </row>
        <row r="28">
          <cell r="AF28">
            <v>17.571746079283546</v>
          </cell>
          <cell r="AG28">
            <v>0.52011943436503649</v>
          </cell>
          <cell r="AH28">
            <v>0</v>
          </cell>
          <cell r="AI28">
            <v>57.077150243995575</v>
          </cell>
        </row>
        <row r="29">
          <cell r="AF29">
            <v>18.613862748395412</v>
          </cell>
          <cell r="AG29">
            <v>0.54819129787302034</v>
          </cell>
          <cell r="AH29">
            <v>0</v>
          </cell>
          <cell r="AI29">
            <v>60.104524527382999</v>
          </cell>
        </row>
        <row r="30">
          <cell r="AF30">
            <v>19.687130304734158</v>
          </cell>
          <cell r="AG30">
            <v>0.57737262812938117</v>
          </cell>
          <cell r="AH30">
            <v>0</v>
          </cell>
          <cell r="AI30">
            <v>63.219485913155005</v>
          </cell>
        </row>
        <row r="31">
          <cell r="AF31">
            <v>20.792324478109879</v>
          </cell>
          <cell r="AG31">
            <v>0.60768524077841168</v>
          </cell>
          <cell r="AH31">
            <v>0</v>
          </cell>
          <cell r="AI31">
            <v>66.424295620421873</v>
          </cell>
        </row>
        <row r="32">
          <cell r="AF32">
            <v>21.930201662179286</v>
          </cell>
          <cell r="AG32">
            <v>0.63915086382080921</v>
          </cell>
          <cell r="AH32">
            <v>0</v>
          </cell>
          <cell r="AI32">
            <v>69.721102111529689</v>
          </cell>
        </row>
        <row r="33">
          <cell r="AF33">
            <v>23.1015220141275</v>
          </cell>
          <cell r="AG33">
            <v>0.67179159731616356</v>
          </cell>
          <cell r="AH33">
            <v>0</v>
          </cell>
          <cell r="AI33">
            <v>73.112043782372453</v>
          </cell>
        </row>
        <row r="34">
          <cell r="AF34">
            <v>24.307076674120985</v>
          </cell>
          <cell r="AG34">
            <v>0.70563047399753553</v>
          </cell>
          <cell r="AH34">
            <v>0</v>
          </cell>
          <cell r="AI34">
            <v>76.59936432430662</v>
          </cell>
        </row>
        <row r="35">
          <cell r="AF35">
            <v>25.547623136853503</v>
          </cell>
          <cell r="AG35">
            <v>0.74069012359385489</v>
          </cell>
          <cell r="AH35">
            <v>0</v>
          </cell>
          <cell r="AI35">
            <v>80.185140655125039</v>
          </cell>
        </row>
        <row r="36">
          <cell r="AF36">
            <v>26.823966678059527</v>
          </cell>
          <cell r="AG36">
            <v>0.77699443924889822</v>
          </cell>
          <cell r="AH36">
            <v>0</v>
          </cell>
          <cell r="AI36">
            <v>83.871630462184356</v>
          </cell>
        </row>
        <row r="37">
          <cell r="AF37">
            <v>28.136892285889353</v>
          </cell>
          <cell r="AG37">
            <v>0.81456718124879379</v>
          </cell>
          <cell r="AH37">
            <v>0</v>
          </cell>
          <cell r="AI37">
            <v>87.660982451438414</v>
          </cell>
        </row>
        <row r="38">
          <cell r="AF38">
            <v>29.487192784341108</v>
          </cell>
          <cell r="AG38">
            <v>0.85343254155310333</v>
          </cell>
          <cell r="AH38">
            <v>0</v>
          </cell>
          <cell r="AI38">
            <v>91.555359354649255</v>
          </cell>
        </row>
        <row r="39">
          <cell r="AF39">
            <v>30.875701411818778</v>
          </cell>
          <cell r="AG39">
            <v>0.89361581935938805</v>
          </cell>
          <cell r="AH39">
            <v>0</v>
          </cell>
          <cell r="AI39">
            <v>95.557074229759891</v>
          </cell>
        </row>
        <row r="40">
          <cell r="AF40">
            <v>32.303230408099758</v>
          </cell>
          <cell r="AG40">
            <v>0.93514215896590025</v>
          </cell>
          <cell r="AH40">
            <v>0</v>
          </cell>
          <cell r="AI40">
            <v>99.668329644242689</v>
          </cell>
        </row>
        <row r="41">
          <cell r="AF41">
            <v>33.770602349106639</v>
          </cell>
          <cell r="AG41">
            <v>0.97803718097802461</v>
          </cell>
          <cell r="AH41">
            <v>0</v>
          </cell>
          <cell r="AI41">
            <v>103.89135403603872</v>
          </cell>
        </row>
        <row r="42">
          <cell r="AF42">
            <v>35.278668552276415</v>
          </cell>
          <cell r="AG42">
            <v>1.0223273643844375</v>
          </cell>
          <cell r="AH42">
            <v>0</v>
          </cell>
          <cell r="AI42">
            <v>108.22847839958555</v>
          </cell>
        </row>
        <row r="43">
          <cell r="AF43">
            <v>36.82829348730521</v>
          </cell>
          <cell r="AG43">
            <v>1.0680397319563499</v>
          </cell>
          <cell r="AH43">
            <v>0</v>
          </cell>
          <cell r="AI43">
            <v>112.68206826031613</v>
          </cell>
        </row>
        <row r="44">
          <cell r="AF44">
            <v>38.420336739299387</v>
          </cell>
          <cell r="AG44">
            <v>1.1152014746066696</v>
          </cell>
          <cell r="AH44">
            <v>0</v>
          </cell>
          <cell r="AI44">
            <v>117.25444835608656</v>
          </cell>
        </row>
        <row r="45">
          <cell r="AF45">
            <v>40.055690782454178</v>
          </cell>
          <cell r="AG45">
            <v>1.1638407271916518</v>
          </cell>
          <cell r="AH45">
            <v>0</v>
          </cell>
          <cell r="AI45">
            <v>121.9480628851144</v>
          </cell>
        </row>
        <row r="46">
          <cell r="AF46">
            <v>41.735263508612199</v>
          </cell>
          <cell r="AG46">
            <v>1.2139862173155953</v>
          </cell>
          <cell r="AH46">
            <v>0</v>
          </cell>
          <cell r="AI46">
            <v>126.76539898454159</v>
          </cell>
        </row>
        <row r="47">
          <cell r="AF47">
            <v>43.459958175076984</v>
          </cell>
          <cell r="AG47">
            <v>1.2656668490665759</v>
          </cell>
          <cell r="AH47">
            <v>0</v>
          </cell>
          <cell r="AI47">
            <v>131.70890274017711</v>
          </cell>
        </row>
        <row r="48">
          <cell r="AF48">
            <v>45.230714930237511</v>
          </cell>
          <cell r="AG48">
            <v>1.3189125570459359</v>
          </cell>
          <cell r="AH48">
            <v>0</v>
          </cell>
          <cell r="AI48">
            <v>136.78115515643086</v>
          </cell>
        </row>
        <row r="49">
          <cell r="AF49">
            <v>47.048491302934103</v>
          </cell>
          <cell r="AG49">
            <v>1.3737539150952007</v>
          </cell>
          <cell r="AH49">
            <v>0</v>
          </cell>
          <cell r="AI49">
            <v>141.98478659291629</v>
          </cell>
        </row>
        <row r="50">
          <cell r="AF50">
            <v>48.914239968652794</v>
          </cell>
          <cell r="AG50">
            <v>1.4302216756401513</v>
          </cell>
          <cell r="AH50">
            <v>0</v>
          </cell>
          <cell r="AI50">
            <v>147.3223835331861</v>
          </cell>
        </row>
        <row r="51">
          <cell r="AF51">
            <v>50.828954225867619</v>
          </cell>
          <cell r="AG51">
            <v>1.4883477056904051</v>
          </cell>
          <cell r="AH51">
            <v>0</v>
          </cell>
          <cell r="AI51">
            <v>152.79668124375914</v>
          </cell>
        </row>
        <row r="52">
          <cell r="AF52">
            <v>52.793646249815652</v>
          </cell>
          <cell r="AG52">
            <v>1.5481645511342783</v>
          </cell>
          <cell r="AH52">
            <v>0</v>
          </cell>
          <cell r="AI52">
            <v>158.4104684423003</v>
          </cell>
        </row>
        <row r="53">
          <cell r="AF53">
            <v>54.809347430300832</v>
          </cell>
          <cell r="AG53">
            <v>1.6097054470059609</v>
          </cell>
          <cell r="AH53">
            <v>0</v>
          </cell>
          <cell r="AI53">
            <v>164.16658807921249</v>
          </cell>
        </row>
        <row r="54">
          <cell r="AF54">
            <v>56.877082823350641</v>
          </cell>
          <cell r="AG54">
            <v>1.673003788572196</v>
          </cell>
          <cell r="AH54">
            <v>0</v>
          </cell>
          <cell r="AI54">
            <v>170.06783026657402</v>
          </cell>
        </row>
      </sheetData>
      <sheetData sheetId="9" refreshError="1"/>
      <sheetData sheetId="10">
        <row r="4">
          <cell r="B4">
            <v>18825000</v>
          </cell>
          <cell r="C4">
            <v>75032500</v>
          </cell>
          <cell r="D4">
            <v>36316800</v>
          </cell>
        </row>
        <row r="5">
          <cell r="B5">
            <v>22935000</v>
          </cell>
          <cell r="C5">
            <v>80200000</v>
          </cell>
          <cell r="D5">
            <v>36627600</v>
          </cell>
        </row>
        <row r="6">
          <cell r="B6">
            <v>27172500</v>
          </cell>
          <cell r="C6">
            <v>84660000</v>
          </cell>
          <cell r="D6">
            <v>36909600</v>
          </cell>
        </row>
        <row r="7">
          <cell r="B7">
            <v>31650000</v>
          </cell>
          <cell r="C7">
            <v>88745000</v>
          </cell>
          <cell r="D7">
            <v>37108800</v>
          </cell>
        </row>
        <row r="8">
          <cell r="B8">
            <v>36367500</v>
          </cell>
          <cell r="C8">
            <v>92527500</v>
          </cell>
          <cell r="D8">
            <v>37203600</v>
          </cell>
        </row>
        <row r="9">
          <cell r="B9">
            <v>41295000</v>
          </cell>
          <cell r="C9">
            <v>96025000</v>
          </cell>
          <cell r="D9">
            <v>37189200</v>
          </cell>
        </row>
        <row r="10">
          <cell r="B10">
            <v>46417500</v>
          </cell>
          <cell r="C10">
            <v>99262500</v>
          </cell>
          <cell r="D10">
            <v>37071600</v>
          </cell>
        </row>
        <row r="11">
          <cell r="B11">
            <v>51720000</v>
          </cell>
          <cell r="C11">
            <v>102262500</v>
          </cell>
          <cell r="D11">
            <v>36864000</v>
          </cell>
        </row>
        <row r="12">
          <cell r="B12">
            <v>57180000</v>
          </cell>
          <cell r="C12">
            <v>105055000</v>
          </cell>
          <cell r="D12">
            <v>36584400</v>
          </cell>
        </row>
        <row r="13">
          <cell r="B13">
            <v>62790000</v>
          </cell>
          <cell r="C13">
            <v>107670000</v>
          </cell>
          <cell r="D13">
            <v>36248400</v>
          </cell>
        </row>
        <row r="14">
          <cell r="B14">
            <v>68527500</v>
          </cell>
          <cell r="C14">
            <v>110132500</v>
          </cell>
          <cell r="D14">
            <v>35870400</v>
          </cell>
        </row>
        <row r="15">
          <cell r="B15">
            <v>74385000</v>
          </cell>
          <cell r="C15">
            <v>112460000</v>
          </cell>
          <cell r="D15">
            <v>35460000</v>
          </cell>
        </row>
        <row r="16">
          <cell r="B16">
            <v>80347500</v>
          </cell>
          <cell r="C16">
            <v>114667500</v>
          </cell>
          <cell r="D16">
            <v>35024400</v>
          </cell>
        </row>
        <row r="17">
          <cell r="B17">
            <v>86400000</v>
          </cell>
          <cell r="C17">
            <v>116767500</v>
          </cell>
          <cell r="D17">
            <v>34568400</v>
          </cell>
        </row>
        <row r="18">
          <cell r="B18">
            <v>92520000</v>
          </cell>
          <cell r="C18">
            <v>118762500</v>
          </cell>
          <cell r="D18">
            <v>34095600</v>
          </cell>
        </row>
        <row r="19">
          <cell r="B19">
            <v>98707500</v>
          </cell>
          <cell r="C19">
            <v>120660000</v>
          </cell>
          <cell r="D19">
            <v>33608400</v>
          </cell>
        </row>
        <row r="20">
          <cell r="B20">
            <v>104932500</v>
          </cell>
          <cell r="C20">
            <v>122462500</v>
          </cell>
          <cell r="D20">
            <v>33110400</v>
          </cell>
        </row>
        <row r="21">
          <cell r="B21">
            <v>111187500</v>
          </cell>
          <cell r="C21">
            <v>124170000</v>
          </cell>
          <cell r="D21">
            <v>32600400</v>
          </cell>
        </row>
        <row r="22">
          <cell r="B22">
            <v>117450000</v>
          </cell>
          <cell r="C22">
            <v>125790000</v>
          </cell>
          <cell r="D22">
            <v>32080800</v>
          </cell>
        </row>
        <row r="23">
          <cell r="B23">
            <v>123712500</v>
          </cell>
          <cell r="C23">
            <v>127320000</v>
          </cell>
          <cell r="D23">
            <v>31554000</v>
          </cell>
        </row>
        <row r="24">
          <cell r="B24">
            <v>129952500</v>
          </cell>
          <cell r="C24">
            <v>128765000</v>
          </cell>
          <cell r="D24">
            <v>31020000</v>
          </cell>
        </row>
        <row r="25">
          <cell r="B25">
            <v>136170000</v>
          </cell>
          <cell r="C25">
            <v>130127500</v>
          </cell>
          <cell r="D25">
            <v>30482400</v>
          </cell>
        </row>
        <row r="26">
          <cell r="B26">
            <v>142342500</v>
          </cell>
          <cell r="C26">
            <v>131410000</v>
          </cell>
          <cell r="D26">
            <v>29938800</v>
          </cell>
        </row>
        <row r="27">
          <cell r="B27">
            <v>148470000</v>
          </cell>
          <cell r="C27">
            <v>132615000</v>
          </cell>
          <cell r="D27">
            <v>29392800</v>
          </cell>
        </row>
        <row r="28">
          <cell r="B28">
            <v>154537500</v>
          </cell>
          <cell r="C28">
            <v>133750000</v>
          </cell>
          <cell r="D28">
            <v>28845600</v>
          </cell>
        </row>
        <row r="29">
          <cell r="B29">
            <v>160545000</v>
          </cell>
          <cell r="C29">
            <v>134815000</v>
          </cell>
          <cell r="D29">
            <v>28297200</v>
          </cell>
        </row>
        <row r="30">
          <cell r="B30">
            <v>166357500</v>
          </cell>
          <cell r="C30">
            <v>135782500</v>
          </cell>
          <cell r="D30">
            <v>27783600</v>
          </cell>
        </row>
        <row r="31">
          <cell r="B31">
            <v>172087500</v>
          </cell>
          <cell r="C31">
            <v>136687500</v>
          </cell>
          <cell r="D31">
            <v>27273600</v>
          </cell>
        </row>
        <row r="32">
          <cell r="B32">
            <v>177720000</v>
          </cell>
          <cell r="C32">
            <v>137535000</v>
          </cell>
          <cell r="D32">
            <v>26769600</v>
          </cell>
        </row>
        <row r="33">
          <cell r="B33">
            <v>183262500</v>
          </cell>
          <cell r="C33">
            <v>138330000</v>
          </cell>
          <cell r="D33">
            <v>26269200</v>
          </cell>
        </row>
        <row r="34">
          <cell r="B34">
            <v>188700000</v>
          </cell>
          <cell r="C34">
            <v>139077500</v>
          </cell>
          <cell r="D34">
            <v>25777200</v>
          </cell>
        </row>
        <row r="35">
          <cell r="B35">
            <v>194047500</v>
          </cell>
          <cell r="C35">
            <v>139780000</v>
          </cell>
          <cell r="D35">
            <v>25291200</v>
          </cell>
        </row>
        <row r="36">
          <cell r="B36">
            <v>199290000</v>
          </cell>
          <cell r="C36">
            <v>140440000</v>
          </cell>
          <cell r="D36">
            <v>24812400</v>
          </cell>
        </row>
        <row r="37">
          <cell r="B37">
            <v>204427500</v>
          </cell>
          <cell r="C37">
            <v>141065000</v>
          </cell>
          <cell r="D37">
            <v>24343200</v>
          </cell>
        </row>
        <row r="38">
          <cell r="B38">
            <v>209475000</v>
          </cell>
          <cell r="C38">
            <v>141657500</v>
          </cell>
          <cell r="D38">
            <v>23882400</v>
          </cell>
        </row>
        <row r="39">
          <cell r="B39">
            <v>214417500</v>
          </cell>
          <cell r="C39">
            <v>142217500</v>
          </cell>
          <cell r="D39">
            <v>23430000</v>
          </cell>
        </row>
        <row r="40">
          <cell r="B40">
            <v>219195000</v>
          </cell>
          <cell r="C40">
            <v>142740000</v>
          </cell>
          <cell r="D40">
            <v>23005200</v>
          </cell>
        </row>
        <row r="41">
          <cell r="B41">
            <v>223882500</v>
          </cell>
          <cell r="C41">
            <v>143240000</v>
          </cell>
          <cell r="D41">
            <v>22588800</v>
          </cell>
        </row>
        <row r="42">
          <cell r="B42">
            <v>228480000</v>
          </cell>
          <cell r="C42">
            <v>143717500</v>
          </cell>
          <cell r="D42">
            <v>22180800</v>
          </cell>
        </row>
        <row r="43">
          <cell r="B43">
            <v>232987500</v>
          </cell>
          <cell r="C43">
            <v>144180000</v>
          </cell>
          <cell r="D43">
            <v>21782400</v>
          </cell>
        </row>
        <row r="44">
          <cell r="B44">
            <v>237412500</v>
          </cell>
          <cell r="C44">
            <v>144630000</v>
          </cell>
          <cell r="D44">
            <v>21393600</v>
          </cell>
        </row>
        <row r="45">
          <cell r="B45">
            <v>241755000</v>
          </cell>
          <cell r="C45">
            <v>145067500</v>
          </cell>
          <cell r="D45">
            <v>21010800</v>
          </cell>
        </row>
        <row r="46">
          <cell r="B46">
            <v>246022500</v>
          </cell>
          <cell r="C46">
            <v>145495000</v>
          </cell>
          <cell r="D46">
            <v>20637600</v>
          </cell>
        </row>
        <row r="47">
          <cell r="B47">
            <v>250215000</v>
          </cell>
          <cell r="C47">
            <v>145915000</v>
          </cell>
          <cell r="D47">
            <v>20275200</v>
          </cell>
        </row>
        <row r="48">
          <cell r="B48">
            <v>254325000</v>
          </cell>
          <cell r="C48">
            <v>146327500</v>
          </cell>
          <cell r="D48">
            <v>19920000</v>
          </cell>
        </row>
        <row r="49">
          <cell r="B49">
            <v>258360000</v>
          </cell>
          <cell r="C49">
            <v>146735000</v>
          </cell>
          <cell r="D49">
            <v>19575600</v>
          </cell>
        </row>
        <row r="50">
          <cell r="B50">
            <v>262327500</v>
          </cell>
          <cell r="C50">
            <v>147137500</v>
          </cell>
          <cell r="D50">
            <v>19239600</v>
          </cell>
        </row>
        <row r="51">
          <cell r="B51">
            <v>266220000</v>
          </cell>
          <cell r="C51">
            <v>147537500</v>
          </cell>
          <cell r="D51">
            <v>18912000</v>
          </cell>
        </row>
        <row r="52">
          <cell r="B52">
            <v>270052500</v>
          </cell>
          <cell r="C52">
            <v>147937500</v>
          </cell>
          <cell r="D52">
            <v>18592800</v>
          </cell>
        </row>
        <row r="53">
          <cell r="B53">
            <v>273825000</v>
          </cell>
          <cell r="C53">
            <v>148335000</v>
          </cell>
          <cell r="D53">
            <v>18283200</v>
          </cell>
        </row>
        <row r="54">
          <cell r="B54">
            <v>277537500</v>
          </cell>
          <cell r="C54">
            <v>148732500</v>
          </cell>
          <cell r="D54">
            <v>17980800</v>
          </cell>
        </row>
      </sheetData>
      <sheetData sheetId="11" refreshError="1"/>
      <sheetData sheetId="12">
        <row r="4">
          <cell r="T4">
            <v>2510</v>
          </cell>
          <cell r="U4">
            <v>30013</v>
          </cell>
          <cell r="V4">
            <v>30264</v>
          </cell>
          <cell r="AL4">
            <v>11.994999999999999</v>
          </cell>
          <cell r="AM4">
            <v>19.12</v>
          </cell>
          <cell r="AN4">
            <v>5.7840666666666669</v>
          </cell>
          <cell r="AO4">
            <v>36.89906666666667</v>
          </cell>
        </row>
        <row r="5">
          <cell r="T5">
            <v>3058</v>
          </cell>
          <cell r="U5">
            <v>32080</v>
          </cell>
          <cell r="V5">
            <v>30523</v>
          </cell>
          <cell r="AL5">
            <v>14.285</v>
          </cell>
          <cell r="AM5">
            <v>19.982666666666667</v>
          </cell>
          <cell r="AN5">
            <v>5.7038000000000002</v>
          </cell>
          <cell r="AO5">
            <v>39.971466666666672</v>
          </cell>
        </row>
        <row r="6">
          <cell r="T6">
            <v>3623</v>
          </cell>
          <cell r="U6">
            <v>33864</v>
          </cell>
          <cell r="V6">
            <v>30758</v>
          </cell>
          <cell r="AL6">
            <v>16.618333333333332</v>
          </cell>
          <cell r="AM6">
            <v>20.707111111111111</v>
          </cell>
          <cell r="AN6">
            <v>5.6424666666666665</v>
          </cell>
          <cell r="AO6">
            <v>42.967911111111107</v>
          </cell>
        </row>
        <row r="7">
          <cell r="T7">
            <v>4220</v>
          </cell>
          <cell r="U7">
            <v>35498</v>
          </cell>
          <cell r="V7">
            <v>30924</v>
          </cell>
          <cell r="AL7">
            <v>19.031666666666666</v>
          </cell>
          <cell r="AM7">
            <v>21.342666666666666</v>
          </cell>
          <cell r="AN7">
            <v>5.577866666666667</v>
          </cell>
          <cell r="AO7">
            <v>45.952199999999998</v>
          </cell>
        </row>
        <row r="8">
          <cell r="T8">
            <v>4849</v>
          </cell>
          <cell r="U8">
            <v>37011</v>
          </cell>
          <cell r="V8">
            <v>31003</v>
          </cell>
          <cell r="AL8">
            <v>21.518333333333334</v>
          </cell>
          <cell r="AM8">
            <v>21.899333333333335</v>
          </cell>
          <cell r="AN8">
            <v>5.5034666666666663</v>
          </cell>
          <cell r="AO8">
            <v>48.921133333333337</v>
          </cell>
        </row>
        <row r="9">
          <cell r="T9">
            <v>5506</v>
          </cell>
          <cell r="U9">
            <v>38410</v>
          </cell>
          <cell r="V9">
            <v>30991</v>
          </cell>
          <cell r="AL9">
            <v>24.063333333333333</v>
          </cell>
          <cell r="AM9">
            <v>22.381555555555554</v>
          </cell>
          <cell r="AN9">
            <v>5.4175333333333331</v>
          </cell>
          <cell r="AO9">
            <v>51.862422222222214</v>
          </cell>
        </row>
        <row r="10">
          <cell r="T10">
            <v>6189</v>
          </cell>
          <cell r="U10">
            <v>39705</v>
          </cell>
          <cell r="V10">
            <v>30893</v>
          </cell>
          <cell r="AL10">
            <v>26.651666666666667</v>
          </cell>
          <cell r="AM10">
            <v>22.795777777777779</v>
          </cell>
          <cell r="AN10">
            <v>5.3208666666666664</v>
          </cell>
          <cell r="AO10">
            <v>54.76831111111111</v>
          </cell>
        </row>
        <row r="11">
          <cell r="T11">
            <v>6896</v>
          </cell>
          <cell r="U11">
            <v>40905</v>
          </cell>
          <cell r="V11">
            <v>30720</v>
          </cell>
          <cell r="AL11">
            <v>29.273333333333333</v>
          </cell>
          <cell r="AM11">
            <v>23.15088888888889</v>
          </cell>
          <cell r="AN11">
            <v>5.2158666666666669</v>
          </cell>
          <cell r="AO11">
            <v>57.640088888888897</v>
          </cell>
        </row>
        <row r="12">
          <cell r="T12">
            <v>7624</v>
          </cell>
          <cell r="U12">
            <v>42022</v>
          </cell>
          <cell r="V12">
            <v>30487</v>
          </cell>
          <cell r="AL12">
            <v>31.92</v>
          </cell>
          <cell r="AM12">
            <v>23.456888888888887</v>
          </cell>
          <cell r="AN12">
            <v>5.1053333333333333</v>
          </cell>
          <cell r="AO12">
            <v>60.482222222222219</v>
          </cell>
        </row>
        <row r="13">
          <cell r="T13">
            <v>8372</v>
          </cell>
          <cell r="U13">
            <v>43068</v>
          </cell>
          <cell r="V13">
            <v>30207</v>
          </cell>
          <cell r="AL13">
            <v>34.586666666666666</v>
          </cell>
          <cell r="AM13">
            <v>23.723555555555556</v>
          </cell>
          <cell r="AN13">
            <v>4.9917999999999996</v>
          </cell>
          <cell r="AO13">
            <v>63.30202222222222</v>
          </cell>
        </row>
        <row r="14">
          <cell r="T14">
            <v>9137</v>
          </cell>
          <cell r="U14">
            <v>44053</v>
          </cell>
          <cell r="V14">
            <v>29892</v>
          </cell>
          <cell r="AL14">
            <v>37.271666666666668</v>
          </cell>
          <cell r="AM14">
            <v>23.959555555555557</v>
          </cell>
          <cell r="AN14">
            <v>4.8773333333333335</v>
          </cell>
          <cell r="AO14">
            <v>66.108555555555569</v>
          </cell>
        </row>
        <row r="15">
          <cell r="T15">
            <v>9918</v>
          </cell>
          <cell r="U15">
            <v>44984</v>
          </cell>
          <cell r="V15">
            <v>29550</v>
          </cell>
          <cell r="AL15">
            <v>39.968333333333334</v>
          </cell>
          <cell r="AM15">
            <v>24.171111111111109</v>
          </cell>
          <cell r="AN15">
            <v>4.7633999999999999</v>
          </cell>
          <cell r="AO15">
            <v>68.902844444444455</v>
          </cell>
        </row>
        <row r="16">
          <cell r="T16">
            <v>10713</v>
          </cell>
          <cell r="U16">
            <v>45867</v>
          </cell>
          <cell r="V16">
            <v>29187</v>
          </cell>
          <cell r="AL16">
            <v>42.678333333333335</v>
          </cell>
          <cell r="AM16">
            <v>24.363555555555557</v>
          </cell>
          <cell r="AN16">
            <v>4.6509333333333336</v>
          </cell>
          <cell r="AO16">
            <v>71.692822222222219</v>
          </cell>
        </row>
        <row r="17">
          <cell r="T17">
            <v>11520</v>
          </cell>
          <cell r="U17">
            <v>46707</v>
          </cell>
          <cell r="V17">
            <v>28807</v>
          </cell>
          <cell r="AL17">
            <v>45.393333333333331</v>
          </cell>
          <cell r="AM17">
            <v>24.540222222222223</v>
          </cell>
          <cell r="AN17">
            <v>4.5406000000000004</v>
          </cell>
          <cell r="AO17">
            <v>74.474155555555555</v>
          </cell>
        </row>
        <row r="18">
          <cell r="T18">
            <v>12336</v>
          </cell>
          <cell r="U18">
            <v>47505</v>
          </cell>
          <cell r="V18">
            <v>28413</v>
          </cell>
          <cell r="AL18">
            <v>48.115000000000002</v>
          </cell>
          <cell r="AM18">
            <v>24.704000000000001</v>
          </cell>
          <cell r="AN18">
            <v>4.432666666666667</v>
          </cell>
          <cell r="AO18">
            <v>77.251666666666665</v>
          </cell>
        </row>
        <row r="19">
          <cell r="T19">
            <v>13161</v>
          </cell>
          <cell r="U19">
            <v>48264</v>
          </cell>
          <cell r="V19">
            <v>28007</v>
          </cell>
          <cell r="AL19">
            <v>50.835000000000001</v>
          </cell>
          <cell r="AM19">
            <v>24.856666666666666</v>
          </cell>
          <cell r="AN19">
            <v>4.3272666666666666</v>
          </cell>
          <cell r="AO19">
            <v>80.018933333333337</v>
          </cell>
        </row>
        <row r="20">
          <cell r="T20">
            <v>13991</v>
          </cell>
          <cell r="U20">
            <v>48985</v>
          </cell>
          <cell r="V20">
            <v>27592</v>
          </cell>
          <cell r="AL20">
            <v>53.553333333333335</v>
          </cell>
          <cell r="AM20">
            <v>25</v>
          </cell>
          <cell r="AN20">
            <v>4.2244666666666664</v>
          </cell>
          <cell r="AO20">
            <v>82.777800000000013</v>
          </cell>
        </row>
        <row r="21">
          <cell r="T21">
            <v>14825</v>
          </cell>
          <cell r="U21">
            <v>49668</v>
          </cell>
          <cell r="V21">
            <v>27167</v>
          </cell>
          <cell r="AL21">
            <v>56.266666666666666</v>
          </cell>
          <cell r="AM21">
            <v>25.134888888888888</v>
          </cell>
          <cell r="AN21">
            <v>4.1243999999999996</v>
          </cell>
          <cell r="AO21">
            <v>85.525955555555541</v>
          </cell>
        </row>
        <row r="22">
          <cell r="T22">
            <v>15660</v>
          </cell>
          <cell r="U22">
            <v>50316</v>
          </cell>
          <cell r="V22">
            <v>26734</v>
          </cell>
          <cell r="AL22">
            <v>58.97</v>
          </cell>
          <cell r="AM22">
            <v>25.262444444444444</v>
          </cell>
          <cell r="AN22">
            <v>4.0267999999999997</v>
          </cell>
          <cell r="AO22">
            <v>88.259244444444434</v>
          </cell>
        </row>
        <row r="23">
          <cell r="T23">
            <v>16495</v>
          </cell>
          <cell r="U23">
            <v>50928</v>
          </cell>
          <cell r="V23">
            <v>26295</v>
          </cell>
          <cell r="AL23">
            <v>61.66</v>
          </cell>
          <cell r="AM23">
            <v>25.383555555555557</v>
          </cell>
          <cell r="AN23">
            <v>3.9318666666666666</v>
          </cell>
          <cell r="AO23">
            <v>90.975422222222221</v>
          </cell>
        </row>
        <row r="24">
          <cell r="T24">
            <v>17327</v>
          </cell>
          <cell r="U24">
            <v>51506</v>
          </cell>
          <cell r="V24">
            <v>25850</v>
          </cell>
          <cell r="AL24">
            <v>64.336666666666673</v>
          </cell>
          <cell r="AM24">
            <v>25.498666666666665</v>
          </cell>
          <cell r="AN24">
            <v>3.8393333333333333</v>
          </cell>
          <cell r="AO24">
            <v>93.674666666666667</v>
          </cell>
        </row>
        <row r="25">
          <cell r="T25">
            <v>18156</v>
          </cell>
          <cell r="U25">
            <v>52051</v>
          </cell>
          <cell r="V25">
            <v>25402</v>
          </cell>
          <cell r="AL25">
            <v>66.995000000000005</v>
          </cell>
          <cell r="AM25">
            <v>25.608444444444444</v>
          </cell>
          <cell r="AN25">
            <v>3.7492000000000001</v>
          </cell>
          <cell r="AO25">
            <v>96.352644444444451</v>
          </cell>
        </row>
        <row r="26">
          <cell r="T26">
            <v>18979</v>
          </cell>
          <cell r="U26">
            <v>52564</v>
          </cell>
          <cell r="V26">
            <v>24949</v>
          </cell>
          <cell r="AL26">
            <v>69.635000000000005</v>
          </cell>
          <cell r="AM26">
            <v>25.713777777777779</v>
          </cell>
          <cell r="AN26">
            <v>3.6614666666666666</v>
          </cell>
          <cell r="AO26">
            <v>99.010244444444453</v>
          </cell>
        </row>
        <row r="27">
          <cell r="T27">
            <v>19796</v>
          </cell>
          <cell r="U27">
            <v>53046</v>
          </cell>
          <cell r="V27">
            <v>24494</v>
          </cell>
          <cell r="AL27">
            <v>72.25333333333333</v>
          </cell>
          <cell r="AM27">
            <v>25.814666666666668</v>
          </cell>
          <cell r="AN27">
            <v>3.5760000000000001</v>
          </cell>
          <cell r="AO27">
            <v>101.64399999999999</v>
          </cell>
        </row>
        <row r="28">
          <cell r="T28">
            <v>20605</v>
          </cell>
          <cell r="U28">
            <v>53500</v>
          </cell>
          <cell r="V28">
            <v>24038</v>
          </cell>
          <cell r="AL28">
            <v>74.849999999999994</v>
          </cell>
          <cell r="AM28">
            <v>25.911777777777779</v>
          </cell>
          <cell r="AN28">
            <v>3.4927333333333332</v>
          </cell>
          <cell r="AO28">
            <v>104.25451111111111</v>
          </cell>
        </row>
        <row r="29">
          <cell r="T29">
            <v>21406</v>
          </cell>
          <cell r="U29">
            <v>53926</v>
          </cell>
          <cell r="V29">
            <v>23581</v>
          </cell>
          <cell r="AL29">
            <v>77.421666666666667</v>
          </cell>
          <cell r="AM29">
            <v>26.005555555555556</v>
          </cell>
          <cell r="AN29">
            <v>3.4115333333333333</v>
          </cell>
          <cell r="AO29">
            <v>106.83875555555557</v>
          </cell>
        </row>
        <row r="30">
          <cell r="T30">
            <v>22181</v>
          </cell>
          <cell r="U30">
            <v>54313</v>
          </cell>
          <cell r="V30">
            <v>23153</v>
          </cell>
          <cell r="AL30">
            <v>79.913333333333327</v>
          </cell>
          <cell r="AM30">
            <v>26.09</v>
          </cell>
          <cell r="AN30">
            <v>3.3365999999999998</v>
          </cell>
          <cell r="AO30">
            <v>109.33993333333333</v>
          </cell>
        </row>
        <row r="31">
          <cell r="T31">
            <v>22945</v>
          </cell>
          <cell r="U31">
            <v>54675</v>
          </cell>
          <cell r="V31">
            <v>22728</v>
          </cell>
          <cell r="AL31">
            <v>82.375</v>
          </cell>
          <cell r="AM31">
            <v>26.171777777777777</v>
          </cell>
          <cell r="AN31">
            <v>3.2638666666666665</v>
          </cell>
          <cell r="AO31">
            <v>111.81064444444445</v>
          </cell>
        </row>
        <row r="32">
          <cell r="T32">
            <v>23696</v>
          </cell>
          <cell r="U32">
            <v>55014</v>
          </cell>
          <cell r="V32">
            <v>22308</v>
          </cell>
          <cell r="AL32">
            <v>84.803333333333327</v>
          </cell>
          <cell r="AM32">
            <v>26.250888888888888</v>
          </cell>
          <cell r="AN32">
            <v>3.1933333333333334</v>
          </cell>
          <cell r="AO32">
            <v>114.24755555555555</v>
          </cell>
        </row>
        <row r="33">
          <cell r="T33">
            <v>24435</v>
          </cell>
          <cell r="U33">
            <v>55332</v>
          </cell>
          <cell r="V33">
            <v>21891</v>
          </cell>
          <cell r="AL33">
            <v>87.2</v>
          </cell>
          <cell r="AM33">
            <v>26.328222222222223</v>
          </cell>
          <cell r="AN33">
            <v>3.1249333333333333</v>
          </cell>
          <cell r="AO33">
            <v>116.65315555555556</v>
          </cell>
        </row>
        <row r="34">
          <cell r="T34">
            <v>25160</v>
          </cell>
          <cell r="U34">
            <v>55631</v>
          </cell>
          <cell r="V34">
            <v>21481</v>
          </cell>
          <cell r="AL34">
            <v>89.561666666666667</v>
          </cell>
          <cell r="AM34">
            <v>26.403555555555556</v>
          </cell>
          <cell r="AN34">
            <v>3.0586000000000002</v>
          </cell>
          <cell r="AO34">
            <v>119.02382222222222</v>
          </cell>
        </row>
        <row r="35">
          <cell r="T35">
            <v>25873</v>
          </cell>
          <cell r="U35">
            <v>55912</v>
          </cell>
          <cell r="V35">
            <v>21076</v>
          </cell>
          <cell r="AL35">
            <v>91.891666666666666</v>
          </cell>
          <cell r="AM35">
            <v>26.477333333333334</v>
          </cell>
          <cell r="AN35">
            <v>2.9942000000000002</v>
          </cell>
          <cell r="AO35">
            <v>121.36320000000001</v>
          </cell>
        </row>
        <row r="36">
          <cell r="T36">
            <v>26572</v>
          </cell>
          <cell r="U36">
            <v>56176</v>
          </cell>
          <cell r="V36">
            <v>20677</v>
          </cell>
          <cell r="AL36">
            <v>94.186666666666667</v>
          </cell>
          <cell r="AM36">
            <v>26.549777777777777</v>
          </cell>
          <cell r="AN36">
            <v>2.9318</v>
          </cell>
          <cell r="AO36">
            <v>123.66824444444444</v>
          </cell>
        </row>
        <row r="37">
          <cell r="T37">
            <v>27257</v>
          </cell>
          <cell r="U37">
            <v>56426</v>
          </cell>
          <cell r="V37">
            <v>20286</v>
          </cell>
          <cell r="AL37">
            <v>96.446666666666673</v>
          </cell>
          <cell r="AM37">
            <v>26.621111111111112</v>
          </cell>
          <cell r="AN37">
            <v>2.8712</v>
          </cell>
          <cell r="AO37">
            <v>125.93897777777779</v>
          </cell>
        </row>
        <row r="38">
          <cell r="T38">
            <v>27930</v>
          </cell>
          <cell r="U38">
            <v>56663</v>
          </cell>
          <cell r="V38">
            <v>19902</v>
          </cell>
          <cell r="AL38">
            <v>98.674999999999997</v>
          </cell>
          <cell r="AM38">
            <v>26.691555555555556</v>
          </cell>
          <cell r="AN38">
            <v>2.8124666666666664</v>
          </cell>
          <cell r="AO38">
            <v>128.17902222222222</v>
          </cell>
        </row>
        <row r="39">
          <cell r="T39">
            <v>28589</v>
          </cell>
          <cell r="U39">
            <v>56887</v>
          </cell>
          <cell r="V39">
            <v>19525</v>
          </cell>
          <cell r="AL39">
            <v>100.86666666666666</v>
          </cell>
          <cell r="AM39">
            <v>26.761111111111113</v>
          </cell>
          <cell r="AN39">
            <v>2.7555333333333332</v>
          </cell>
          <cell r="AO39">
            <v>130.38331111111111</v>
          </cell>
        </row>
        <row r="40">
          <cell r="T40">
            <v>29226</v>
          </cell>
          <cell r="U40">
            <v>57096</v>
          </cell>
          <cell r="V40">
            <v>19171</v>
          </cell>
          <cell r="AL40">
            <v>102.995</v>
          </cell>
          <cell r="AM40">
            <v>26.827555555555556</v>
          </cell>
          <cell r="AN40">
            <v>2.7023333333333333</v>
          </cell>
          <cell r="AO40">
            <v>132.52488888888891</v>
          </cell>
        </row>
        <row r="41">
          <cell r="T41">
            <v>29851</v>
          </cell>
          <cell r="U41">
            <v>57296</v>
          </cell>
          <cell r="V41">
            <v>18824</v>
          </cell>
          <cell r="AL41">
            <v>105.09</v>
          </cell>
          <cell r="AM41">
            <v>26.893777777777778</v>
          </cell>
          <cell r="AN41">
            <v>2.6506666666666665</v>
          </cell>
          <cell r="AO41">
            <v>134.63444444444445</v>
          </cell>
        </row>
        <row r="42">
          <cell r="T42">
            <v>30464</v>
          </cell>
          <cell r="U42">
            <v>57487</v>
          </cell>
          <cell r="V42">
            <v>18484</v>
          </cell>
          <cell r="AL42">
            <v>107.15166666666667</v>
          </cell>
          <cell r="AM42">
            <v>26.959777777777777</v>
          </cell>
          <cell r="AN42">
            <v>2.6005333333333334</v>
          </cell>
          <cell r="AO42">
            <v>136.7119777777778</v>
          </cell>
        </row>
        <row r="43">
          <cell r="T43">
            <v>31065</v>
          </cell>
          <cell r="U43">
            <v>57672</v>
          </cell>
          <cell r="V43">
            <v>18152</v>
          </cell>
          <cell r="AL43">
            <v>109.18166666666667</v>
          </cell>
          <cell r="AM43">
            <v>27.026</v>
          </cell>
          <cell r="AN43">
            <v>2.5518666666666667</v>
          </cell>
          <cell r="AO43">
            <v>138.75953333333334</v>
          </cell>
        </row>
        <row r="44">
          <cell r="T44">
            <v>31655</v>
          </cell>
          <cell r="U44">
            <v>57852</v>
          </cell>
          <cell r="V44">
            <v>17828</v>
          </cell>
          <cell r="AL44">
            <v>111.18</v>
          </cell>
          <cell r="AM44">
            <v>27.092222222222222</v>
          </cell>
          <cell r="AN44">
            <v>2.5046666666666666</v>
          </cell>
          <cell r="AO44">
            <v>140.77688888888892</v>
          </cell>
        </row>
        <row r="45">
          <cell r="T45">
            <v>32234</v>
          </cell>
          <cell r="U45">
            <v>58027</v>
          </cell>
          <cell r="V45">
            <v>17509</v>
          </cell>
          <cell r="AL45">
            <v>113.15166666666667</v>
          </cell>
          <cell r="AM45">
            <v>27.158888888888889</v>
          </cell>
          <cell r="AN45">
            <v>2.4585333333333335</v>
          </cell>
          <cell r="AO45">
            <v>142.76908888888889</v>
          </cell>
        </row>
        <row r="46">
          <cell r="T46">
            <v>32803</v>
          </cell>
          <cell r="U46">
            <v>58198</v>
          </cell>
          <cell r="V46">
            <v>17198</v>
          </cell>
          <cell r="AL46">
            <v>115.09333333333333</v>
          </cell>
          <cell r="AM46">
            <v>27.225777777777779</v>
          </cell>
          <cell r="AN46">
            <v>2.4137333333333335</v>
          </cell>
          <cell r="AO46">
            <v>144.73284444444445</v>
          </cell>
        </row>
        <row r="47">
          <cell r="T47">
            <v>33362</v>
          </cell>
          <cell r="U47">
            <v>58366</v>
          </cell>
          <cell r="V47">
            <v>16896</v>
          </cell>
          <cell r="AL47">
            <v>117.00333333333333</v>
          </cell>
          <cell r="AM47">
            <v>27.293111111111113</v>
          </cell>
          <cell r="AN47">
            <v>2.3702000000000001</v>
          </cell>
          <cell r="AO47">
            <v>146.66664444444444</v>
          </cell>
        </row>
        <row r="48">
          <cell r="T48">
            <v>33910</v>
          </cell>
          <cell r="U48">
            <v>58531</v>
          </cell>
          <cell r="V48">
            <v>16600</v>
          </cell>
          <cell r="AL48">
            <v>118.88500000000001</v>
          </cell>
          <cell r="AM48">
            <v>27.360666666666667</v>
          </cell>
          <cell r="AN48">
            <v>2.3279999999999998</v>
          </cell>
          <cell r="AO48">
            <v>148.57366666666667</v>
          </cell>
        </row>
        <row r="49">
          <cell r="T49">
            <v>34448</v>
          </cell>
          <cell r="U49">
            <v>58694</v>
          </cell>
          <cell r="V49">
            <v>16313</v>
          </cell>
          <cell r="AL49">
            <v>120.73666666666666</v>
          </cell>
          <cell r="AM49">
            <v>27.428666666666668</v>
          </cell>
          <cell r="AN49">
            <v>2.2869999999999999</v>
          </cell>
          <cell r="AO49">
            <v>150.45233333333334</v>
          </cell>
        </row>
        <row r="50">
          <cell r="T50">
            <v>34977</v>
          </cell>
          <cell r="U50">
            <v>58855</v>
          </cell>
          <cell r="V50">
            <v>16033</v>
          </cell>
          <cell r="AL50">
            <v>122.56</v>
          </cell>
          <cell r="AM50">
            <v>27.497333333333334</v>
          </cell>
          <cell r="AN50">
            <v>2.2471999999999999</v>
          </cell>
          <cell r="AO50">
            <v>152.30453333333332</v>
          </cell>
        </row>
        <row r="51">
          <cell r="T51">
            <v>35496</v>
          </cell>
          <cell r="U51">
            <v>59015</v>
          </cell>
          <cell r="V51">
            <v>15760</v>
          </cell>
          <cell r="AL51">
            <v>124.355</v>
          </cell>
          <cell r="AM51">
            <v>27.566444444444443</v>
          </cell>
          <cell r="AN51">
            <v>2.2085333333333335</v>
          </cell>
          <cell r="AO51">
            <v>154.12997777777775</v>
          </cell>
        </row>
        <row r="52">
          <cell r="T52">
            <v>36007</v>
          </cell>
          <cell r="U52">
            <v>59175</v>
          </cell>
          <cell r="V52">
            <v>15494</v>
          </cell>
          <cell r="AL52">
            <v>126.12333333333333</v>
          </cell>
          <cell r="AM52">
            <v>27.635999999999999</v>
          </cell>
          <cell r="AN52">
            <v>2.1709333333333332</v>
          </cell>
          <cell r="AO52">
            <v>155.93026666666665</v>
          </cell>
        </row>
        <row r="53">
          <cell r="T53">
            <v>36510</v>
          </cell>
          <cell r="U53">
            <v>59334</v>
          </cell>
          <cell r="V53">
            <v>15236</v>
          </cell>
          <cell r="AL53">
            <v>127.86499999999999</v>
          </cell>
          <cell r="AM53">
            <v>27.706444444444443</v>
          </cell>
          <cell r="AN53">
            <v>2.1343999999999999</v>
          </cell>
          <cell r="AO53">
            <v>157.70584444444444</v>
          </cell>
        </row>
        <row r="54">
          <cell r="T54">
            <v>37005</v>
          </cell>
          <cell r="U54">
            <v>59493</v>
          </cell>
          <cell r="V54">
            <v>14984</v>
          </cell>
          <cell r="AL54">
            <v>129.58166666666668</v>
          </cell>
          <cell r="AM54">
            <v>27.777333333333335</v>
          </cell>
          <cell r="AN54">
            <v>2.0988666666666669</v>
          </cell>
          <cell r="AO54">
            <v>159.45786666666669</v>
          </cell>
        </row>
      </sheetData>
      <sheetData sheetId="13" refreshError="1"/>
      <sheetData sheetId="14">
        <row r="3">
          <cell r="B3">
            <v>6</v>
          </cell>
        </row>
        <row r="4">
          <cell r="B4">
            <v>6.3136844867814146</v>
          </cell>
        </row>
        <row r="5">
          <cell r="B5">
            <v>6.615069228906914</v>
          </cell>
        </row>
        <row r="6">
          <cell r="B6">
            <v>6.9046365062627402</v>
          </cell>
        </row>
        <row r="7">
          <cell r="B7">
            <v>7.1828496882703092</v>
          </cell>
        </row>
        <row r="8">
          <cell r="B8">
            <v>7.4501539753761454</v>
          </cell>
        </row>
        <row r="9">
          <cell r="B9">
            <v>7.7069771114675723</v>
          </cell>
        </row>
        <row r="10">
          <cell r="B10">
            <v>7.9537300683541963</v>
          </cell>
        </row>
        <row r="11">
          <cell r="B11">
            <v>8.1908077034104725</v>
          </cell>
        </row>
        <row r="12">
          <cell r="B12">
            <v>8.4185893914317518</v>
          </cell>
        </row>
        <row r="13">
          <cell r="B13">
            <v>8.6374396317148854</v>
          </cell>
        </row>
        <row r="14">
          <cell r="B14">
            <v>8.8477086313348678</v>
          </cell>
        </row>
        <row r="15">
          <cell r="B15">
            <v>9.0497328655508724</v>
          </cell>
        </row>
        <row r="16">
          <cell r="B16">
            <v>9.2438356162384459</v>
          </cell>
        </row>
        <row r="17">
          <cell r="B17">
            <v>9.4303274892094819</v>
          </cell>
        </row>
        <row r="18">
          <cell r="B18">
            <v>9.609506911247788</v>
          </cell>
        </row>
        <row r="19">
          <cell r="B19">
            <v>9.7816606076556116</v>
          </cell>
        </row>
        <row r="20">
          <cell r="B20">
            <v>9.9470640610752845</v>
          </cell>
        </row>
        <row r="21">
          <cell r="B21">
            <v>10.105981952320226</v>
          </cell>
        </row>
        <row r="22">
          <cell r="B22">
            <v>10.258668583920727</v>
          </cell>
        </row>
        <row r="23">
          <cell r="B23">
            <v>10.405368287062227</v>
          </cell>
        </row>
        <row r="24">
          <cell r="B24">
            <v>10.546315812567363</v>
          </cell>
        </row>
        <row r="25">
          <cell r="B25">
            <v>10.681736706547349</v>
          </cell>
        </row>
        <row r="26">
          <cell r="B26">
            <v>10.811847671323887</v>
          </cell>
        </row>
        <row r="27">
          <cell r="B27">
            <v>10.936856912199104</v>
          </cell>
        </row>
        <row r="28">
          <cell r="B28">
            <v>11.056964470628461</v>
          </cell>
        </row>
        <row r="29">
          <cell r="B29">
            <v>11.172362544329758</v>
          </cell>
        </row>
        <row r="30">
          <cell r="B30">
            <v>11.283235794840486</v>
          </cell>
        </row>
        <row r="31">
          <cell r="B31">
            <v>11.389761643015685</v>
          </cell>
        </row>
        <row r="32">
          <cell r="B32">
            <v>11.492110552939158</v>
          </cell>
        </row>
        <row r="33">
          <cell r="B33">
            <v>11.590446304702382</v>
          </cell>
        </row>
        <row r="34">
          <cell r="B34">
            <v>11.684926256487595</v>
          </cell>
        </row>
        <row r="35">
          <cell r="B35">
            <v>11.775701596374446</v>
          </cell>
        </row>
        <row r="36">
          <cell r="B36">
            <v>11.862917584273198</v>
          </cell>
        </row>
        <row r="37">
          <cell r="B37">
            <v>11.946713784371553</v>
          </cell>
        </row>
        <row r="38">
          <cell r="B38">
            <v>12.027224288467149</v>
          </cell>
        </row>
        <row r="39">
          <cell r="B39">
            <v>12.104577930543027</v>
          </cell>
        </row>
        <row r="40">
          <cell r="B40">
            <v>12.178898492929498</v>
          </cell>
        </row>
        <row r="41">
          <cell r="B41">
            <v>12.250304904382283</v>
          </cell>
        </row>
        <row r="42">
          <cell r="B42">
            <v>12.318911430393882</v>
          </cell>
        </row>
        <row r="43">
          <cell r="B43">
            <v>12.384827856042756</v>
          </cell>
        </row>
        <row r="44">
          <cell r="B44">
            <v>12.448159661672864</v>
          </cell>
        </row>
        <row r="45">
          <cell r="B45">
            <v>12.509008191684721</v>
          </cell>
        </row>
        <row r="46">
          <cell r="B46">
            <v>12.567470816708054</v>
          </cell>
        </row>
        <row r="47">
          <cell r="B47">
            <v>12.623641089415596</v>
          </cell>
        </row>
        <row r="48">
          <cell r="B48">
            <v>12.677608894227308</v>
          </cell>
        </row>
        <row r="49">
          <cell r="B49">
            <v>12.729460591144635</v>
          </cell>
        </row>
        <row r="50">
          <cell r="B50">
            <v>12.779279153944929</v>
          </cell>
        </row>
        <row r="51">
          <cell r="B51">
            <v>12.827144302957199</v>
          </cell>
        </row>
        <row r="52">
          <cell r="B52">
            <v>12.87313263263164</v>
          </cell>
        </row>
        <row r="53">
          <cell r="B53">
            <v>12.917317734107097</v>
          </cell>
        </row>
      </sheetData>
      <sheetData sheetId="15" refreshError="1"/>
      <sheetData sheetId="16" refreshError="1"/>
      <sheetData sheetId="17">
        <row r="2">
          <cell r="B2">
            <v>180000</v>
          </cell>
        </row>
      </sheetData>
      <sheetData sheetId="18">
        <row r="2">
          <cell r="B2">
            <v>120000</v>
          </cell>
          <cell r="R2">
            <v>1742386900</v>
          </cell>
        </row>
      </sheetData>
      <sheetData sheetId="19">
        <row r="2">
          <cell r="B2">
            <v>80000</v>
          </cell>
          <cell r="R2">
            <v>904385800</v>
          </cell>
        </row>
      </sheetData>
      <sheetData sheetId="20">
        <row r="2">
          <cell r="B2">
            <v>40000</v>
          </cell>
          <cell r="R2">
            <v>466485700</v>
          </cell>
        </row>
      </sheetData>
      <sheetData sheetId="21">
        <row r="2">
          <cell r="B2">
            <v>180000</v>
          </cell>
          <cell r="R2">
            <v>241341100</v>
          </cell>
        </row>
      </sheetData>
      <sheetData sheetId="22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62098-E28E-490A-9F10-B5B3A683A012}">
  <dimension ref="A1:BR52"/>
  <sheetViews>
    <sheetView topLeftCell="AS1" workbookViewId="0">
      <selection activeCell="R4" sqref="R4"/>
    </sheetView>
  </sheetViews>
  <sheetFormatPr defaultRowHeight="14.45"/>
  <cols>
    <col min="1" max="1" width="5" bestFit="1" customWidth="1"/>
    <col min="2" max="2" width="11.42578125" style="1" bestFit="1" customWidth="1"/>
    <col min="3" max="3" width="12.7109375" style="2" bestFit="1" customWidth="1"/>
    <col min="4" max="4" width="6.5703125" style="3" bestFit="1" customWidth="1"/>
    <col min="5" max="5" width="7.5703125" style="1" bestFit="1" customWidth="1"/>
    <col min="6" max="9" width="6.5703125" style="4" bestFit="1" customWidth="1"/>
    <col min="10" max="10" width="12.7109375" style="5" bestFit="1" customWidth="1"/>
    <col min="11" max="11" width="10.28515625" bestFit="1" customWidth="1"/>
    <col min="12" max="12" width="12" bestFit="1" customWidth="1"/>
    <col min="13" max="13" width="11.42578125" bestFit="1" customWidth="1"/>
    <col min="14" max="14" width="7" bestFit="1" customWidth="1"/>
    <col min="15" max="16" width="14.7109375" style="6" bestFit="1" customWidth="1"/>
    <col min="17" max="17" width="14.85546875" style="6" bestFit="1" customWidth="1"/>
    <col min="18" max="18" width="23" style="6" customWidth="1"/>
    <col min="19" max="19" width="8.140625" style="2" bestFit="1" customWidth="1"/>
    <col min="20" max="20" width="8.42578125" style="2" bestFit="1" customWidth="1"/>
    <col min="21" max="21" width="8.140625" style="2" bestFit="1" customWidth="1"/>
    <col min="22" max="22" width="6.7109375" style="2" bestFit="1" customWidth="1"/>
    <col min="23" max="23" width="8.140625" bestFit="1" customWidth="1"/>
    <col min="24" max="24" width="8.42578125" bestFit="1" customWidth="1"/>
    <col min="25" max="25" width="8.28515625" bestFit="1" customWidth="1"/>
    <col min="26" max="26" width="6.7109375" bestFit="1" customWidth="1"/>
    <col min="27" max="27" width="12.7109375" style="2" bestFit="1" customWidth="1"/>
    <col min="28" max="28" width="12.7109375" style="6" bestFit="1" customWidth="1"/>
    <col min="29" max="29" width="11.140625" style="6" bestFit="1" customWidth="1"/>
    <col min="30" max="30" width="8" style="6" bestFit="1" customWidth="1"/>
    <col min="31" max="31" width="12.7109375" style="6" bestFit="1" customWidth="1"/>
    <col min="32" max="32" width="6.5703125" style="3" bestFit="1" customWidth="1"/>
    <col min="33" max="33" width="8.28515625" bestFit="1" customWidth="1"/>
    <col min="34" max="34" width="8.5703125" bestFit="1" customWidth="1"/>
    <col min="35" max="35" width="8.42578125" bestFit="1" customWidth="1"/>
    <col min="36" max="36" width="6.7109375" bestFit="1" customWidth="1"/>
    <col min="37" max="37" width="12.7109375" style="2" bestFit="1" customWidth="1"/>
    <col min="38" max="38" width="12.7109375" style="6" bestFit="1" customWidth="1"/>
    <col min="39" max="39" width="10.140625" style="6" bestFit="1" customWidth="1"/>
    <col min="40" max="40" width="8.140625" style="6" bestFit="1" customWidth="1"/>
    <col min="41" max="41" width="12.7109375" style="6" bestFit="1" customWidth="1"/>
    <col min="42" max="42" width="6.7109375" style="3" bestFit="1" customWidth="1"/>
    <col min="43" max="43" width="8.28515625" bestFit="1" customWidth="1"/>
    <col min="44" max="44" width="8.7109375" bestFit="1" customWidth="1"/>
    <col min="45" max="45" width="8.5703125" bestFit="1" customWidth="1"/>
    <col min="46" max="46" width="6.85546875" bestFit="1" customWidth="1"/>
    <col min="47" max="47" width="7.28515625" style="2" bestFit="1" customWidth="1"/>
    <col min="48" max="48" width="8" style="6" bestFit="1" customWidth="1"/>
    <col min="49" max="50" width="8.28515625" style="6" bestFit="1" customWidth="1"/>
    <col min="51" max="51" width="6.5703125" style="6" bestFit="1" customWidth="1"/>
    <col min="52" max="52" width="6.7109375" style="3" bestFit="1" customWidth="1"/>
    <col min="53" max="53" width="8.7109375" bestFit="1" customWidth="1"/>
    <col min="54" max="54" width="9" bestFit="1" customWidth="1"/>
    <col min="56" max="56" width="7.28515625" bestFit="1" customWidth="1"/>
    <col min="57" max="57" width="9.140625" style="2" bestFit="1" customWidth="1"/>
    <col min="58" max="58" width="10.140625" style="6" bestFit="1" customWidth="1"/>
    <col min="59" max="59" width="8.7109375" style="6" bestFit="1" customWidth="1"/>
    <col min="60" max="60" width="8.5703125" style="6" bestFit="1" customWidth="1"/>
    <col min="61" max="61" width="10.140625" style="6" bestFit="1" customWidth="1"/>
    <col min="62" max="62" width="7.140625" style="3" bestFit="1" customWidth="1"/>
    <col min="63" max="63" width="12.7109375" style="6" bestFit="1" customWidth="1"/>
    <col min="64" max="64" width="11.140625" style="6" bestFit="1" customWidth="1"/>
    <col min="65" max="65" width="8.42578125" style="6" bestFit="1" customWidth="1"/>
    <col min="66" max="66" width="12.7109375" style="6" bestFit="1" customWidth="1"/>
    <col min="67" max="67" width="7" style="3" bestFit="1" customWidth="1"/>
    <col min="68" max="68" width="13.7109375" style="7" bestFit="1" customWidth="1"/>
    <col min="69" max="69" width="7" style="2" bestFit="1" customWidth="1"/>
    <col min="70" max="70" width="8.7109375" style="2" bestFit="1" customWidth="1"/>
  </cols>
  <sheetData>
    <row r="1" spans="1:70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t="s">
        <v>10</v>
      </c>
      <c r="L1" t="s">
        <v>11</v>
      </c>
      <c r="M1" t="s">
        <v>12</v>
      </c>
      <c r="N1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t="s">
        <v>22</v>
      </c>
      <c r="X1" t="s">
        <v>23</v>
      </c>
      <c r="Y1" t="s">
        <v>24</v>
      </c>
      <c r="Z1" t="s">
        <v>25</v>
      </c>
      <c r="AA1" s="2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3" t="s">
        <v>31</v>
      </c>
      <c r="AG1" t="s">
        <v>32</v>
      </c>
      <c r="AH1" t="s">
        <v>33</v>
      </c>
      <c r="AI1" t="s">
        <v>34</v>
      </c>
      <c r="AJ1" t="s">
        <v>35</v>
      </c>
      <c r="AK1" s="2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3" t="s">
        <v>41</v>
      </c>
      <c r="AQ1" t="s">
        <v>42</v>
      </c>
      <c r="AR1" t="s">
        <v>43</v>
      </c>
      <c r="AS1" t="s">
        <v>44</v>
      </c>
      <c r="AT1" t="s">
        <v>45</v>
      </c>
      <c r="AU1" s="2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3" t="s">
        <v>51</v>
      </c>
      <c r="BA1" t="s">
        <v>52</v>
      </c>
      <c r="BB1" t="s">
        <v>53</v>
      </c>
      <c r="BC1" t="s">
        <v>54</v>
      </c>
      <c r="BD1" t="s">
        <v>55</v>
      </c>
      <c r="BE1" s="2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3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3" t="s">
        <v>66</v>
      </c>
      <c r="BP1" s="7" t="s">
        <v>67</v>
      </c>
      <c r="BQ1" s="2" t="s">
        <v>68</v>
      </c>
      <c r="BR1" s="2" t="s">
        <v>69</v>
      </c>
    </row>
    <row r="2" spans="1:70">
      <c r="A2">
        <f>[1]GLOBAL!B1</f>
        <v>1975</v>
      </c>
      <c r="B2" s="1">
        <f>'[1]POPULAÇÃO (HAB)'!D3</f>
        <v>180000</v>
      </c>
      <c r="C2" s="2">
        <f>'[1]PIB (UT$)'!F3</f>
        <v>5732999.8758594636</v>
      </c>
      <c r="D2" s="3">
        <f>'[1]PIB (UT$)'!G3</f>
        <v>31.849999310330354</v>
      </c>
      <c r="E2" s="1">
        <f>'[1]POPULAÇÃO (HAB)'!E3</f>
        <v>108000</v>
      </c>
      <c r="F2" s="4">
        <f>[1]IDH!B3</f>
        <v>0.5228095298025347</v>
      </c>
      <c r="G2" s="4">
        <f>[1]IDH!C3</f>
        <v>0.4</v>
      </c>
      <c r="H2" s="4">
        <f>[1]IDH!D3</f>
        <v>0.91451084978141528</v>
      </c>
      <c r="I2" s="4">
        <f>[1]IDH!E3</f>
        <v>0.57614365443995263</v>
      </c>
      <c r="J2" s="5">
        <f>[1]EDUCAÇÃO!B3</f>
        <v>6</v>
      </c>
      <c r="K2">
        <f>'[1]CLASSES SOCIAIS'!T4</f>
        <v>2510</v>
      </c>
      <c r="L2">
        <f>'[1]CLASSES SOCIAIS'!U4</f>
        <v>30013</v>
      </c>
      <c r="M2">
        <f>'[1]CLASSES SOCIAIS'!V4</f>
        <v>30264</v>
      </c>
      <c r="N2">
        <f>SUM(K2:M2)</f>
        <v>62787</v>
      </c>
      <c r="O2" s="6">
        <f>'[1]CONSUMO RESIDENCIAL (kWh)'!B4</f>
        <v>18825000</v>
      </c>
      <c r="P2" s="6">
        <f>'[1]CONSUMO RESIDENCIAL (kWh)'!C4</f>
        <v>75032500</v>
      </c>
      <c r="Q2" s="6">
        <f>'[1]CONSUMO RESIDENCIAL (kWh)'!D4</f>
        <v>36316800</v>
      </c>
      <c r="R2" s="6">
        <f>Q2+P2+O2</f>
        <v>130174300</v>
      </c>
      <c r="S2" s="2">
        <f>'[1]CLASSES SOCIAIS'!AL4</f>
        <v>11.994999999999999</v>
      </c>
      <c r="T2" s="2">
        <f>'[1]CLASSES SOCIAIS'!AM4</f>
        <v>19.12</v>
      </c>
      <c r="U2" s="2">
        <f>'[1]CLASSES SOCIAIS'!AN4</f>
        <v>5.7840666666666669</v>
      </c>
      <c r="V2" s="2">
        <f>'[1]CLASSES SOCIAIS'!AO4</f>
        <v>36.89906666666667</v>
      </c>
      <c r="W2">
        <f>[1]INDÚSTRIAS!F4</f>
        <v>11</v>
      </c>
      <c r="X2">
        <f>[1]INDÚSTRIAS!G4</f>
        <v>0</v>
      </c>
      <c r="Y2">
        <f>[1]INDÚSTRIAS!H4</f>
        <v>0</v>
      </c>
      <c r="Z2">
        <f>SUM(W2:Y2)</f>
        <v>11</v>
      </c>
      <c r="AA2" s="2">
        <f>'[1]PIB (UT$)'!B3</f>
        <v>545880.56613054068</v>
      </c>
      <c r="AB2" s="6">
        <f>[1]INDÚSTRIAS!AW4</f>
        <v>269500</v>
      </c>
      <c r="AC2" s="6">
        <f>[1]INDÚSTRIAS!AX4</f>
        <v>0</v>
      </c>
      <c r="AD2" s="6">
        <f>[1]INDÚSTRIAS!AY4</f>
        <v>0</v>
      </c>
      <c r="AE2" s="6">
        <f>[1]INDÚSTRIAS!AZ4</f>
        <v>269500</v>
      </c>
      <c r="AF2" s="3">
        <f>'[1]CAPITAL (UT$)'!AF4</f>
        <v>0.216</v>
      </c>
      <c r="AG2">
        <f>[1]SERVIÇOS!F4</f>
        <v>11</v>
      </c>
      <c r="AH2">
        <f>[1]SERVIÇOS!G4</f>
        <v>0</v>
      </c>
      <c r="AI2">
        <f>[1]SERVIÇOS!H4</f>
        <v>0</v>
      </c>
      <c r="AJ2">
        <f>SUM(AG2:AI2)</f>
        <v>11</v>
      </c>
      <c r="AK2" s="2">
        <f>'[1]PIB (UT$)'!C3</f>
        <v>5120874.2611699281</v>
      </c>
      <c r="AL2" s="6">
        <f>[1]SERVIÇOS!AW4</f>
        <v>86680</v>
      </c>
      <c r="AM2" s="6">
        <f>[1]SERVIÇOS!AX4</f>
        <v>0</v>
      </c>
      <c r="AN2" s="6">
        <f>[1]SERVIÇOS!AY4</f>
        <v>0</v>
      </c>
      <c r="AO2" s="6">
        <f>[1]SERVIÇOS!AZ4</f>
        <v>86680</v>
      </c>
      <c r="AP2" s="3">
        <f>'[1]CAPITAL (UT$)'!AG4</f>
        <v>0.13500000000000001</v>
      </c>
      <c r="AQ2">
        <f>[1]MINERAÇÃO!F4</f>
        <v>0</v>
      </c>
      <c r="AR2">
        <f>[1]MINERAÇÃO!G4</f>
        <v>0</v>
      </c>
      <c r="AS2">
        <f>[1]MINERAÇÃO!H4</f>
        <v>0</v>
      </c>
      <c r="AT2">
        <f>SUM(AQ2:AS2)</f>
        <v>0</v>
      </c>
      <c r="AU2" s="2">
        <f>'[1]PIB (UT$)'!D3</f>
        <v>0</v>
      </c>
      <c r="AV2" s="6">
        <f>[1]MINERAÇÃO!AW4</f>
        <v>0</v>
      </c>
      <c r="AW2" s="6">
        <f>[1]MINERAÇÃO!AX4</f>
        <v>0</v>
      </c>
      <c r="AX2" s="6">
        <f>[1]MINERAÇÃO!AY4</f>
        <v>0</v>
      </c>
      <c r="AY2" s="6">
        <f>[1]MINERAÇÃO!AZ4</f>
        <v>0</v>
      </c>
      <c r="AZ2" s="3">
        <f>'[1]CAPITAL (UT$)'!AH4</f>
        <v>0</v>
      </c>
      <c r="BA2">
        <f>[1]AGROPECUÁRIA!F4</f>
        <v>7</v>
      </c>
      <c r="BB2">
        <f>[1]AGROPECUÁRIA!G4</f>
        <v>0</v>
      </c>
      <c r="BC2">
        <f>[1]AGROPECUÁRIA!H4</f>
        <v>0</v>
      </c>
      <c r="BD2">
        <f>SUM(BA2:BC2)</f>
        <v>7</v>
      </c>
      <c r="BE2" s="2">
        <f>'[1]PIB (UT$)'!E3</f>
        <v>66245.048558994706</v>
      </c>
      <c r="BF2" s="6">
        <f>[1]AGROPECUÁRIA!AW4</f>
        <v>40110</v>
      </c>
      <c r="BG2" s="6">
        <f>[1]AGROPECUÁRIA!AX4</f>
        <v>0</v>
      </c>
      <c r="BH2" s="6">
        <f>[1]AGROPECUÁRIA!AY4</f>
        <v>0</v>
      </c>
      <c r="BI2" s="6">
        <f>[1]AGROPECUÁRIA!AZ4</f>
        <v>40110</v>
      </c>
      <c r="BJ2" s="3">
        <f>'[1]CAPITAL (UT$)'!AI4</f>
        <v>5.4</v>
      </c>
      <c r="BK2" s="6">
        <f>AB2+AL2+AV2+BF2</f>
        <v>396290</v>
      </c>
      <c r="BL2" s="6">
        <f>AC2+AM2+AW2+BG2</f>
        <v>0</v>
      </c>
      <c r="BM2" s="6">
        <f>AD2+AN2+AX2+BH2</f>
        <v>0</v>
      </c>
      <c r="BN2" s="6">
        <f>SUM(BK2:BM2)</f>
        <v>396290</v>
      </c>
      <c r="BO2" s="3">
        <f>AF2+AP2+AZ2+BJ2</f>
        <v>5.7510000000000003</v>
      </c>
      <c r="BP2" s="7">
        <f>BN2+R2</f>
        <v>130570590</v>
      </c>
      <c r="BQ2" s="2">
        <f>(BO2+V2)*[1]GLOBAL!$C$41</f>
        <v>12.795019999999999</v>
      </c>
      <c r="BR2" s="2">
        <f>BO2+V2+BQ2</f>
        <v>55.445086666666668</v>
      </c>
    </row>
    <row r="3" spans="1:70">
      <c r="A3">
        <f>A2+1</f>
        <v>1976</v>
      </c>
      <c r="B3" s="1">
        <f>'[1]POPULAÇÃO (HAB)'!D4</f>
        <v>184052</v>
      </c>
      <c r="C3" s="2">
        <f>'[1]PIB (UT$)'!F4</f>
        <v>6501110.4241509037</v>
      </c>
      <c r="D3" s="3">
        <f>'[1]PIB (UT$)'!G4</f>
        <v>35.322139526606087</v>
      </c>
      <c r="E3" s="1">
        <f>'[1]POPULAÇÃO (HAB)'!E4</f>
        <v>110431</v>
      </c>
      <c r="F3" s="4">
        <f>[1]IDH!B4</f>
        <v>0.538056605719343</v>
      </c>
      <c r="G3" s="4">
        <f>[1]IDH!C4</f>
        <v>0.42091229911876099</v>
      </c>
      <c r="H3" s="4">
        <f>[1]IDH!D4</f>
        <v>0.95540134918424913</v>
      </c>
      <c r="I3" s="4">
        <f>[1]IDH!E4</f>
        <v>0.60034626258466395</v>
      </c>
      <c r="J3" s="5">
        <f>[1]EDUCAÇÃO!B4</f>
        <v>6.3136844867814146</v>
      </c>
      <c r="K3">
        <f>'[1]CLASSES SOCIAIS'!T5</f>
        <v>3058</v>
      </c>
      <c r="L3">
        <f>'[1]CLASSES SOCIAIS'!U5</f>
        <v>32080</v>
      </c>
      <c r="M3">
        <f>'[1]CLASSES SOCIAIS'!V5</f>
        <v>30523</v>
      </c>
      <c r="N3">
        <f t="shared" ref="N3:N52" si="0">SUM(K3:M3)</f>
        <v>65661</v>
      </c>
      <c r="O3" s="6">
        <f>'[1]CONSUMO RESIDENCIAL (kWh)'!B5</f>
        <v>22935000</v>
      </c>
      <c r="P3" s="6">
        <f>'[1]CONSUMO RESIDENCIAL (kWh)'!C5</f>
        <v>80200000</v>
      </c>
      <c r="Q3" s="6">
        <f>'[1]CONSUMO RESIDENCIAL (kWh)'!D5</f>
        <v>36627600</v>
      </c>
      <c r="R3" s="6">
        <f t="shared" ref="R3:R52" si="1">Q3+P3+O3</f>
        <v>139762600</v>
      </c>
      <c r="S3" s="2">
        <f>'[1]CLASSES SOCIAIS'!AL5</f>
        <v>14.285</v>
      </c>
      <c r="T3" s="2">
        <f>'[1]CLASSES SOCIAIS'!AM5</f>
        <v>19.982666666666667</v>
      </c>
      <c r="U3" s="2">
        <f>'[1]CLASSES SOCIAIS'!AN5</f>
        <v>5.7038000000000002</v>
      </c>
      <c r="V3" s="2">
        <f>'[1]CLASSES SOCIAIS'!AO5</f>
        <v>39.971466666666672</v>
      </c>
      <c r="W3">
        <f>[1]INDÚSTRIAS!F5</f>
        <v>19</v>
      </c>
      <c r="X3">
        <f>[1]INDÚSTRIAS!G5</f>
        <v>0</v>
      </c>
      <c r="Y3">
        <f>[1]INDÚSTRIAS!H5</f>
        <v>0</v>
      </c>
      <c r="Z3">
        <f t="shared" ref="Z3:Z52" si="2">SUM(W3:Y3)</f>
        <v>19</v>
      </c>
      <c r="AA3" s="2">
        <f>'[1]PIB (UT$)'!B4</f>
        <v>934231.67767825339</v>
      </c>
      <c r="AB3" s="6">
        <f>[1]INDÚSTRIAS!AW5</f>
        <v>456000</v>
      </c>
      <c r="AC3" s="6">
        <f>[1]INDÚSTRIAS!AX5</f>
        <v>0</v>
      </c>
      <c r="AD3" s="6">
        <f>[1]INDÚSTRIAS!AY5</f>
        <v>0</v>
      </c>
      <c r="AE3" s="6">
        <f>[1]INDÚSTRIAS!AZ5</f>
        <v>456000</v>
      </c>
      <c r="AF3" s="3">
        <f>'[1]CAPITAL (UT$)'!AF5</f>
        <v>0.66167999006875711</v>
      </c>
      <c r="AG3">
        <f>[1]SERVIÇOS!F5</f>
        <v>19</v>
      </c>
      <c r="AH3">
        <f>[1]SERVIÇOS!G5</f>
        <v>0</v>
      </c>
      <c r="AI3">
        <f>[1]SERVIÇOS!H5</f>
        <v>0</v>
      </c>
      <c r="AJ3">
        <f t="shared" ref="AJ3:AJ52" si="3">SUM(AG3:AI3)</f>
        <v>19</v>
      </c>
      <c r="AK3" s="2">
        <f>'[1]PIB (UT$)'!C4</f>
        <v>5497678.8693052195</v>
      </c>
      <c r="AL3" s="6">
        <f>[1]SERVIÇOS!AW5</f>
        <v>148960</v>
      </c>
      <c r="AM3" s="6">
        <f>[1]SERVIÇOS!AX5</f>
        <v>0</v>
      </c>
      <c r="AN3" s="6">
        <f>[1]SERVIÇOS!AY5</f>
        <v>0</v>
      </c>
      <c r="AO3" s="6">
        <f>[1]SERVIÇOS!AZ5</f>
        <v>148960</v>
      </c>
      <c r="AP3" s="3">
        <f>'[1]CAPITAL (UT$)'!AG5</f>
        <v>0.14050499979309911</v>
      </c>
      <c r="AQ3">
        <f>[1]MINERAÇÃO!F5</f>
        <v>0</v>
      </c>
      <c r="AR3">
        <f>[1]MINERAÇÃO!G5</f>
        <v>0</v>
      </c>
      <c r="AS3">
        <f>[1]MINERAÇÃO!H5</f>
        <v>0</v>
      </c>
      <c r="AT3">
        <f t="shared" ref="AT3:AT52" si="4">SUM(AQ3:AS3)</f>
        <v>0</v>
      </c>
      <c r="AU3" s="2">
        <f>'[1]PIB (UT$)'!D4</f>
        <v>0</v>
      </c>
      <c r="AV3" s="6">
        <f>[1]MINERAÇÃO!AW5</f>
        <v>0</v>
      </c>
      <c r="AW3" s="6">
        <f>[1]MINERAÇÃO!AX5</f>
        <v>0</v>
      </c>
      <c r="AX3" s="6">
        <f>[1]MINERAÇÃO!AY5</f>
        <v>0</v>
      </c>
      <c r="AY3" s="6">
        <f>[1]MINERAÇÃO!AZ5</f>
        <v>0</v>
      </c>
      <c r="AZ3" s="3">
        <f>'[1]CAPITAL (UT$)'!AH5</f>
        <v>0</v>
      </c>
      <c r="BA3">
        <f>[1]AGROPECUÁRIA!F5</f>
        <v>7</v>
      </c>
      <c r="BB3">
        <f>[1]AGROPECUÁRIA!G5</f>
        <v>0</v>
      </c>
      <c r="BC3">
        <f>[1]AGROPECUÁRIA!H5</f>
        <v>0</v>
      </c>
      <c r="BD3">
        <f t="shared" ref="BD3:BD52" si="5">SUM(BA3:BC3)</f>
        <v>7</v>
      </c>
      <c r="BE3" s="2">
        <f>'[1]PIB (UT$)'!E4</f>
        <v>69199.87716743091</v>
      </c>
      <c r="BF3" s="6">
        <f>[1]AGROPECUÁRIA!AW5</f>
        <v>40110</v>
      </c>
      <c r="BG3" s="6">
        <f>[1]AGROPECUÁRIA!AX5</f>
        <v>0</v>
      </c>
      <c r="BH3" s="6">
        <f>[1]AGROPECUÁRIA!AY5</f>
        <v>0</v>
      </c>
      <c r="BI3" s="6">
        <f>[1]AGROPECUÁRIA!AZ5</f>
        <v>40110</v>
      </c>
      <c r="BJ3" s="3">
        <f>'[1]CAPITAL (UT$)'!AI5</f>
        <v>6.7709999586198215</v>
      </c>
      <c r="BK3" s="6">
        <f t="shared" ref="BK3:BM52" si="6">AB3+AL3+AV3+BF3</f>
        <v>645070</v>
      </c>
      <c r="BL3" s="6">
        <f t="shared" si="6"/>
        <v>0</v>
      </c>
      <c r="BM3" s="6">
        <f t="shared" si="6"/>
        <v>0</v>
      </c>
      <c r="BN3" s="6">
        <f t="shared" ref="BN3:BN52" si="7">SUM(BK3:BM3)</f>
        <v>645070</v>
      </c>
      <c r="BO3" s="3">
        <f t="shared" ref="BO3:BO52" si="8">AF3+AP3+AZ3+BJ3</f>
        <v>7.5731849484816776</v>
      </c>
      <c r="BP3" s="7">
        <f t="shared" ref="BP3:BP52" si="9">BN3+R3</f>
        <v>140407670</v>
      </c>
      <c r="BQ3" s="2">
        <f>(BO3+V3)*[1]GLOBAL!$C$41</f>
        <v>14.263395484544503</v>
      </c>
      <c r="BR3" s="2">
        <f t="shared" ref="BR3:BR52" si="10">BO3+V3+BQ3</f>
        <v>61.80804709969285</v>
      </c>
    </row>
    <row r="4" spans="1:70">
      <c r="A4">
        <f t="shared" ref="A4:A52" si="11">A3+1</f>
        <v>1977</v>
      </c>
      <c r="B4" s="1">
        <f>'[1]POPULAÇÃO (HAB)'!D5</f>
        <v>187792</v>
      </c>
      <c r="C4" s="2">
        <f>'[1]PIB (UT$)'!F5</f>
        <v>7202943.9816251323</v>
      </c>
      <c r="D4" s="3">
        <f>'[1]PIB (UT$)'!G5</f>
        <v>38.355968207512205</v>
      </c>
      <c r="E4" s="1">
        <f>'[1]POPULAÇÃO (HAB)'!E5</f>
        <v>112675</v>
      </c>
      <c r="F4" s="4">
        <f>[1]IDH!B5</f>
        <v>0.55022771104598589</v>
      </c>
      <c r="G4" s="4">
        <f>[1]IDH!C5</f>
        <v>0.44100461526046092</v>
      </c>
      <c r="H4" s="4">
        <f>[1]IDH!D5</f>
        <v>0.97518535703159615</v>
      </c>
      <c r="I4" s="4">
        <f>[1]IDH!E5</f>
        <v>0.61852547049265272</v>
      </c>
      <c r="J4" s="5">
        <f>[1]EDUCAÇÃO!B5</f>
        <v>6.615069228906914</v>
      </c>
      <c r="K4">
        <f>'[1]CLASSES SOCIAIS'!T6</f>
        <v>3623</v>
      </c>
      <c r="L4">
        <f>'[1]CLASSES SOCIAIS'!U6</f>
        <v>33864</v>
      </c>
      <c r="M4">
        <f>'[1]CLASSES SOCIAIS'!V6</f>
        <v>30758</v>
      </c>
      <c r="N4">
        <f t="shared" si="0"/>
        <v>68245</v>
      </c>
      <c r="O4" s="6">
        <f>'[1]CONSUMO RESIDENCIAL (kWh)'!B6</f>
        <v>27172500</v>
      </c>
      <c r="P4" s="6">
        <f>'[1]CONSUMO RESIDENCIAL (kWh)'!C6</f>
        <v>84660000</v>
      </c>
      <c r="Q4" s="6">
        <f>'[1]CONSUMO RESIDENCIAL (kWh)'!D6</f>
        <v>36909600</v>
      </c>
      <c r="R4" s="6">
        <f t="shared" si="1"/>
        <v>148742100</v>
      </c>
      <c r="S4" s="2">
        <f>'[1]CLASSES SOCIAIS'!AL6</f>
        <v>16.618333333333332</v>
      </c>
      <c r="T4" s="2">
        <f>'[1]CLASSES SOCIAIS'!AM6</f>
        <v>20.707111111111111</v>
      </c>
      <c r="U4" s="2">
        <f>'[1]CLASSES SOCIAIS'!AN6</f>
        <v>5.6424666666666665</v>
      </c>
      <c r="V4" s="2">
        <f>'[1]CLASSES SOCIAIS'!AO6</f>
        <v>42.967911111111107</v>
      </c>
      <c r="W4">
        <f>[1]INDÚSTRIAS!F6</f>
        <v>24</v>
      </c>
      <c r="X4">
        <f>[1]INDÚSTRIAS!G6</f>
        <v>0</v>
      </c>
      <c r="Y4">
        <f>[1]INDÚSTRIAS!H6</f>
        <v>0</v>
      </c>
      <c r="Z4">
        <f t="shared" si="2"/>
        <v>24</v>
      </c>
      <c r="AA4" s="2">
        <f>'[1]PIB (UT$)'!B5</f>
        <v>1232708.7513133765</v>
      </c>
      <c r="AB4" s="6">
        <f>[1]INDÚSTRIAS!AW6</f>
        <v>585600</v>
      </c>
      <c r="AC4" s="6">
        <f>[1]INDÚSTRIAS!AX6</f>
        <v>0</v>
      </c>
      <c r="AD4" s="6">
        <f>[1]INDÚSTRIAS!AY6</f>
        <v>0</v>
      </c>
      <c r="AE4" s="6">
        <f>[1]INDÚSTRIAS!AZ6</f>
        <v>585600</v>
      </c>
      <c r="AF4" s="3">
        <f>'[1]CAPITAL (UT$)'!AF6</f>
        <v>1.1420680245967039</v>
      </c>
      <c r="AG4">
        <f>[1]SERVIÇOS!F6</f>
        <v>24</v>
      </c>
      <c r="AH4">
        <f>[1]SERVIÇOS!G6</f>
        <v>0</v>
      </c>
      <c r="AI4">
        <f>[1]SERVIÇOS!H6</f>
        <v>0</v>
      </c>
      <c r="AJ4">
        <f t="shared" si="3"/>
        <v>24</v>
      </c>
      <c r="AK4" s="2">
        <f>'[1]PIB (UT$)'!C5</f>
        <v>5898356.3264237642</v>
      </c>
      <c r="AL4" s="6">
        <f>[1]SERVIÇOS!AW6</f>
        <v>187200</v>
      </c>
      <c r="AM4" s="6">
        <f>[1]SERVIÇOS!AX6</f>
        <v>0</v>
      </c>
      <c r="AN4" s="6">
        <f>[1]SERVIÇOS!AY6</f>
        <v>0</v>
      </c>
      <c r="AO4" s="6">
        <f>[1]SERVIÇOS!AZ6</f>
        <v>187200</v>
      </c>
      <c r="AP4" s="3">
        <f>'[1]CAPITAL (UT$)'!AG6</f>
        <v>0.14712503383955763</v>
      </c>
      <c r="AQ4">
        <f>[1]MINERAÇÃO!F6</f>
        <v>0</v>
      </c>
      <c r="AR4">
        <f>[1]MINERAÇÃO!G6</f>
        <v>0</v>
      </c>
      <c r="AS4">
        <f>[1]MINERAÇÃO!H6</f>
        <v>0</v>
      </c>
      <c r="AT4">
        <f t="shared" si="4"/>
        <v>0</v>
      </c>
      <c r="AU4" s="2">
        <f>'[1]PIB (UT$)'!D5</f>
        <v>0</v>
      </c>
      <c r="AV4" s="6">
        <f>[1]MINERAÇÃO!AW6</f>
        <v>0</v>
      </c>
      <c r="AW4" s="6">
        <f>[1]MINERAÇÃO!AX6</f>
        <v>0</v>
      </c>
      <c r="AX4" s="6">
        <f>[1]MINERAÇÃO!AY6</f>
        <v>0</v>
      </c>
      <c r="AY4" s="6">
        <f>[1]MINERAÇÃO!AZ6</f>
        <v>0</v>
      </c>
      <c r="AZ4" s="3">
        <f>'[1]CAPITAL (UT$)'!AH6</f>
        <v>0</v>
      </c>
      <c r="BA4">
        <f>[1]AGROPECUÁRIA!F6</f>
        <v>8</v>
      </c>
      <c r="BB4">
        <f>[1]AGROPECUÁRIA!G6</f>
        <v>0</v>
      </c>
      <c r="BC4">
        <f>[1]AGROPECUÁRIA!H6</f>
        <v>0</v>
      </c>
      <c r="BD4">
        <f t="shared" si="5"/>
        <v>8</v>
      </c>
      <c r="BE4" s="2">
        <f>'[1]PIB (UT$)'!E5</f>
        <v>71878.903887991371</v>
      </c>
      <c r="BF4" s="6">
        <f>[1]AGROPECUÁRIA!AW6</f>
        <v>45840</v>
      </c>
      <c r="BG4" s="6">
        <f>[1]AGROPECUÁRIA!AX6</f>
        <v>0</v>
      </c>
      <c r="BH4" s="6">
        <f>[1]AGROPECUÁRIA!AY6</f>
        <v>0</v>
      </c>
      <c r="BI4" s="6">
        <f>[1]AGROPECUÁRIA!AZ6</f>
        <v>45840</v>
      </c>
      <c r="BJ4" s="3">
        <f>'[1]CAPITAL (UT$)'!AI6</f>
        <v>8.2609367708081418</v>
      </c>
      <c r="BK4" s="6">
        <f t="shared" si="6"/>
        <v>818640</v>
      </c>
      <c r="BL4" s="6">
        <f t="shared" si="6"/>
        <v>0</v>
      </c>
      <c r="BM4" s="6">
        <f t="shared" si="6"/>
        <v>0</v>
      </c>
      <c r="BN4" s="6">
        <f t="shared" si="7"/>
        <v>818640</v>
      </c>
      <c r="BO4" s="3">
        <f t="shared" si="8"/>
        <v>9.550129829244403</v>
      </c>
      <c r="BP4" s="7">
        <f t="shared" si="9"/>
        <v>149560740</v>
      </c>
      <c r="BQ4" s="2">
        <f>(BO4+V4)*[1]GLOBAL!$C$41</f>
        <v>15.755412282106652</v>
      </c>
      <c r="BR4" s="2">
        <f t="shared" si="10"/>
        <v>68.273453222462166</v>
      </c>
    </row>
    <row r="5" spans="1:70">
      <c r="A5">
        <f t="shared" si="11"/>
        <v>1978</v>
      </c>
      <c r="B5" s="1">
        <f>'[1]POPULAÇÃO (HAB)'!D6</f>
        <v>191131</v>
      </c>
      <c r="C5" s="2">
        <f>'[1]PIB (UT$)'!F6</f>
        <v>7891802.9021288622</v>
      </c>
      <c r="D5" s="3">
        <f>'[1]PIB (UT$)'!G6</f>
        <v>41.290020468311589</v>
      </c>
      <c r="E5" s="1">
        <f>'[1]POPULAÇÃO (HAB)'!E6</f>
        <v>114678</v>
      </c>
      <c r="F5" s="4">
        <f>[1]IDH!B6</f>
        <v>0.56114967701678553</v>
      </c>
      <c r="G5" s="4">
        <f>[1]IDH!C6</f>
        <v>0.46030910041751599</v>
      </c>
      <c r="H5" s="4">
        <f>[1]IDH!D6</f>
        <v>0.98604692586675047</v>
      </c>
      <c r="I5" s="4">
        <f>[1]IDH!E6</f>
        <v>0.63388229349647751</v>
      </c>
      <c r="J5" s="5">
        <f>[1]EDUCAÇÃO!B6</f>
        <v>6.9046365062627402</v>
      </c>
      <c r="K5">
        <f>'[1]CLASSES SOCIAIS'!T7</f>
        <v>4220</v>
      </c>
      <c r="L5">
        <f>'[1]CLASSES SOCIAIS'!U7</f>
        <v>35498</v>
      </c>
      <c r="M5">
        <f>'[1]CLASSES SOCIAIS'!V7</f>
        <v>30924</v>
      </c>
      <c r="N5">
        <f t="shared" si="0"/>
        <v>70642</v>
      </c>
      <c r="O5" s="6">
        <f>'[1]CONSUMO RESIDENCIAL (kWh)'!B7</f>
        <v>31650000</v>
      </c>
      <c r="P5" s="6">
        <f>'[1]CONSUMO RESIDENCIAL (kWh)'!C7</f>
        <v>88745000</v>
      </c>
      <c r="Q5" s="6">
        <f>'[1]CONSUMO RESIDENCIAL (kWh)'!D7</f>
        <v>37108800</v>
      </c>
      <c r="R5" s="6">
        <f t="shared" si="1"/>
        <v>157503800</v>
      </c>
      <c r="S5" s="2">
        <f>'[1]CLASSES SOCIAIS'!AL7</f>
        <v>19.031666666666666</v>
      </c>
      <c r="T5" s="2">
        <f>'[1]CLASSES SOCIAIS'!AM7</f>
        <v>21.342666666666666</v>
      </c>
      <c r="U5" s="2">
        <f>'[1]CLASSES SOCIAIS'!AN7</f>
        <v>5.577866666666667</v>
      </c>
      <c r="V5" s="2">
        <f>'[1]CLASSES SOCIAIS'!AO7</f>
        <v>45.952199999999998</v>
      </c>
      <c r="W5">
        <f>[1]INDÚSTRIAS!F7</f>
        <v>29</v>
      </c>
      <c r="X5">
        <f>[1]INDÚSTRIAS!G7</f>
        <v>0</v>
      </c>
      <c r="Y5">
        <f>[1]INDÚSTRIAS!H7</f>
        <v>0</v>
      </c>
      <c r="Z5">
        <f t="shared" si="2"/>
        <v>29</v>
      </c>
      <c r="AA5" s="2">
        <f>'[1]PIB (UT$)'!B6</f>
        <v>1498200.6642560023</v>
      </c>
      <c r="AB5" s="6">
        <f>[1]INDÚSTRIAS!AW7</f>
        <v>716300</v>
      </c>
      <c r="AC5" s="6">
        <f>[1]INDÚSTRIAS!AX7</f>
        <v>0</v>
      </c>
      <c r="AD5" s="6">
        <f>[1]INDÚSTRIAS!AY7</f>
        <v>0</v>
      </c>
      <c r="AE5" s="6">
        <f>[1]INDÚSTRIAS!AZ7</f>
        <v>716300</v>
      </c>
      <c r="AF5" s="3">
        <f>'[1]CAPITAL (UT$)'!AF7</f>
        <v>1.649779461650912</v>
      </c>
      <c r="AG5">
        <f>[1]SERVIÇOS!F7</f>
        <v>29</v>
      </c>
      <c r="AH5">
        <f>[1]SERVIÇOS!G7</f>
        <v>0</v>
      </c>
      <c r="AI5">
        <f>[1]SERVIÇOS!H7</f>
        <v>0</v>
      </c>
      <c r="AJ5">
        <f t="shared" si="3"/>
        <v>29</v>
      </c>
      <c r="AK5" s="2">
        <f>'[1]PIB (UT$)'!C6</f>
        <v>6319362.177429596</v>
      </c>
      <c r="AL5" s="6">
        <f>[1]SERVIÇOS!AW7</f>
        <v>222720</v>
      </c>
      <c r="AM5" s="6">
        <f>[1]SERVIÇOS!AX7</f>
        <v>0</v>
      </c>
      <c r="AN5" s="6">
        <f>[1]SERVIÇOS!AY7</f>
        <v>0</v>
      </c>
      <c r="AO5" s="6">
        <f>[1]SERVIÇOS!AZ7</f>
        <v>222720</v>
      </c>
      <c r="AP5" s="3">
        <f>'[1]CAPITAL (UT$)'!AG7</f>
        <v>0.1547161894604128</v>
      </c>
      <c r="AQ5">
        <f>[1]MINERAÇÃO!F7</f>
        <v>0</v>
      </c>
      <c r="AR5">
        <f>[1]MINERAÇÃO!G7</f>
        <v>0</v>
      </c>
      <c r="AS5">
        <f>[1]MINERAÇÃO!H7</f>
        <v>0</v>
      </c>
      <c r="AT5">
        <f t="shared" si="4"/>
        <v>0</v>
      </c>
      <c r="AU5" s="2">
        <f>'[1]PIB (UT$)'!D6</f>
        <v>0</v>
      </c>
      <c r="AV5" s="6">
        <f>[1]MINERAÇÃO!AW7</f>
        <v>0</v>
      </c>
      <c r="AW5" s="6">
        <f>[1]MINERAÇÃO!AX7</f>
        <v>0</v>
      </c>
      <c r="AX5" s="6">
        <f>[1]MINERAÇÃO!AY7</f>
        <v>0</v>
      </c>
      <c r="AY5" s="6">
        <f>[1]MINERAÇÃO!AZ7</f>
        <v>0</v>
      </c>
      <c r="AZ5" s="3">
        <f>'[1]CAPITAL (UT$)'!AH7</f>
        <v>0</v>
      </c>
      <c r="BA5">
        <f>[1]AGROPECUÁRIA!F7</f>
        <v>8</v>
      </c>
      <c r="BB5">
        <f>[1]AGROPECUÁRIA!G7</f>
        <v>0</v>
      </c>
      <c r="BC5">
        <f>[1]AGROPECUÁRIA!H7</f>
        <v>0</v>
      </c>
      <c r="BD5">
        <f t="shared" si="5"/>
        <v>8</v>
      </c>
      <c r="BE5" s="2">
        <f>'[1]PIB (UT$)'!E6</f>
        <v>74240.060443263297</v>
      </c>
      <c r="BF5" s="6">
        <f>[1]AGROPECUÁRIA!AW7</f>
        <v>44400</v>
      </c>
      <c r="BG5" s="6">
        <f>[1]AGROPECUÁRIA!AX7</f>
        <v>0</v>
      </c>
      <c r="BH5" s="6">
        <f>[1]AGROPECUÁRIA!AY7</f>
        <v>0</v>
      </c>
      <c r="BI5" s="6">
        <f>[1]AGROPECUÁRIA!AZ7</f>
        <v>44400</v>
      </c>
      <c r="BJ5" s="3">
        <f>'[1]CAPITAL (UT$)'!AI7</f>
        <v>9.8358244209357046</v>
      </c>
      <c r="BK5" s="6">
        <f t="shared" si="6"/>
        <v>983420</v>
      </c>
      <c r="BL5" s="6">
        <f t="shared" si="6"/>
        <v>0</v>
      </c>
      <c r="BM5" s="6">
        <f t="shared" si="6"/>
        <v>0</v>
      </c>
      <c r="BN5" s="6">
        <f t="shared" si="7"/>
        <v>983420</v>
      </c>
      <c r="BO5" s="3">
        <f t="shared" si="8"/>
        <v>11.640320072047029</v>
      </c>
      <c r="BP5" s="7">
        <f t="shared" si="9"/>
        <v>158487220</v>
      </c>
      <c r="BQ5" s="2">
        <f>(BO5+V5)*[1]GLOBAL!$C$41</f>
        <v>17.277756021614106</v>
      </c>
      <c r="BR5" s="2">
        <f t="shared" si="10"/>
        <v>74.870276093661133</v>
      </c>
    </row>
    <row r="6" spans="1:70">
      <c r="A6">
        <f t="shared" si="11"/>
        <v>1979</v>
      </c>
      <c r="B6" s="1">
        <f>'[1]POPULAÇÃO (HAB)'!D7</f>
        <v>194011</v>
      </c>
      <c r="C6" s="2">
        <f>'[1]PIB (UT$)'!F7</f>
        <v>8580856.4813221637</v>
      </c>
      <c r="D6" s="3">
        <f>'[1]PIB (UT$)'!G7</f>
        <v>44.228711162367929</v>
      </c>
      <c r="E6" s="1">
        <f>'[1]POPULAÇÃO (HAB)'!E7</f>
        <v>116406</v>
      </c>
      <c r="F6" s="4">
        <f>[1]IDH!B7</f>
        <v>0.5713690061645561</v>
      </c>
      <c r="G6" s="4">
        <f>[1]IDH!C7</f>
        <v>0.47885664588468729</v>
      </c>
      <c r="H6" s="4">
        <f>[1]IDH!D7</f>
        <v>0.99219954543737454</v>
      </c>
      <c r="I6" s="4">
        <f>[1]IDH!E7</f>
        <v>0.64750094580974593</v>
      </c>
      <c r="J6" s="5">
        <f>[1]EDUCAÇÃO!B7</f>
        <v>7.1828496882703092</v>
      </c>
      <c r="K6">
        <f>'[1]CLASSES SOCIAIS'!T8</f>
        <v>4849</v>
      </c>
      <c r="L6">
        <f>'[1]CLASSES SOCIAIS'!U8</f>
        <v>37011</v>
      </c>
      <c r="M6">
        <f>'[1]CLASSES SOCIAIS'!V8</f>
        <v>31003</v>
      </c>
      <c r="N6">
        <f t="shared" si="0"/>
        <v>72863</v>
      </c>
      <c r="O6" s="6">
        <f>'[1]CONSUMO RESIDENCIAL (kWh)'!B8</f>
        <v>36367500</v>
      </c>
      <c r="P6" s="6">
        <f>'[1]CONSUMO RESIDENCIAL (kWh)'!C8</f>
        <v>92527500</v>
      </c>
      <c r="Q6" s="6">
        <f>'[1]CONSUMO RESIDENCIAL (kWh)'!D8</f>
        <v>37203600</v>
      </c>
      <c r="R6" s="6">
        <f t="shared" si="1"/>
        <v>166098600</v>
      </c>
      <c r="S6" s="2">
        <f>'[1]CLASSES SOCIAIS'!AL8</f>
        <v>21.518333333333334</v>
      </c>
      <c r="T6" s="2">
        <f>'[1]CLASSES SOCIAIS'!AM8</f>
        <v>21.899333333333335</v>
      </c>
      <c r="U6" s="2">
        <f>'[1]CLASSES SOCIAIS'!AN8</f>
        <v>5.5034666666666663</v>
      </c>
      <c r="V6" s="2">
        <f>'[1]CLASSES SOCIAIS'!AO8</f>
        <v>48.921133333333337</v>
      </c>
      <c r="W6">
        <f>[1]INDÚSTRIAS!F8</f>
        <v>34</v>
      </c>
      <c r="X6">
        <f>[1]INDÚSTRIAS!G8</f>
        <v>0</v>
      </c>
      <c r="Y6">
        <f>[1]INDÚSTRIAS!H8</f>
        <v>0</v>
      </c>
      <c r="Z6">
        <f t="shared" si="2"/>
        <v>34</v>
      </c>
      <c r="AA6" s="2">
        <f>'[1]PIB (UT$)'!B7</f>
        <v>1746295.5812475085</v>
      </c>
      <c r="AB6" s="6">
        <f>[1]INDÚSTRIAS!AW8</f>
        <v>826200</v>
      </c>
      <c r="AC6" s="6">
        <f>[1]INDÚSTRIAS!AX8</f>
        <v>0</v>
      </c>
      <c r="AD6" s="6">
        <f>[1]INDÚSTRIAS!AY8</f>
        <v>0</v>
      </c>
      <c r="AE6" s="6">
        <f>[1]INDÚSTRIAS!AZ8</f>
        <v>826200</v>
      </c>
      <c r="AF6" s="3">
        <f>'[1]CAPITAL (UT$)'!AF8</f>
        <v>2.1821369261221664</v>
      </c>
      <c r="AG6">
        <f>[1]SERVIÇOS!F8</f>
        <v>34</v>
      </c>
      <c r="AH6">
        <f>[1]SERVIÇOS!G8</f>
        <v>0</v>
      </c>
      <c r="AI6">
        <f>[1]SERVIÇOS!H8</f>
        <v>0</v>
      </c>
      <c r="AJ6">
        <f t="shared" si="3"/>
        <v>34</v>
      </c>
      <c r="AK6" s="2">
        <f>'[1]PIB (UT$)'!C7</f>
        <v>6758289.7649274739</v>
      </c>
      <c r="AL6" s="6">
        <f>[1]SERVIÇOS!AW8</f>
        <v>259760</v>
      </c>
      <c r="AM6" s="6">
        <f>[1]SERVIÇOS!AX8</f>
        <v>0</v>
      </c>
      <c r="AN6" s="6">
        <f>[1]SERVIÇOS!AY8</f>
        <v>0</v>
      </c>
      <c r="AO6" s="6">
        <f>[1]SERVIÇOS!AZ8</f>
        <v>259760</v>
      </c>
      <c r="AP6" s="3">
        <f>'[1]CAPITAL (UT$)'!AG8</f>
        <v>0.16322770861348185</v>
      </c>
      <c r="AQ6">
        <f>[1]MINERAÇÃO!F8</f>
        <v>0</v>
      </c>
      <c r="AR6">
        <f>[1]MINERAÇÃO!G8</f>
        <v>0</v>
      </c>
      <c r="AS6">
        <f>[1]MINERAÇÃO!H8</f>
        <v>0</v>
      </c>
      <c r="AT6">
        <f t="shared" si="4"/>
        <v>0</v>
      </c>
      <c r="AU6" s="2">
        <f>'[1]PIB (UT$)'!D7</f>
        <v>0</v>
      </c>
      <c r="AV6" s="6">
        <f>[1]MINERAÇÃO!AW8</f>
        <v>0</v>
      </c>
      <c r="AW6" s="6">
        <f>[1]MINERAÇÃO!AX8</f>
        <v>0</v>
      </c>
      <c r="AX6" s="6">
        <f>[1]MINERAÇÃO!AY8</f>
        <v>0</v>
      </c>
      <c r="AY6" s="6">
        <f>[1]MINERAÇÃO!AZ8</f>
        <v>0</v>
      </c>
      <c r="AZ6" s="3">
        <f>'[1]CAPITAL (UT$)'!AH8</f>
        <v>0</v>
      </c>
      <c r="BA6">
        <f>[1]AGROPECUÁRIA!F8</f>
        <v>8</v>
      </c>
      <c r="BB6">
        <f>[1]AGROPECUÁRIA!G8</f>
        <v>0</v>
      </c>
      <c r="BC6">
        <f>[1]AGROPECUÁRIA!H8</f>
        <v>0</v>
      </c>
      <c r="BD6">
        <f t="shared" si="5"/>
        <v>8</v>
      </c>
      <c r="BE6" s="2">
        <f>'[1]PIB (UT$)'!E7</f>
        <v>76271.135147181747</v>
      </c>
      <c r="BF6" s="6">
        <f>[1]AGROPECUÁRIA!AW8</f>
        <v>44400</v>
      </c>
      <c r="BG6" s="6">
        <f>[1]AGROPECUÁRIA!AX8</f>
        <v>0</v>
      </c>
      <c r="BH6" s="6">
        <f>[1]AGROPECUÁRIA!AY8</f>
        <v>0</v>
      </c>
      <c r="BI6" s="6">
        <f>[1]AGROPECUÁRIA!AZ8</f>
        <v>44400</v>
      </c>
      <c r="BJ6" s="3">
        <f>'[1]CAPITAL (UT$)'!AI8</f>
        <v>11.482842946218421</v>
      </c>
      <c r="BK6" s="6">
        <f t="shared" si="6"/>
        <v>1130360</v>
      </c>
      <c r="BL6" s="6">
        <f t="shared" si="6"/>
        <v>0</v>
      </c>
      <c r="BM6" s="6">
        <f t="shared" si="6"/>
        <v>0</v>
      </c>
      <c r="BN6" s="6">
        <f t="shared" si="7"/>
        <v>1130360</v>
      </c>
      <c r="BO6" s="3">
        <f t="shared" si="8"/>
        <v>13.828207580954068</v>
      </c>
      <c r="BP6" s="7">
        <f t="shared" si="9"/>
        <v>167228960</v>
      </c>
      <c r="BQ6" s="2">
        <f>(BO6+V6)*[1]GLOBAL!$C$41</f>
        <v>18.82480227428622</v>
      </c>
      <c r="BR6" s="2">
        <f t="shared" si="10"/>
        <v>81.574143188573629</v>
      </c>
    </row>
    <row r="7" spans="1:70">
      <c r="A7">
        <f t="shared" si="11"/>
        <v>1980</v>
      </c>
      <c r="B7" s="1">
        <f>'[1]POPULAÇÃO (HAB)'!D8</f>
        <v>196419</v>
      </c>
      <c r="C7" s="2">
        <f>'[1]PIB (UT$)'!F8</f>
        <v>9274966.927556308</v>
      </c>
      <c r="D7" s="3">
        <f>'[1]PIB (UT$)'!G8</f>
        <v>47.220314366513975</v>
      </c>
      <c r="E7" s="1">
        <f>'[1]POPULAÇÃO (HAB)'!E8</f>
        <v>117851</v>
      </c>
      <c r="F7" s="4">
        <f>[1]IDH!B8</f>
        <v>0.58112471464231008</v>
      </c>
      <c r="G7" s="4">
        <f>[1]IDH!C8</f>
        <v>0.49667693169174304</v>
      </c>
      <c r="H7" s="4">
        <f>[1]IDH!D8</f>
        <v>0.99569671007090721</v>
      </c>
      <c r="I7" s="4">
        <f>[1]IDH!E8</f>
        <v>0.6599182453751139</v>
      </c>
      <c r="J7" s="5">
        <f>[1]EDUCAÇÃO!B8</f>
        <v>7.4501539753761454</v>
      </c>
      <c r="K7">
        <f>'[1]CLASSES SOCIAIS'!T9</f>
        <v>5506</v>
      </c>
      <c r="L7">
        <f>'[1]CLASSES SOCIAIS'!U9</f>
        <v>38410</v>
      </c>
      <c r="M7">
        <f>'[1]CLASSES SOCIAIS'!V9</f>
        <v>30991</v>
      </c>
      <c r="N7">
        <f t="shared" si="0"/>
        <v>74907</v>
      </c>
      <c r="O7" s="6">
        <f>'[1]CONSUMO RESIDENCIAL (kWh)'!B9</f>
        <v>41295000</v>
      </c>
      <c r="P7" s="6">
        <f>'[1]CONSUMO RESIDENCIAL (kWh)'!C9</f>
        <v>96025000</v>
      </c>
      <c r="Q7" s="6">
        <f>'[1]CONSUMO RESIDENCIAL (kWh)'!D9</f>
        <v>37189200</v>
      </c>
      <c r="R7" s="6">
        <f t="shared" si="1"/>
        <v>174509200</v>
      </c>
      <c r="S7" s="2">
        <f>'[1]CLASSES SOCIAIS'!AL9</f>
        <v>24.063333333333333</v>
      </c>
      <c r="T7" s="2">
        <f>'[1]CLASSES SOCIAIS'!AM9</f>
        <v>22.381555555555554</v>
      </c>
      <c r="U7" s="2">
        <f>'[1]CLASSES SOCIAIS'!AN9</f>
        <v>5.4175333333333331</v>
      </c>
      <c r="V7" s="2">
        <f>'[1]CLASSES SOCIAIS'!AO9</f>
        <v>51.862422222222214</v>
      </c>
      <c r="W7">
        <f>[1]INDÚSTRIAS!F9</f>
        <v>38</v>
      </c>
      <c r="X7">
        <f>[1]INDÚSTRIAS!G9</f>
        <v>0</v>
      </c>
      <c r="Y7">
        <f>[1]INDÚSTRIAS!H9</f>
        <v>0</v>
      </c>
      <c r="Z7">
        <f t="shared" si="2"/>
        <v>38</v>
      </c>
      <c r="AA7" s="2">
        <f>'[1]PIB (UT$)'!B8</f>
        <v>1983442.513096889</v>
      </c>
      <c r="AB7" s="6">
        <f>[1]INDÚSTRIAS!AW9</f>
        <v>912000</v>
      </c>
      <c r="AC7" s="6">
        <f>[1]INDÚSTRIAS!AX9</f>
        <v>0</v>
      </c>
      <c r="AD7" s="6">
        <f>[1]INDÚSTRIAS!AY9</f>
        <v>0</v>
      </c>
      <c r="AE7" s="6">
        <f>[1]INDÚSTRIAS!AZ9</f>
        <v>912000</v>
      </c>
      <c r="AF7" s="3">
        <f>'[1]CAPITAL (UT$)'!AF9</f>
        <v>2.7376772290606088</v>
      </c>
      <c r="AG7">
        <f>[1]SERVIÇOS!F9</f>
        <v>38</v>
      </c>
      <c r="AH7">
        <f>[1]SERVIÇOS!G9</f>
        <v>0</v>
      </c>
      <c r="AI7">
        <f>[1]SERVIÇOS!H9</f>
        <v>0</v>
      </c>
      <c r="AJ7">
        <f t="shared" si="3"/>
        <v>38</v>
      </c>
      <c r="AK7" s="2">
        <f>'[1]PIB (UT$)'!C8</f>
        <v>7213549.4511893624</v>
      </c>
      <c r="AL7" s="6">
        <f>[1]SERVIÇOS!AW9</f>
        <v>299440</v>
      </c>
      <c r="AM7" s="6">
        <f>[1]SERVIÇOS!AX9</f>
        <v>0</v>
      </c>
      <c r="AN7" s="6">
        <f>[1]SERVIÇOS!AY9</f>
        <v>0</v>
      </c>
      <c r="AO7" s="6">
        <f>[1]SERVIÇOS!AZ9</f>
        <v>299440</v>
      </c>
      <c r="AP7" s="3">
        <f>'[1]CAPITAL (UT$)'!AG9</f>
        <v>0.17263230482394765</v>
      </c>
      <c r="AQ7">
        <f>[1]MINERAÇÃO!F9</f>
        <v>0</v>
      </c>
      <c r="AR7">
        <f>[1]MINERAÇÃO!G9</f>
        <v>0</v>
      </c>
      <c r="AS7">
        <f>[1]MINERAÇÃO!H9</f>
        <v>0</v>
      </c>
      <c r="AT7">
        <f t="shared" si="4"/>
        <v>0</v>
      </c>
      <c r="AU7" s="2">
        <f>'[1]PIB (UT$)'!D8</f>
        <v>0</v>
      </c>
      <c r="AV7" s="6">
        <f>[1]MINERAÇÃO!AW9</f>
        <v>0</v>
      </c>
      <c r="AW7" s="6">
        <f>[1]MINERAÇÃO!AX9</f>
        <v>0</v>
      </c>
      <c r="AX7" s="6">
        <f>[1]MINERAÇÃO!AY9</f>
        <v>0</v>
      </c>
      <c r="AY7" s="6">
        <f>[1]MINERAÇÃO!AZ9</f>
        <v>0</v>
      </c>
      <c r="AZ7" s="3">
        <f>'[1]CAPITAL (UT$)'!AH9</f>
        <v>0</v>
      </c>
      <c r="BA7">
        <f>[1]AGROPECUÁRIA!F9</f>
        <v>8</v>
      </c>
      <c r="BB7">
        <f>[1]AGROPECUÁRIA!G9</f>
        <v>0</v>
      </c>
      <c r="BC7">
        <f>[1]AGROPECUÁRIA!H9</f>
        <v>0</v>
      </c>
      <c r="BD7">
        <f t="shared" si="5"/>
        <v>8</v>
      </c>
      <c r="BE7" s="2">
        <f>'[1]PIB (UT$)'!E8</f>
        <v>77974.963270057226</v>
      </c>
      <c r="BF7" s="6">
        <f>[1]AGROPECUÁRIA!AW9</f>
        <v>46200</v>
      </c>
      <c r="BG7" s="6">
        <f>[1]AGROPECUÁRIA!AX9</f>
        <v>0</v>
      </c>
      <c r="BH7" s="6">
        <f>[1]AGROPECUÁRIA!AY9</f>
        <v>0</v>
      </c>
      <c r="BI7" s="6">
        <f>[1]AGROPECUÁRIA!AZ9</f>
        <v>46200</v>
      </c>
      <c r="BJ7" s="3">
        <f>'[1]CAPITAL (UT$)'!AI9</f>
        <v>13.194844145370634</v>
      </c>
      <c r="BK7" s="6">
        <f t="shared" si="6"/>
        <v>1257640</v>
      </c>
      <c r="BL7" s="6">
        <f t="shared" si="6"/>
        <v>0</v>
      </c>
      <c r="BM7" s="6">
        <f t="shared" si="6"/>
        <v>0</v>
      </c>
      <c r="BN7" s="6">
        <f t="shared" si="7"/>
        <v>1257640</v>
      </c>
      <c r="BO7" s="3">
        <f t="shared" si="8"/>
        <v>16.105153679255192</v>
      </c>
      <c r="BP7" s="7">
        <f t="shared" si="9"/>
        <v>175766840</v>
      </c>
      <c r="BQ7" s="2">
        <f>(BO7+V7)*[1]GLOBAL!$C$41</f>
        <v>20.390272770443222</v>
      </c>
      <c r="BR7" s="2">
        <f t="shared" si="10"/>
        <v>88.357848671920621</v>
      </c>
    </row>
    <row r="8" spans="1:70">
      <c r="A8">
        <f t="shared" si="11"/>
        <v>1981</v>
      </c>
      <c r="B8" s="1">
        <f>'[1]POPULAÇÃO (HAB)'!D9</f>
        <v>198387</v>
      </c>
      <c r="C8" s="2">
        <f>'[1]PIB (UT$)'!F9</f>
        <v>9976847.6989356074</v>
      </c>
      <c r="D8" s="3">
        <f>'[1]PIB (UT$)'!G9</f>
        <v>50.289825940891326</v>
      </c>
      <c r="E8" s="1">
        <f>'[1]POPULAÇÃO (HAB)'!E9</f>
        <v>119032</v>
      </c>
      <c r="F8" s="4">
        <f>[1]IDH!B9</f>
        <v>0.5905344950988094</v>
      </c>
      <c r="G8" s="4">
        <f>[1]IDH!C9</f>
        <v>0.51379847409783819</v>
      </c>
      <c r="H8" s="4">
        <f>[1]IDH!D9</f>
        <v>0.99766630309056092</v>
      </c>
      <c r="I8" s="4">
        <f>[1]IDH!E9</f>
        <v>0.67144090442213777</v>
      </c>
      <c r="J8" s="5">
        <f>[1]EDUCAÇÃO!B9</f>
        <v>7.7069771114675723</v>
      </c>
      <c r="K8">
        <f>'[1]CLASSES SOCIAIS'!T10</f>
        <v>6189</v>
      </c>
      <c r="L8">
        <f>'[1]CLASSES SOCIAIS'!U10</f>
        <v>39705</v>
      </c>
      <c r="M8">
        <f>'[1]CLASSES SOCIAIS'!V10</f>
        <v>30893</v>
      </c>
      <c r="N8">
        <f t="shared" si="0"/>
        <v>76787</v>
      </c>
      <c r="O8" s="6">
        <f>'[1]CONSUMO RESIDENCIAL (kWh)'!B10</f>
        <v>46417500</v>
      </c>
      <c r="P8" s="6">
        <f>'[1]CONSUMO RESIDENCIAL (kWh)'!C10</f>
        <v>99262500</v>
      </c>
      <c r="Q8" s="6">
        <f>'[1]CONSUMO RESIDENCIAL (kWh)'!D10</f>
        <v>37071600</v>
      </c>
      <c r="R8" s="6">
        <f t="shared" si="1"/>
        <v>182751600</v>
      </c>
      <c r="S8" s="2">
        <f>'[1]CLASSES SOCIAIS'!AL10</f>
        <v>26.651666666666667</v>
      </c>
      <c r="T8" s="2">
        <f>'[1]CLASSES SOCIAIS'!AM10</f>
        <v>22.795777777777779</v>
      </c>
      <c r="U8" s="2">
        <f>'[1]CLASSES SOCIAIS'!AN10</f>
        <v>5.3208666666666664</v>
      </c>
      <c r="V8" s="2">
        <f>'[1]CLASSES SOCIAIS'!AO10</f>
        <v>54.76831111111111</v>
      </c>
      <c r="W8">
        <f>[1]INDÚSTRIAS!F10</f>
        <v>42</v>
      </c>
      <c r="X8">
        <f>[1]INDÚSTRIAS!G10</f>
        <v>0</v>
      </c>
      <c r="Y8">
        <f>[1]INDÚSTRIAS!H10</f>
        <v>0</v>
      </c>
      <c r="Z8">
        <f t="shared" si="2"/>
        <v>42</v>
      </c>
      <c r="AA8" s="2">
        <f>'[1]PIB (UT$)'!B9</f>
        <v>2212944.7649041638</v>
      </c>
      <c r="AB8" s="6">
        <f>[1]INDÚSTRIAS!AW10</f>
        <v>1016400</v>
      </c>
      <c r="AC8" s="6">
        <f>[1]INDÚSTRIAS!AX10</f>
        <v>0</v>
      </c>
      <c r="AD8" s="6">
        <f>[1]INDÚSTRIAS!AY10</f>
        <v>0</v>
      </c>
      <c r="AE8" s="6">
        <f>[1]INDÚSTRIAS!AZ10</f>
        <v>1016400</v>
      </c>
      <c r="AF8" s="3">
        <f>'[1]CAPITAL (UT$)'!AF10</f>
        <v>3.3154139495214769</v>
      </c>
      <c r="AG8">
        <f>[1]SERVIÇOS!F10</f>
        <v>42</v>
      </c>
      <c r="AH8">
        <f>[1]SERVIÇOS!G10</f>
        <v>0</v>
      </c>
      <c r="AI8">
        <f>[1]SERVIÇOS!H10</f>
        <v>0</v>
      </c>
      <c r="AJ8">
        <f t="shared" si="3"/>
        <v>42</v>
      </c>
      <c r="AK8" s="2">
        <f>'[1]PIB (UT$)'!C9</f>
        <v>7684533.818792575</v>
      </c>
      <c r="AL8" s="6">
        <f>[1]SERVIÇOS!AW10</f>
        <v>324240</v>
      </c>
      <c r="AM8" s="6">
        <f>[1]SERVIÇOS!AX10</f>
        <v>0</v>
      </c>
      <c r="AN8" s="6">
        <f>[1]SERVIÇOS!AY10</f>
        <v>0</v>
      </c>
      <c r="AO8" s="6">
        <f>[1]SERVIÇOS!AZ10</f>
        <v>324240</v>
      </c>
      <c r="AP8" s="3">
        <f>'[1]CAPITAL (UT$)'!AG10</f>
        <v>0.18291161389182303</v>
      </c>
      <c r="AQ8">
        <f>[1]MINERAÇÃO!F10</f>
        <v>0</v>
      </c>
      <c r="AR8">
        <f>[1]MINERAÇÃO!G10</f>
        <v>0</v>
      </c>
      <c r="AS8">
        <f>[1]MINERAÇÃO!H10</f>
        <v>0</v>
      </c>
      <c r="AT8">
        <f t="shared" si="4"/>
        <v>0</v>
      </c>
      <c r="AU8" s="2">
        <f>'[1]PIB (UT$)'!D9</f>
        <v>0</v>
      </c>
      <c r="AV8" s="6">
        <f>[1]MINERAÇÃO!AW10</f>
        <v>0</v>
      </c>
      <c r="AW8" s="6">
        <f>[1]MINERAÇÃO!AX10</f>
        <v>0</v>
      </c>
      <c r="AX8" s="6">
        <f>[1]MINERAÇÃO!AY10</f>
        <v>0</v>
      </c>
      <c r="AY8" s="6">
        <f>[1]MINERAÇÃO!AZ10</f>
        <v>0</v>
      </c>
      <c r="AZ8" s="3">
        <f>'[1]CAPITAL (UT$)'!AH10</f>
        <v>0</v>
      </c>
      <c r="BA8">
        <f>[1]AGROPECUÁRIA!F10</f>
        <v>8</v>
      </c>
      <c r="BB8">
        <f>[1]AGROPECUÁRIA!G10</f>
        <v>0</v>
      </c>
      <c r="BC8">
        <f>[1]AGROPECUÁRIA!H10</f>
        <v>0</v>
      </c>
      <c r="BD8">
        <f t="shared" si="5"/>
        <v>8</v>
      </c>
      <c r="BE8" s="2">
        <f>'[1]PIB (UT$)'!E9</f>
        <v>79369.11523887029</v>
      </c>
      <c r="BF8" s="6">
        <f>[1]AGROPECUÁRIA!AW10</f>
        <v>44400</v>
      </c>
      <c r="BG8" s="6">
        <f>[1]AGROPECUÁRIA!AX10</f>
        <v>0</v>
      </c>
      <c r="BH8" s="6">
        <f>[1]AGROPECUÁRIA!AY10</f>
        <v>0</v>
      </c>
      <c r="BI8" s="6">
        <f>[1]AGROPECUÁRIA!AZ10</f>
        <v>44400</v>
      </c>
      <c r="BJ8" s="3">
        <f>'[1]CAPITAL (UT$)'!AI10</f>
        <v>14.967015373352341</v>
      </c>
      <c r="BK8" s="6">
        <f t="shared" si="6"/>
        <v>1385040</v>
      </c>
      <c r="BL8" s="6">
        <f t="shared" si="6"/>
        <v>0</v>
      </c>
      <c r="BM8" s="6">
        <f t="shared" si="6"/>
        <v>0</v>
      </c>
      <c r="BN8" s="6">
        <f t="shared" si="7"/>
        <v>1385040</v>
      </c>
      <c r="BO8" s="3">
        <f t="shared" si="8"/>
        <v>18.465340936765642</v>
      </c>
      <c r="BP8" s="7">
        <f t="shared" si="9"/>
        <v>184136640</v>
      </c>
      <c r="BQ8" s="2">
        <f>(BO8+V8)*[1]GLOBAL!$C$41</f>
        <v>21.970095614363021</v>
      </c>
      <c r="BR8" s="2">
        <f t="shared" si="10"/>
        <v>95.203747662239763</v>
      </c>
    </row>
    <row r="9" spans="1:70">
      <c r="A9">
        <f t="shared" si="11"/>
        <v>1982</v>
      </c>
      <c r="B9" s="1">
        <f>'[1]POPULAÇÃO (HAB)'!D10</f>
        <v>199983</v>
      </c>
      <c r="C9" s="2">
        <f>'[1]PIB (UT$)'!F10</f>
        <v>10688971.3272001</v>
      </c>
      <c r="D9" s="3">
        <f>'[1]PIB (UT$)'!G10</f>
        <v>53.449399834986473</v>
      </c>
      <c r="E9" s="1">
        <f>'[1]POPULAÇÃO (HAB)'!E10</f>
        <v>119989</v>
      </c>
      <c r="F9" s="4">
        <f>[1]IDH!B10</f>
        <v>0.59965635417423047</v>
      </c>
      <c r="G9" s="4">
        <f>[1]IDH!C10</f>
        <v>0.53024867122361308</v>
      </c>
      <c r="H9" s="4">
        <f>[1]IDH!D10</f>
        <v>0.99875811218618649</v>
      </c>
      <c r="I9" s="4">
        <f>[1]IDH!E10</f>
        <v>0.68225613486801207</v>
      </c>
      <c r="J9" s="5">
        <f>[1]EDUCAÇÃO!B10</f>
        <v>7.9537300683541963</v>
      </c>
      <c r="K9">
        <f>'[1]CLASSES SOCIAIS'!T11</f>
        <v>6896</v>
      </c>
      <c r="L9">
        <f>'[1]CLASSES SOCIAIS'!U11</f>
        <v>40905</v>
      </c>
      <c r="M9">
        <f>'[1]CLASSES SOCIAIS'!V11</f>
        <v>30720</v>
      </c>
      <c r="N9">
        <f t="shared" si="0"/>
        <v>78521</v>
      </c>
      <c r="O9" s="6">
        <f>'[1]CONSUMO RESIDENCIAL (kWh)'!B11</f>
        <v>51720000</v>
      </c>
      <c r="P9" s="6">
        <f>'[1]CONSUMO RESIDENCIAL (kWh)'!C11</f>
        <v>102262500</v>
      </c>
      <c r="Q9" s="6">
        <f>'[1]CONSUMO RESIDENCIAL (kWh)'!D11</f>
        <v>36864000</v>
      </c>
      <c r="R9" s="6">
        <f t="shared" si="1"/>
        <v>190846500</v>
      </c>
      <c r="S9" s="2">
        <f>'[1]CLASSES SOCIAIS'!AL11</f>
        <v>29.273333333333333</v>
      </c>
      <c r="T9" s="2">
        <f>'[1]CLASSES SOCIAIS'!AM11</f>
        <v>23.15088888888889</v>
      </c>
      <c r="U9" s="2">
        <f>'[1]CLASSES SOCIAIS'!AN11</f>
        <v>5.2158666666666669</v>
      </c>
      <c r="V9" s="2">
        <f>'[1]CLASSES SOCIAIS'!AO11</f>
        <v>57.640088888888897</v>
      </c>
      <c r="W9">
        <f>[1]INDÚSTRIAS!F11</f>
        <v>46</v>
      </c>
      <c r="X9">
        <f>[1]INDÚSTRIAS!G11</f>
        <v>0</v>
      </c>
      <c r="Y9">
        <f>[1]INDÚSTRIAS!H11</f>
        <v>0</v>
      </c>
      <c r="Z9">
        <f t="shared" si="2"/>
        <v>46</v>
      </c>
      <c r="AA9" s="2">
        <f>'[1]PIB (UT$)'!B10</f>
        <v>2436857.5857155123</v>
      </c>
      <c r="AB9" s="6">
        <f>[1]INDÚSTRIAS!AW11</f>
        <v>1104000</v>
      </c>
      <c r="AC9" s="6">
        <f>[1]INDÚSTRIAS!AX11</f>
        <v>0</v>
      </c>
      <c r="AD9" s="6">
        <f>[1]INDÚSTRIAS!AY11</f>
        <v>0</v>
      </c>
      <c r="AE9" s="6">
        <f>[1]INDÚSTRIAS!AZ11</f>
        <v>1104000</v>
      </c>
      <c r="AF9" s="3">
        <f>'[1]CAPITAL (UT$)'!AF11</f>
        <v>3.9146369284650362</v>
      </c>
      <c r="AG9">
        <f>[1]SERVIÇOS!F11</f>
        <v>46</v>
      </c>
      <c r="AH9">
        <f>[1]SERVIÇOS!G11</f>
        <v>0</v>
      </c>
      <c r="AI9">
        <f>[1]SERVIÇOS!H11</f>
        <v>0</v>
      </c>
      <c r="AJ9">
        <f t="shared" si="3"/>
        <v>46</v>
      </c>
      <c r="AK9" s="2">
        <f>'[1]PIB (UT$)'!C10</f>
        <v>8171630.5314142685</v>
      </c>
      <c r="AL9" s="6">
        <f>[1]SERVIÇOS!AW11</f>
        <v>360640</v>
      </c>
      <c r="AM9" s="6">
        <f>[1]SERVIÇOS!AX11</f>
        <v>0</v>
      </c>
      <c r="AN9" s="6">
        <f>[1]SERVIÇOS!AY11</f>
        <v>0</v>
      </c>
      <c r="AO9" s="6">
        <f>[1]SERVIÇOS!AZ11</f>
        <v>360640</v>
      </c>
      <c r="AP9" s="3">
        <f>'[1]CAPITAL (UT$)'!AG11</f>
        <v>0.19405234497329435</v>
      </c>
      <c r="AQ9">
        <f>[1]MINERAÇÃO!F11</f>
        <v>0</v>
      </c>
      <c r="AR9">
        <f>[1]MINERAÇÃO!G11</f>
        <v>0</v>
      </c>
      <c r="AS9">
        <f>[1]MINERAÇÃO!H11</f>
        <v>0</v>
      </c>
      <c r="AT9">
        <f t="shared" si="4"/>
        <v>0</v>
      </c>
      <c r="AU9" s="2">
        <f>'[1]PIB (UT$)'!D10</f>
        <v>0</v>
      </c>
      <c r="AV9" s="6">
        <f>[1]MINERAÇÃO!AW11</f>
        <v>0</v>
      </c>
      <c r="AW9" s="6">
        <f>[1]MINERAÇÃO!AX11</f>
        <v>0</v>
      </c>
      <c r="AX9" s="6">
        <f>[1]MINERAÇÃO!AY11</f>
        <v>0</v>
      </c>
      <c r="AY9" s="6">
        <f>[1]MINERAÇÃO!AZ11</f>
        <v>0</v>
      </c>
      <c r="AZ9" s="3">
        <f>'[1]CAPITAL (UT$)'!AH11</f>
        <v>0</v>
      </c>
      <c r="BA9">
        <f>[1]AGROPECUÁRIA!F11</f>
        <v>8</v>
      </c>
      <c r="BB9">
        <f>[1]AGROPECUÁRIA!G11</f>
        <v>0</v>
      </c>
      <c r="BC9">
        <f>[1]AGROPECUÁRIA!H11</f>
        <v>0</v>
      </c>
      <c r="BD9">
        <f t="shared" si="5"/>
        <v>8</v>
      </c>
      <c r="BE9" s="2">
        <f>'[1]PIB (UT$)'!E10</f>
        <v>80483.21007032007</v>
      </c>
      <c r="BF9" s="6">
        <f>[1]AGROPECUÁRIA!AW11</f>
        <v>44760</v>
      </c>
      <c r="BG9" s="6">
        <f>[1]AGROPECUÁRIA!AX11</f>
        <v>0</v>
      </c>
      <c r="BH9" s="6">
        <f>[1]AGROPECUÁRIA!AY11</f>
        <v>0</v>
      </c>
      <c r="BI9" s="6">
        <f>[1]AGROPECUÁRIA!AZ11</f>
        <v>44760</v>
      </c>
      <c r="BJ9" s="3">
        <f>'[1]CAPITAL (UT$)'!AI11</f>
        <v>16.795929735662309</v>
      </c>
      <c r="BK9" s="6">
        <f t="shared" si="6"/>
        <v>1509400</v>
      </c>
      <c r="BL9" s="6">
        <f t="shared" si="6"/>
        <v>0</v>
      </c>
      <c r="BM9" s="6">
        <f t="shared" si="6"/>
        <v>0</v>
      </c>
      <c r="BN9" s="6">
        <f t="shared" si="7"/>
        <v>1509400</v>
      </c>
      <c r="BO9" s="3">
        <f t="shared" si="8"/>
        <v>20.904619009100639</v>
      </c>
      <c r="BP9" s="7">
        <f t="shared" si="9"/>
        <v>192355900</v>
      </c>
      <c r="BQ9" s="2">
        <f>(BO9+V9)*[1]GLOBAL!$C$41</f>
        <v>23.563412369396861</v>
      </c>
      <c r="BR9" s="2">
        <f t="shared" si="10"/>
        <v>102.1081202673864</v>
      </c>
    </row>
    <row r="10" spans="1:70">
      <c r="A10">
        <f t="shared" si="11"/>
        <v>1983</v>
      </c>
      <c r="B10" s="1">
        <f>'[1]POPULAÇÃO (HAB)'!D11</f>
        <v>201290</v>
      </c>
      <c r="C10" s="2">
        <f>'[1]PIB (UT$)'!F11</f>
        <v>11414153.582501119</v>
      </c>
      <c r="D10" s="3">
        <f>'[1]PIB (UT$)'!G11</f>
        <v>56.705020530086536</v>
      </c>
      <c r="E10" s="1">
        <f>'[1]POPULAÇÃO (HAB)'!E11</f>
        <v>120774</v>
      </c>
      <c r="F10" s="4">
        <f>[1]IDH!B11</f>
        <v>0.60852168428069131</v>
      </c>
      <c r="G10" s="4">
        <f>[1]IDH!C11</f>
        <v>0.54605384689403147</v>
      </c>
      <c r="H10" s="4">
        <f>[1]IDH!D11</f>
        <v>0.99935202101651399</v>
      </c>
      <c r="I10" s="4">
        <f>[1]IDH!E11</f>
        <v>0.69248442233569907</v>
      </c>
      <c r="J10" s="5">
        <f>[1]EDUCAÇÃO!B11</f>
        <v>8.1908077034104725</v>
      </c>
      <c r="K10">
        <f>'[1]CLASSES SOCIAIS'!T12</f>
        <v>7624</v>
      </c>
      <c r="L10">
        <f>'[1]CLASSES SOCIAIS'!U12</f>
        <v>42022</v>
      </c>
      <c r="M10">
        <f>'[1]CLASSES SOCIAIS'!V12</f>
        <v>30487</v>
      </c>
      <c r="N10">
        <f t="shared" si="0"/>
        <v>80133</v>
      </c>
      <c r="O10" s="6">
        <f>'[1]CONSUMO RESIDENCIAL (kWh)'!B12</f>
        <v>57180000</v>
      </c>
      <c r="P10" s="6">
        <f>'[1]CONSUMO RESIDENCIAL (kWh)'!C12</f>
        <v>105055000</v>
      </c>
      <c r="Q10" s="6">
        <f>'[1]CONSUMO RESIDENCIAL (kWh)'!D12</f>
        <v>36584400</v>
      </c>
      <c r="R10" s="6">
        <f t="shared" si="1"/>
        <v>198819400</v>
      </c>
      <c r="S10" s="2">
        <f>'[1]CLASSES SOCIAIS'!AL12</f>
        <v>31.92</v>
      </c>
      <c r="T10" s="2">
        <f>'[1]CLASSES SOCIAIS'!AM12</f>
        <v>23.456888888888887</v>
      </c>
      <c r="U10" s="2">
        <f>'[1]CLASSES SOCIAIS'!AN12</f>
        <v>5.1053333333333333</v>
      </c>
      <c r="V10" s="2">
        <f>'[1]CLASSES SOCIAIS'!AO12</f>
        <v>60.482222222222219</v>
      </c>
      <c r="W10">
        <f>[1]INDÚSTRIAS!F12</f>
        <v>50</v>
      </c>
      <c r="X10">
        <f>[1]INDÚSTRIAS!G12</f>
        <v>0</v>
      </c>
      <c r="Y10">
        <f>[1]INDÚSTRIAS!H12</f>
        <v>0</v>
      </c>
      <c r="Z10">
        <f t="shared" si="2"/>
        <v>50</v>
      </c>
      <c r="AA10" s="2">
        <f>'[1]PIB (UT$)'!B11</f>
        <v>2656720.4280367843</v>
      </c>
      <c r="AB10" s="6">
        <f>[1]INDÚSTRIAS!AW12</f>
        <v>1220000</v>
      </c>
      <c r="AC10" s="6">
        <f>[1]INDÚSTRIAS!AX12</f>
        <v>0</v>
      </c>
      <c r="AD10" s="6">
        <f>[1]INDÚSTRIAS!AY12</f>
        <v>0</v>
      </c>
      <c r="AE10" s="6">
        <f>[1]INDÚSTRIAS!AZ12</f>
        <v>1220000</v>
      </c>
      <c r="AF10" s="3">
        <f>'[1]CAPITAL (UT$)'!AF12</f>
        <v>4.5348764189331421</v>
      </c>
      <c r="AG10">
        <f>[1]SERVIÇOS!F12</f>
        <v>50</v>
      </c>
      <c r="AH10">
        <f>[1]SERVIÇOS!G12</f>
        <v>0</v>
      </c>
      <c r="AI10">
        <f>[1]SERVIÇOS!H12</f>
        <v>0</v>
      </c>
      <c r="AJ10">
        <f t="shared" si="3"/>
        <v>50</v>
      </c>
      <c r="AK10" s="2">
        <f>'[1]PIB (UT$)'!C11</f>
        <v>8676079.0261149276</v>
      </c>
      <c r="AL10" s="6">
        <f>[1]SERVIÇOS!AW12</f>
        <v>386000</v>
      </c>
      <c r="AM10" s="6">
        <f>[1]SERVIÇOS!AX12</f>
        <v>0</v>
      </c>
      <c r="AN10" s="6">
        <f>[1]SERVIÇOS!AY12</f>
        <v>0</v>
      </c>
      <c r="AO10" s="6">
        <f>[1]SERVIÇOS!AZ12</f>
        <v>386000</v>
      </c>
      <c r="AP10" s="3">
        <f>'[1]CAPITAL (UT$)'!AG12</f>
        <v>0.20604572683609568</v>
      </c>
      <c r="AQ10">
        <f>[1]MINERAÇÃO!F12</f>
        <v>0</v>
      </c>
      <c r="AR10">
        <f>[1]MINERAÇÃO!G12</f>
        <v>0</v>
      </c>
      <c r="AS10">
        <f>[1]MINERAÇÃO!H12</f>
        <v>0</v>
      </c>
      <c r="AT10">
        <f t="shared" si="4"/>
        <v>0</v>
      </c>
      <c r="AU10" s="2">
        <f>'[1]PIB (UT$)'!D11</f>
        <v>0</v>
      </c>
      <c r="AV10" s="6">
        <f>[1]MINERAÇÃO!AW12</f>
        <v>0</v>
      </c>
      <c r="AW10" s="6">
        <f>[1]MINERAÇÃO!AX12</f>
        <v>0</v>
      </c>
      <c r="AX10" s="6">
        <f>[1]MINERAÇÃO!AY12</f>
        <v>0</v>
      </c>
      <c r="AY10" s="6">
        <f>[1]MINERAÇÃO!AZ12</f>
        <v>0</v>
      </c>
      <c r="AZ10" s="3">
        <f>'[1]CAPITAL (UT$)'!AH12</f>
        <v>0</v>
      </c>
      <c r="BA10">
        <f>[1]AGROPECUÁRIA!F12</f>
        <v>8</v>
      </c>
      <c r="BB10">
        <f>[1]AGROPECUÁRIA!G12</f>
        <v>0</v>
      </c>
      <c r="BC10">
        <f>[1]AGROPECUÁRIA!H12</f>
        <v>0</v>
      </c>
      <c r="BD10">
        <f t="shared" si="5"/>
        <v>8</v>
      </c>
      <c r="BE10" s="2">
        <f>'[1]PIB (UT$)'!E11</f>
        <v>81354.128349406106</v>
      </c>
      <c r="BF10" s="6">
        <f>[1]AGROPECUÁRIA!AW12</f>
        <v>45120</v>
      </c>
      <c r="BG10" s="6">
        <f>[1]AGROPECUÁRIA!AX12</f>
        <v>0</v>
      </c>
      <c r="BH10" s="6">
        <f>[1]AGROPECUÁRIA!AY12</f>
        <v>0</v>
      </c>
      <c r="BI10" s="6">
        <f>[1]AGROPECUÁRIA!AZ12</f>
        <v>45120</v>
      </c>
      <c r="BJ10" s="3">
        <f>'[1]CAPITAL (UT$)'!AI12</f>
        <v>18.679327204496115</v>
      </c>
      <c r="BK10" s="6">
        <f t="shared" si="6"/>
        <v>1651120</v>
      </c>
      <c r="BL10" s="6">
        <f t="shared" si="6"/>
        <v>0</v>
      </c>
      <c r="BM10" s="6">
        <f t="shared" si="6"/>
        <v>0</v>
      </c>
      <c r="BN10" s="6">
        <f t="shared" si="7"/>
        <v>1651120</v>
      </c>
      <c r="BO10" s="3">
        <f t="shared" si="8"/>
        <v>23.420249350265351</v>
      </c>
      <c r="BP10" s="7">
        <f t="shared" si="9"/>
        <v>200470520</v>
      </c>
      <c r="BQ10" s="2">
        <f>(BO10+V10)*[1]GLOBAL!$C$41</f>
        <v>25.170741471746272</v>
      </c>
      <c r="BR10" s="2">
        <f t="shared" si="10"/>
        <v>109.07321304423384</v>
      </c>
    </row>
    <row r="11" spans="1:70">
      <c r="A11">
        <f t="shared" si="11"/>
        <v>1984</v>
      </c>
      <c r="B11" s="1">
        <f>'[1]POPULAÇÃO (HAB)'!D12</f>
        <v>202387</v>
      </c>
      <c r="C11" s="2">
        <f>'[1]PIB (UT$)'!F12</f>
        <v>12154927.877012242</v>
      </c>
      <c r="D11" s="3">
        <f>'[1]PIB (UT$)'!G12</f>
        <v>60.057848957750458</v>
      </c>
      <c r="E11" s="1">
        <f>'[1]POPULAÇÃO (HAB)'!E12</f>
        <v>121432</v>
      </c>
      <c r="F11" s="4">
        <f>[1]IDH!B12</f>
        <v>0.61714522073946099</v>
      </c>
      <c r="G11" s="4">
        <f>[1]IDH!C12</f>
        <v>0.56123929276211681</v>
      </c>
      <c r="H11" s="4">
        <f>[1]IDH!D12</f>
        <v>0.99966850616319225</v>
      </c>
      <c r="I11" s="4">
        <f>[1]IDH!E12</f>
        <v>0.70220483640839459</v>
      </c>
      <c r="J11" s="5">
        <f>[1]EDUCAÇÃO!B12</f>
        <v>8.4185893914317518</v>
      </c>
      <c r="K11">
        <f>'[1]CLASSES SOCIAIS'!T13</f>
        <v>8372</v>
      </c>
      <c r="L11">
        <f>'[1]CLASSES SOCIAIS'!U13</f>
        <v>43068</v>
      </c>
      <c r="M11">
        <f>'[1]CLASSES SOCIAIS'!V13</f>
        <v>30207</v>
      </c>
      <c r="N11">
        <f t="shared" si="0"/>
        <v>81647</v>
      </c>
      <c r="O11" s="6">
        <f>'[1]CONSUMO RESIDENCIAL (kWh)'!B13</f>
        <v>62790000</v>
      </c>
      <c r="P11" s="6">
        <f>'[1]CONSUMO RESIDENCIAL (kWh)'!C13</f>
        <v>107670000</v>
      </c>
      <c r="Q11" s="6">
        <f>'[1]CONSUMO RESIDENCIAL (kWh)'!D13</f>
        <v>36248400</v>
      </c>
      <c r="R11" s="6">
        <f t="shared" si="1"/>
        <v>206708400</v>
      </c>
      <c r="S11" s="2">
        <f>'[1]CLASSES SOCIAIS'!AL13</f>
        <v>34.586666666666666</v>
      </c>
      <c r="T11" s="2">
        <f>'[1]CLASSES SOCIAIS'!AM13</f>
        <v>23.723555555555556</v>
      </c>
      <c r="U11" s="2">
        <f>'[1]CLASSES SOCIAIS'!AN13</f>
        <v>4.9917999999999996</v>
      </c>
      <c r="V11" s="2">
        <f>'[1]CLASSES SOCIAIS'!AO13</f>
        <v>63.30202222222222</v>
      </c>
      <c r="W11">
        <f>[1]INDÚSTRIAS!F13</f>
        <v>54</v>
      </c>
      <c r="X11">
        <f>[1]INDÚSTRIAS!G13</f>
        <v>0</v>
      </c>
      <c r="Y11">
        <f>[1]INDÚSTRIAS!H13</f>
        <v>0</v>
      </c>
      <c r="Z11">
        <f t="shared" si="2"/>
        <v>54</v>
      </c>
      <c r="AA11" s="2">
        <f>'[1]PIB (UT$)'!B12</f>
        <v>2873715.4754836736</v>
      </c>
      <c r="AB11" s="6">
        <f>[1]INDÚSTRIAS!AW13</f>
        <v>1312200</v>
      </c>
      <c r="AC11" s="6">
        <f>[1]INDÚSTRIAS!AX13</f>
        <v>0</v>
      </c>
      <c r="AD11" s="6">
        <f>[1]INDÚSTRIAS!AY13</f>
        <v>0</v>
      </c>
      <c r="AE11" s="6">
        <f>[1]INDÚSTRIAS!AZ13</f>
        <v>1312200</v>
      </c>
      <c r="AF11" s="3">
        <f>'[1]CAPITAL (UT$)'!AF13</f>
        <v>5.1759161203972432</v>
      </c>
      <c r="AG11">
        <f>[1]SERVIÇOS!F13</f>
        <v>54</v>
      </c>
      <c r="AH11">
        <f>[1]SERVIÇOS!G13</f>
        <v>0</v>
      </c>
      <c r="AI11">
        <f>[1]SERVIÇOS!H13</f>
        <v>0</v>
      </c>
      <c r="AJ11">
        <f t="shared" si="3"/>
        <v>54</v>
      </c>
      <c r="AK11" s="2">
        <f>'[1]PIB (UT$)'!C12</f>
        <v>9199197.7602561507</v>
      </c>
      <c r="AL11" s="6">
        <f>[1]SERVIÇOS!AW13</f>
        <v>423360</v>
      </c>
      <c r="AM11" s="6">
        <f>[1]SERVIÇOS!AX13</f>
        <v>0</v>
      </c>
      <c r="AN11" s="6">
        <f>[1]SERVIÇOS!AY13</f>
        <v>0</v>
      </c>
      <c r="AO11" s="6">
        <f>[1]SERVIÇOS!AZ13</f>
        <v>423360</v>
      </c>
      <c r="AP11" s="3">
        <f>'[1]CAPITAL (UT$)'!AG13</f>
        <v>0.21888794433518133</v>
      </c>
      <c r="AQ11">
        <f>[1]MINERAÇÃO!F13</f>
        <v>0</v>
      </c>
      <c r="AR11">
        <f>[1]MINERAÇÃO!G13</f>
        <v>0</v>
      </c>
      <c r="AS11">
        <f>[1]MINERAÇÃO!H13</f>
        <v>0</v>
      </c>
      <c r="AT11">
        <f t="shared" si="4"/>
        <v>0</v>
      </c>
      <c r="AU11" s="2">
        <f>'[1]PIB (UT$)'!D12</f>
        <v>0</v>
      </c>
      <c r="AV11" s="6">
        <f>[1]MINERAÇÃO!AW13</f>
        <v>0</v>
      </c>
      <c r="AW11" s="6">
        <f>[1]MINERAÇÃO!AX13</f>
        <v>0</v>
      </c>
      <c r="AX11" s="6">
        <f>[1]MINERAÇÃO!AY13</f>
        <v>0</v>
      </c>
      <c r="AY11" s="6">
        <f>[1]MINERAÇÃO!AZ13</f>
        <v>0</v>
      </c>
      <c r="AZ11" s="3">
        <f>'[1]CAPITAL (UT$)'!AH13</f>
        <v>0</v>
      </c>
      <c r="BA11">
        <f>[1]AGROPECUÁRIA!F13</f>
        <v>8</v>
      </c>
      <c r="BB11">
        <f>[1]AGROPECUÁRIA!G13</f>
        <v>0</v>
      </c>
      <c r="BC11">
        <f>[1]AGROPECUÁRIA!H13</f>
        <v>0</v>
      </c>
      <c r="BD11">
        <f t="shared" si="5"/>
        <v>8</v>
      </c>
      <c r="BE11" s="2">
        <f>'[1]PIB (UT$)'!E12</f>
        <v>82014.64127241727</v>
      </c>
      <c r="BF11" s="6">
        <f>[1]AGROPECUÁRIA!AW13</f>
        <v>44760</v>
      </c>
      <c r="BG11" s="6">
        <f>[1]AGROPECUÁRIA!AX13</f>
        <v>0</v>
      </c>
      <c r="BH11" s="6">
        <f>[1]AGROPECUÁRIA!AY13</f>
        <v>0</v>
      </c>
      <c r="BI11" s="6">
        <f>[1]AGROPECUÁRIA!AZ13</f>
        <v>44760</v>
      </c>
      <c r="BJ11" s="3">
        <f>'[1]CAPITAL (UT$)'!AI13</f>
        <v>20.616112344880214</v>
      </c>
      <c r="BK11" s="6">
        <f t="shared" si="6"/>
        <v>1780320</v>
      </c>
      <c r="BL11" s="6">
        <f t="shared" si="6"/>
        <v>0</v>
      </c>
      <c r="BM11" s="6">
        <f t="shared" si="6"/>
        <v>0</v>
      </c>
      <c r="BN11" s="6">
        <f t="shared" si="7"/>
        <v>1780320</v>
      </c>
      <c r="BO11" s="3">
        <f t="shared" si="8"/>
        <v>26.010916409612641</v>
      </c>
      <c r="BP11" s="7">
        <f t="shared" si="9"/>
        <v>208488720</v>
      </c>
      <c r="BQ11" s="2">
        <f>(BO11+V11)*[1]GLOBAL!$C$41</f>
        <v>26.793881589550459</v>
      </c>
      <c r="BR11" s="2">
        <f t="shared" si="10"/>
        <v>116.10682022138533</v>
      </c>
    </row>
    <row r="12" spans="1:70">
      <c r="A12">
        <f t="shared" si="11"/>
        <v>1985</v>
      </c>
      <c r="B12" s="1">
        <f>'[1]POPULAÇÃO (HAB)'!D13</f>
        <v>203342</v>
      </c>
      <c r="C12" s="2">
        <f>'[1]PIB (UT$)'!F13</f>
        <v>12913930.918748127</v>
      </c>
      <c r="D12" s="3">
        <f>'[1]PIB (UT$)'!G13</f>
        <v>63.508428749339181</v>
      </c>
      <c r="E12" s="1">
        <f>'[1]POPULAÇÃO (HAB)'!E13</f>
        <v>122005</v>
      </c>
      <c r="F12" s="4">
        <f>[1]IDH!B13</f>
        <v>0.6255391045220422</v>
      </c>
      <c r="G12" s="4">
        <f>[1]IDH!C13</f>
        <v>0.57582930878099237</v>
      </c>
      <c r="H12" s="4">
        <f>[1]IDH!D13</f>
        <v>0.99983372242728563</v>
      </c>
      <c r="I12" s="4">
        <f>[1]IDH!E13</f>
        <v>0.71147340415876403</v>
      </c>
      <c r="J12" s="5">
        <f>[1]EDUCAÇÃO!B13</f>
        <v>8.6374396317148854</v>
      </c>
      <c r="K12">
        <f>'[1]CLASSES SOCIAIS'!T14</f>
        <v>9137</v>
      </c>
      <c r="L12">
        <f>'[1]CLASSES SOCIAIS'!U14</f>
        <v>44053</v>
      </c>
      <c r="M12">
        <f>'[1]CLASSES SOCIAIS'!V14</f>
        <v>29892</v>
      </c>
      <c r="N12">
        <f t="shared" si="0"/>
        <v>83082</v>
      </c>
      <c r="O12" s="6">
        <f>'[1]CONSUMO RESIDENCIAL (kWh)'!B14</f>
        <v>68527500</v>
      </c>
      <c r="P12" s="6">
        <f>'[1]CONSUMO RESIDENCIAL (kWh)'!C14</f>
        <v>110132500</v>
      </c>
      <c r="Q12" s="6">
        <f>'[1]CONSUMO RESIDENCIAL (kWh)'!D14</f>
        <v>35870400</v>
      </c>
      <c r="R12" s="6">
        <f t="shared" si="1"/>
        <v>214530400</v>
      </c>
      <c r="S12" s="2">
        <f>'[1]CLASSES SOCIAIS'!AL14</f>
        <v>37.271666666666668</v>
      </c>
      <c r="T12" s="2">
        <f>'[1]CLASSES SOCIAIS'!AM14</f>
        <v>23.959555555555557</v>
      </c>
      <c r="U12" s="2">
        <f>'[1]CLASSES SOCIAIS'!AN14</f>
        <v>4.8773333333333335</v>
      </c>
      <c r="V12" s="2">
        <f>'[1]CLASSES SOCIAIS'!AO14</f>
        <v>66.108555555555569</v>
      </c>
      <c r="W12">
        <f>[1]INDÚSTRIAS!F14</f>
        <v>57</v>
      </c>
      <c r="X12">
        <f>[1]INDÚSTRIAS!G14</f>
        <v>0</v>
      </c>
      <c r="Y12">
        <f>[1]INDÚSTRIAS!H14</f>
        <v>0</v>
      </c>
      <c r="Z12">
        <f t="shared" si="2"/>
        <v>57</v>
      </c>
      <c r="AA12" s="2">
        <f>'[1]PIB (UT$)'!B13</f>
        <v>3088860.6311393743</v>
      </c>
      <c r="AB12" s="6">
        <f>[1]INDÚSTRIAS!AW14</f>
        <v>1407900</v>
      </c>
      <c r="AC12" s="6">
        <f>[1]INDÚSTRIAS!AX14</f>
        <v>0</v>
      </c>
      <c r="AD12" s="6">
        <f>[1]INDÚSTRIAS!AY14</f>
        <v>0</v>
      </c>
      <c r="AE12" s="6">
        <f>[1]INDÚSTRIAS!AZ14</f>
        <v>1407900</v>
      </c>
      <c r="AF12" s="3">
        <f>'[1]CAPITAL (UT$)'!AF14</f>
        <v>5.8377553833343869</v>
      </c>
      <c r="AG12">
        <f>[1]SERVIÇOS!F14</f>
        <v>57</v>
      </c>
      <c r="AH12">
        <f>[1]SERVIÇOS!G14</f>
        <v>0</v>
      </c>
      <c r="AI12">
        <f>[1]SERVIÇOS!H14</f>
        <v>0</v>
      </c>
      <c r="AJ12">
        <f t="shared" si="3"/>
        <v>57</v>
      </c>
      <c r="AK12" s="2">
        <f>'[1]PIB (UT$)'!C13</f>
        <v>9742574.7139776163</v>
      </c>
      <c r="AL12" s="6">
        <f>[1]SERVIÇOS!AW14</f>
        <v>451440</v>
      </c>
      <c r="AM12" s="6">
        <f>[1]SERVIÇOS!AX14</f>
        <v>0</v>
      </c>
      <c r="AN12" s="6">
        <f>[1]SERVIÇOS!AY14</f>
        <v>0</v>
      </c>
      <c r="AO12" s="6">
        <f>[1]SERVIÇOS!AZ14</f>
        <v>451440</v>
      </c>
      <c r="AP12" s="3">
        <f>'[1]CAPITAL (UT$)'!AG14</f>
        <v>0.23257951913347966</v>
      </c>
      <c r="AQ12">
        <f>[1]MINERAÇÃO!F14</f>
        <v>0</v>
      </c>
      <c r="AR12">
        <f>[1]MINERAÇÃO!G14</f>
        <v>0</v>
      </c>
      <c r="AS12">
        <f>[1]MINERAÇÃO!H14</f>
        <v>0</v>
      </c>
      <c r="AT12">
        <f t="shared" si="4"/>
        <v>0</v>
      </c>
      <c r="AU12" s="2">
        <f>'[1]PIB (UT$)'!D13</f>
        <v>0</v>
      </c>
      <c r="AV12" s="6">
        <f>[1]MINERAÇÃO!AW14</f>
        <v>0</v>
      </c>
      <c r="AW12" s="6">
        <f>[1]MINERAÇÃO!AX14</f>
        <v>0</v>
      </c>
      <c r="AX12" s="6">
        <f>[1]MINERAÇÃO!AY14</f>
        <v>0</v>
      </c>
      <c r="AY12" s="6">
        <f>[1]MINERAÇÃO!AZ14</f>
        <v>0</v>
      </c>
      <c r="AZ12" s="3">
        <f>'[1]CAPITAL (UT$)'!AH14</f>
        <v>0</v>
      </c>
      <c r="BA12">
        <f>[1]AGROPECUÁRIA!F14</f>
        <v>8</v>
      </c>
      <c r="BB12">
        <f>[1]AGROPECUÁRIA!G14</f>
        <v>0</v>
      </c>
      <c r="BC12">
        <f>[1]AGROPECUÁRIA!H14</f>
        <v>0</v>
      </c>
      <c r="BD12">
        <f t="shared" si="5"/>
        <v>8</v>
      </c>
      <c r="BE12" s="2">
        <f>'[1]PIB (UT$)'!E13</f>
        <v>82495.573631135427</v>
      </c>
      <c r="BF12" s="6">
        <f>[1]AGROPECUÁRIA!AW14</f>
        <v>45120</v>
      </c>
      <c r="BG12" s="6">
        <f>[1]AGROPECUÁRIA!AX14</f>
        <v>0</v>
      </c>
      <c r="BH12" s="6">
        <f>[1]AGROPECUÁRIA!AY14</f>
        <v>0</v>
      </c>
      <c r="BI12" s="6">
        <f>[1]AGROPECUÁRIA!AZ14</f>
        <v>45120</v>
      </c>
      <c r="BJ12" s="3">
        <f>'[1]CAPITAL (UT$)'!AI14</f>
        <v>22.606143736062936</v>
      </c>
      <c r="BK12" s="6">
        <f t="shared" si="6"/>
        <v>1904460</v>
      </c>
      <c r="BL12" s="6">
        <f t="shared" si="6"/>
        <v>0</v>
      </c>
      <c r="BM12" s="6">
        <f t="shared" si="6"/>
        <v>0</v>
      </c>
      <c r="BN12" s="6">
        <f t="shared" si="7"/>
        <v>1904460</v>
      </c>
      <c r="BO12" s="3">
        <f t="shared" si="8"/>
        <v>28.676478638530803</v>
      </c>
      <c r="BP12" s="7">
        <f t="shared" si="9"/>
        <v>216434860</v>
      </c>
      <c r="BQ12" s="2">
        <f>(BO12+V12)*[1]GLOBAL!$C$41</f>
        <v>28.435510258225907</v>
      </c>
      <c r="BR12" s="2">
        <f t="shared" si="10"/>
        <v>123.22054445231227</v>
      </c>
    </row>
    <row r="13" spans="1:70">
      <c r="A13">
        <f t="shared" si="11"/>
        <v>1986</v>
      </c>
      <c r="B13" s="1">
        <f>'[1]POPULAÇÃO (HAB)'!D14</f>
        <v>204204</v>
      </c>
      <c r="C13" s="2">
        <f>'[1]PIB (UT$)'!F14</f>
        <v>13693264.864529552</v>
      </c>
      <c r="D13" s="3">
        <f>'[1]PIB (UT$)'!G14</f>
        <v>67.056790584560304</v>
      </c>
      <c r="E13" s="1">
        <f>'[1]POPULAÇÃO (HAB)'!E14</f>
        <v>122522</v>
      </c>
      <c r="F13" s="4">
        <f>[1]IDH!B14</f>
        <v>0.63371368840019304</v>
      </c>
      <c r="G13" s="4">
        <f>[1]IDH!C14</f>
        <v>0.5898472420889912</v>
      </c>
      <c r="H13" s="4">
        <f>[1]IDH!D14</f>
        <v>0.99991821689723503</v>
      </c>
      <c r="I13" s="4">
        <f>[1]IDH!E14</f>
        <v>0.72033144547067895</v>
      </c>
      <c r="J13" s="5">
        <f>[1]EDUCAÇÃO!B14</f>
        <v>8.8477086313348678</v>
      </c>
      <c r="K13">
        <f>'[1]CLASSES SOCIAIS'!T15</f>
        <v>9918</v>
      </c>
      <c r="L13">
        <f>'[1]CLASSES SOCIAIS'!U15</f>
        <v>44984</v>
      </c>
      <c r="M13">
        <f>'[1]CLASSES SOCIAIS'!V15</f>
        <v>29550</v>
      </c>
      <c r="N13">
        <f t="shared" si="0"/>
        <v>84452</v>
      </c>
      <c r="O13" s="6">
        <f>'[1]CONSUMO RESIDENCIAL (kWh)'!B15</f>
        <v>74385000</v>
      </c>
      <c r="P13" s="6">
        <f>'[1]CONSUMO RESIDENCIAL (kWh)'!C15</f>
        <v>112460000</v>
      </c>
      <c r="Q13" s="6">
        <f>'[1]CONSUMO RESIDENCIAL (kWh)'!D15</f>
        <v>35460000</v>
      </c>
      <c r="R13" s="6">
        <f t="shared" si="1"/>
        <v>222305000</v>
      </c>
      <c r="S13" s="2">
        <f>'[1]CLASSES SOCIAIS'!AL15</f>
        <v>39.968333333333334</v>
      </c>
      <c r="T13" s="2">
        <f>'[1]CLASSES SOCIAIS'!AM15</f>
        <v>24.171111111111109</v>
      </c>
      <c r="U13" s="2">
        <f>'[1]CLASSES SOCIAIS'!AN15</f>
        <v>4.7633999999999999</v>
      </c>
      <c r="V13" s="2">
        <f>'[1]CLASSES SOCIAIS'!AO15</f>
        <v>68.902844444444455</v>
      </c>
      <c r="W13">
        <f>[1]INDÚSTRIAS!F15</f>
        <v>61</v>
      </c>
      <c r="X13">
        <f>[1]INDÚSTRIAS!G15</f>
        <v>0</v>
      </c>
      <c r="Y13">
        <f>[1]INDÚSTRIAS!H15</f>
        <v>0</v>
      </c>
      <c r="Z13">
        <f t="shared" si="2"/>
        <v>61</v>
      </c>
      <c r="AA13" s="2">
        <f>'[1]PIB (UT$)'!B14</f>
        <v>3302949.2361064469</v>
      </c>
      <c r="AB13" s="6">
        <f>[1]INDÚSTRIAS!AW15</f>
        <v>1512800</v>
      </c>
      <c r="AC13" s="6">
        <f>[1]INDÚSTRIAS!AX15</f>
        <v>0</v>
      </c>
      <c r="AD13" s="6">
        <f>[1]INDÚSTRIAS!AY15</f>
        <v>0</v>
      </c>
      <c r="AE13" s="6">
        <f>[1]INDÚSTRIAS!AZ15</f>
        <v>1512800</v>
      </c>
      <c r="AF13" s="3">
        <f>'[1]CAPITAL (UT$)'!AF15</f>
        <v>6.5206045338341738</v>
      </c>
      <c r="AG13">
        <f>[1]SERVIÇOS!F15</f>
        <v>61</v>
      </c>
      <c r="AH13">
        <f>[1]SERVIÇOS!G15</f>
        <v>0</v>
      </c>
      <c r="AI13">
        <f>[1]SERVIÇOS!H15</f>
        <v>0</v>
      </c>
      <c r="AJ13">
        <f t="shared" si="3"/>
        <v>61</v>
      </c>
      <c r="AK13" s="2">
        <f>'[1]PIB (UT$)'!C14</f>
        <v>10307496.078407811</v>
      </c>
      <c r="AL13" s="6">
        <f>[1]SERVIÇOS!AW15</f>
        <v>468480</v>
      </c>
      <c r="AM13" s="6">
        <f>[1]SERVIÇOS!AX15</f>
        <v>0</v>
      </c>
      <c r="AN13" s="6">
        <f>[1]SERVIÇOS!AY15</f>
        <v>0</v>
      </c>
      <c r="AO13" s="6">
        <f>[1]SERVIÇOS!AZ15</f>
        <v>468480</v>
      </c>
      <c r="AP13" s="3">
        <f>'[1]CAPITAL (UT$)'!AG15</f>
        <v>0.24712535175738881</v>
      </c>
      <c r="AQ13">
        <f>[1]MINERAÇÃO!F15</f>
        <v>0</v>
      </c>
      <c r="AR13">
        <f>[1]MINERAÇÃO!G15</f>
        <v>0</v>
      </c>
      <c r="AS13">
        <f>[1]MINERAÇÃO!H15</f>
        <v>0</v>
      </c>
      <c r="AT13">
        <f t="shared" si="4"/>
        <v>0</v>
      </c>
      <c r="AU13" s="2">
        <f>'[1]PIB (UT$)'!D14</f>
        <v>0</v>
      </c>
      <c r="AV13" s="6">
        <f>[1]MINERAÇÃO!AW15</f>
        <v>0</v>
      </c>
      <c r="AW13" s="6">
        <f>[1]MINERAÇÃO!AX15</f>
        <v>0</v>
      </c>
      <c r="AX13" s="6">
        <f>[1]MINERAÇÃO!AY15</f>
        <v>0</v>
      </c>
      <c r="AY13" s="6">
        <f>[1]MINERAÇÃO!AZ15</f>
        <v>0</v>
      </c>
      <c r="AZ13" s="3">
        <f>'[1]CAPITAL (UT$)'!AH15</f>
        <v>0</v>
      </c>
      <c r="BA13">
        <f>[1]AGROPECUÁRIA!F15</f>
        <v>8</v>
      </c>
      <c r="BB13">
        <f>[1]AGROPECUÁRIA!G15</f>
        <v>0</v>
      </c>
      <c r="BC13">
        <f>[1]AGROPECUÁRIA!H15</f>
        <v>0</v>
      </c>
      <c r="BD13">
        <f t="shared" si="5"/>
        <v>8</v>
      </c>
      <c r="BE13" s="2">
        <f>'[1]PIB (UT$)'!E14</f>
        <v>82819.550015294837</v>
      </c>
      <c r="BF13" s="6">
        <f>[1]AGROPECUÁRIA!AW15</f>
        <v>46560</v>
      </c>
      <c r="BG13" s="6">
        <f>[1]AGROPECUÁRIA!AX15</f>
        <v>0</v>
      </c>
      <c r="BH13" s="6">
        <f>[1]AGROPECUÁRIA!AY15</f>
        <v>0</v>
      </c>
      <c r="BI13" s="6">
        <f>[1]AGROPECUÁRIA!AZ15</f>
        <v>46560</v>
      </c>
      <c r="BJ13" s="3">
        <f>'[1]CAPITAL (UT$)'!AI15</f>
        <v>24.650173002039352</v>
      </c>
      <c r="BK13" s="6">
        <f t="shared" si="6"/>
        <v>2027840</v>
      </c>
      <c r="BL13" s="6">
        <f t="shared" si="6"/>
        <v>0</v>
      </c>
      <c r="BM13" s="6">
        <f t="shared" si="6"/>
        <v>0</v>
      </c>
      <c r="BN13" s="6">
        <f t="shared" si="7"/>
        <v>2027840</v>
      </c>
      <c r="BO13" s="3">
        <f t="shared" si="8"/>
        <v>31.417902887630916</v>
      </c>
      <c r="BP13" s="7">
        <f t="shared" si="9"/>
        <v>224332840</v>
      </c>
      <c r="BQ13" s="2">
        <f>(BO13+V13)*[1]GLOBAL!$C$41</f>
        <v>30.096224199622611</v>
      </c>
      <c r="BR13" s="2">
        <f t="shared" si="10"/>
        <v>130.41697153169798</v>
      </c>
    </row>
    <row r="14" spans="1:70">
      <c r="A14">
        <f t="shared" si="11"/>
        <v>1987</v>
      </c>
      <c r="B14" s="1">
        <f>'[1]POPULAÇÃO (HAB)'!D15</f>
        <v>205008</v>
      </c>
      <c r="C14" s="2">
        <f>'[1]PIB (UT$)'!F15</f>
        <v>14494720.03644461</v>
      </c>
      <c r="D14" s="3">
        <f>'[1]PIB (UT$)'!G15</f>
        <v>70.703192248324996</v>
      </c>
      <c r="E14" s="1">
        <f>'[1]POPULAÇÃO (HAB)'!E15</f>
        <v>123004</v>
      </c>
      <c r="F14" s="4">
        <f>[1]IDH!B15</f>
        <v>0.64167943790139303</v>
      </c>
      <c r="G14" s="4">
        <f>[1]IDH!C15</f>
        <v>0.6033155243700582</v>
      </c>
      <c r="H14" s="4">
        <f>[1]IDH!D15</f>
        <v>0.99996055794371319</v>
      </c>
      <c r="I14" s="4">
        <f>[1]IDH!E15</f>
        <v>0.72881141235077596</v>
      </c>
      <c r="J14" s="5">
        <f>[1]EDUCAÇÃO!B15</f>
        <v>9.0497328655508724</v>
      </c>
      <c r="K14">
        <f>'[1]CLASSES SOCIAIS'!T16</f>
        <v>10713</v>
      </c>
      <c r="L14">
        <f>'[1]CLASSES SOCIAIS'!U16</f>
        <v>45867</v>
      </c>
      <c r="M14">
        <f>'[1]CLASSES SOCIAIS'!V16</f>
        <v>29187</v>
      </c>
      <c r="N14">
        <f t="shared" si="0"/>
        <v>85767</v>
      </c>
      <c r="O14" s="6">
        <f>'[1]CONSUMO RESIDENCIAL (kWh)'!B16</f>
        <v>80347500</v>
      </c>
      <c r="P14" s="6">
        <f>'[1]CONSUMO RESIDENCIAL (kWh)'!C16</f>
        <v>114667500</v>
      </c>
      <c r="Q14" s="6">
        <f>'[1]CONSUMO RESIDENCIAL (kWh)'!D16</f>
        <v>35024400</v>
      </c>
      <c r="R14" s="6">
        <f t="shared" si="1"/>
        <v>230039400</v>
      </c>
      <c r="S14" s="2">
        <f>'[1]CLASSES SOCIAIS'!AL16</f>
        <v>42.678333333333335</v>
      </c>
      <c r="T14" s="2">
        <f>'[1]CLASSES SOCIAIS'!AM16</f>
        <v>24.363555555555557</v>
      </c>
      <c r="U14" s="2">
        <f>'[1]CLASSES SOCIAIS'!AN16</f>
        <v>4.6509333333333336</v>
      </c>
      <c r="V14" s="2">
        <f>'[1]CLASSES SOCIAIS'!AO16</f>
        <v>71.692822222222219</v>
      </c>
      <c r="W14">
        <f>[1]INDÚSTRIAS!F16</f>
        <v>64</v>
      </c>
      <c r="X14">
        <f>[1]INDÚSTRIAS!G16</f>
        <v>0</v>
      </c>
      <c r="Y14">
        <f>[1]INDÚSTRIAS!H16</f>
        <v>0</v>
      </c>
      <c r="Z14">
        <f t="shared" si="2"/>
        <v>64</v>
      </c>
      <c r="AA14" s="2">
        <f>'[1]PIB (UT$)'!B15</f>
        <v>3516620.0607146653</v>
      </c>
      <c r="AB14" s="6">
        <f>[1]INDÚSTRIAS!AW16</f>
        <v>1568000</v>
      </c>
      <c r="AC14" s="6">
        <f>[1]INDÚSTRIAS!AX16</f>
        <v>0</v>
      </c>
      <c r="AD14" s="6">
        <f>[1]INDÚSTRIAS!AY16</f>
        <v>0</v>
      </c>
      <c r="AE14" s="6">
        <f>[1]INDÚSTRIAS!AZ16</f>
        <v>1568000</v>
      </c>
      <c r="AF14" s="3">
        <f>'[1]CAPITAL (UT$)'!AF16</f>
        <v>7.2248294509664861</v>
      </c>
      <c r="AG14">
        <f>[1]SERVIÇOS!F16</f>
        <v>64</v>
      </c>
      <c r="AH14">
        <f>[1]SERVIÇOS!G16</f>
        <v>0</v>
      </c>
      <c r="AI14">
        <f>[1]SERVIÇOS!H16</f>
        <v>0</v>
      </c>
      <c r="AJ14">
        <f t="shared" si="3"/>
        <v>64</v>
      </c>
      <c r="AK14" s="2">
        <f>'[1]PIB (UT$)'!C15</f>
        <v>10895096.135524312</v>
      </c>
      <c r="AL14" s="6">
        <f>[1]SERVIÇOS!AW16</f>
        <v>496640</v>
      </c>
      <c r="AM14" s="6">
        <f>[1]SERVIÇOS!AX16</f>
        <v>0</v>
      </c>
      <c r="AN14" s="6">
        <f>[1]SERVIÇOS!AY16</f>
        <v>0</v>
      </c>
      <c r="AO14" s="6">
        <f>[1]SERVIÇOS!AZ16</f>
        <v>496640</v>
      </c>
      <c r="AP14" s="3">
        <f>'[1]CAPITAL (UT$)'!AG16</f>
        <v>0.26253369931221643</v>
      </c>
      <c r="AQ14">
        <f>[1]MINERAÇÃO!F16</f>
        <v>0</v>
      </c>
      <c r="AR14">
        <f>[1]MINERAÇÃO!G16</f>
        <v>0</v>
      </c>
      <c r="AS14">
        <f>[1]MINERAÇÃO!H16</f>
        <v>0</v>
      </c>
      <c r="AT14">
        <f t="shared" si="4"/>
        <v>0</v>
      </c>
      <c r="AU14" s="2">
        <f>'[1]PIB (UT$)'!D15</f>
        <v>0</v>
      </c>
      <c r="AV14" s="6">
        <f>[1]MINERAÇÃO!AW16</f>
        <v>0</v>
      </c>
      <c r="AW14" s="6">
        <f>[1]MINERAÇÃO!AX16</f>
        <v>0</v>
      </c>
      <c r="AX14" s="6">
        <f>[1]MINERAÇÃO!AY16</f>
        <v>0</v>
      </c>
      <c r="AY14" s="6">
        <f>[1]MINERAÇÃO!AZ16</f>
        <v>0</v>
      </c>
      <c r="AZ14" s="3">
        <f>'[1]CAPITAL (UT$)'!AH16</f>
        <v>0</v>
      </c>
      <c r="BA14">
        <f>[1]AGROPECUÁRIA!F16</f>
        <v>8</v>
      </c>
      <c r="BB14">
        <f>[1]AGROPECUÁRIA!G16</f>
        <v>0</v>
      </c>
      <c r="BC14">
        <f>[1]AGROPECUÁRIA!H16</f>
        <v>0</v>
      </c>
      <c r="BD14">
        <f t="shared" si="5"/>
        <v>8</v>
      </c>
      <c r="BE14" s="2">
        <f>'[1]PIB (UT$)'!E15</f>
        <v>83003.840205633038</v>
      </c>
      <c r="BF14" s="6">
        <f>[1]AGROPECUÁRIA!AW16</f>
        <v>45120</v>
      </c>
      <c r="BG14" s="6">
        <f>[1]AGROPECUÁRIA!AX16</f>
        <v>0</v>
      </c>
      <c r="BH14" s="6">
        <f>[1]AGROPECUÁRIA!AY16</f>
        <v>0</v>
      </c>
      <c r="BI14" s="6">
        <f>[1]AGROPECUÁRIA!AZ16</f>
        <v>45120</v>
      </c>
      <c r="BJ14" s="3">
        <f>'[1]CAPITAL (UT$)'!AI16</f>
        <v>26.749577323345267</v>
      </c>
      <c r="BK14" s="6">
        <f t="shared" si="6"/>
        <v>2109760</v>
      </c>
      <c r="BL14" s="6">
        <f t="shared" si="6"/>
        <v>0</v>
      </c>
      <c r="BM14" s="6">
        <f t="shared" si="6"/>
        <v>0</v>
      </c>
      <c r="BN14" s="6">
        <f t="shared" si="7"/>
        <v>2109760</v>
      </c>
      <c r="BO14" s="3">
        <f t="shared" si="8"/>
        <v>34.236940473623967</v>
      </c>
      <c r="BP14" s="7">
        <f t="shared" si="9"/>
        <v>232149160</v>
      </c>
      <c r="BQ14" s="2">
        <f>(BO14+V14)*[1]GLOBAL!$C$41</f>
        <v>31.778928808753857</v>
      </c>
      <c r="BR14" s="2">
        <f t="shared" si="10"/>
        <v>137.70869150460004</v>
      </c>
    </row>
    <row r="15" spans="1:70">
      <c r="A15">
        <f t="shared" si="11"/>
        <v>1988</v>
      </c>
      <c r="B15" s="1">
        <f>'[1]POPULAÇÃO (HAB)'!D16</f>
        <v>205778</v>
      </c>
      <c r="C15" s="2">
        <f>'[1]PIB (UT$)'!F16</f>
        <v>15319838.681086758</v>
      </c>
      <c r="D15" s="3">
        <f>'[1]PIB (UT$)'!G16</f>
        <v>74.448379715454323</v>
      </c>
      <c r="E15" s="1">
        <f>'[1]POPULAÇÃO (HAB)'!E16</f>
        <v>123466</v>
      </c>
      <c r="F15" s="4">
        <f>[1]IDH!B16</f>
        <v>0.64944733042701086</v>
      </c>
      <c r="G15" s="4">
        <f>[1]IDH!C16</f>
        <v>0.61625570774922978</v>
      </c>
      <c r="H15" s="4">
        <f>[1]IDH!D16</f>
        <v>0.99998135056286397</v>
      </c>
      <c r="I15" s="4">
        <f>[1]IDH!E16</f>
        <v>0.73694022693749484</v>
      </c>
      <c r="J15" s="5">
        <f>[1]EDUCAÇÃO!B16</f>
        <v>9.2438356162384459</v>
      </c>
      <c r="K15">
        <f>'[1]CLASSES SOCIAIS'!T17</f>
        <v>11520</v>
      </c>
      <c r="L15">
        <f>'[1]CLASSES SOCIAIS'!U17</f>
        <v>46707</v>
      </c>
      <c r="M15">
        <f>'[1]CLASSES SOCIAIS'!V17</f>
        <v>28807</v>
      </c>
      <c r="N15">
        <f t="shared" si="0"/>
        <v>87034</v>
      </c>
      <c r="O15" s="6">
        <f>'[1]CONSUMO RESIDENCIAL (kWh)'!B17</f>
        <v>86400000</v>
      </c>
      <c r="P15" s="6">
        <f>'[1]CONSUMO RESIDENCIAL (kWh)'!C17</f>
        <v>116767500</v>
      </c>
      <c r="Q15" s="6">
        <f>'[1]CONSUMO RESIDENCIAL (kWh)'!D17</f>
        <v>34568400</v>
      </c>
      <c r="R15" s="6">
        <f t="shared" si="1"/>
        <v>237735900</v>
      </c>
      <c r="S15" s="2">
        <f>'[1]CLASSES SOCIAIS'!AL17</f>
        <v>45.393333333333331</v>
      </c>
      <c r="T15" s="2">
        <f>'[1]CLASSES SOCIAIS'!AM17</f>
        <v>24.540222222222223</v>
      </c>
      <c r="U15" s="2">
        <f>'[1]CLASSES SOCIAIS'!AN17</f>
        <v>4.5406000000000004</v>
      </c>
      <c r="V15" s="2">
        <f>'[1]CLASSES SOCIAIS'!AO17</f>
        <v>74.474155555555555</v>
      </c>
      <c r="W15">
        <f>[1]INDÚSTRIAS!F17</f>
        <v>67</v>
      </c>
      <c r="X15">
        <f>[1]INDÚSTRIAS!G17</f>
        <v>0</v>
      </c>
      <c r="Y15">
        <f>[1]INDÚSTRIAS!H17</f>
        <v>0</v>
      </c>
      <c r="Z15">
        <f t="shared" si="2"/>
        <v>67</v>
      </c>
      <c r="AA15" s="2">
        <f>'[1]PIB (UT$)'!B16</f>
        <v>3730389.1385762771</v>
      </c>
      <c r="AB15" s="6">
        <f>[1]INDÚSTRIAS!AW17</f>
        <v>1661600</v>
      </c>
      <c r="AC15" s="6">
        <f>[1]INDÚSTRIAS!AX17</f>
        <v>0</v>
      </c>
      <c r="AD15" s="6">
        <f>[1]INDÚSTRIAS!AY17</f>
        <v>0</v>
      </c>
      <c r="AE15" s="6">
        <f>[1]INDÚSTRIAS!AZ17</f>
        <v>1661600</v>
      </c>
      <c r="AF15" s="3">
        <f>'[1]CAPITAL (UT$)'!AF17</f>
        <v>7.9509172868240654</v>
      </c>
      <c r="AG15">
        <f>[1]SERVIÇOS!F17</f>
        <v>67</v>
      </c>
      <c r="AH15">
        <f>[1]SERVIÇOS!G17</f>
        <v>0</v>
      </c>
      <c r="AI15">
        <f>[1]SERVIÇOS!H17</f>
        <v>0</v>
      </c>
      <c r="AJ15">
        <f t="shared" si="3"/>
        <v>67</v>
      </c>
      <c r="AK15" s="2">
        <f>'[1]PIB (UT$)'!C16</f>
        <v>11506388.020581538</v>
      </c>
      <c r="AL15" s="6">
        <f>[1]SERVIÇOS!AW17</f>
        <v>519920</v>
      </c>
      <c r="AM15" s="6">
        <f>[1]SERVIÇOS!AX17</f>
        <v>0</v>
      </c>
      <c r="AN15" s="6">
        <f>[1]SERVIÇOS!AY17</f>
        <v>0</v>
      </c>
      <c r="AO15" s="6">
        <f>[1]SERVIÇOS!AZ17</f>
        <v>519920</v>
      </c>
      <c r="AP15" s="3">
        <f>'[1]CAPITAL (UT$)'!AG17</f>
        <v>0.27881555506025762</v>
      </c>
      <c r="AQ15">
        <f>[1]MINERAÇÃO!F17</f>
        <v>0</v>
      </c>
      <c r="AR15">
        <f>[1]MINERAÇÃO!G17</f>
        <v>0</v>
      </c>
      <c r="AS15">
        <f>[1]MINERAÇÃO!H17</f>
        <v>0</v>
      </c>
      <c r="AT15">
        <f t="shared" si="4"/>
        <v>0</v>
      </c>
      <c r="AU15" s="2">
        <f>'[1]PIB (UT$)'!D16</f>
        <v>0</v>
      </c>
      <c r="AV15" s="6">
        <f>[1]MINERAÇÃO!AW17</f>
        <v>0</v>
      </c>
      <c r="AW15" s="6">
        <f>[1]MINERAÇÃO!AX17</f>
        <v>0</v>
      </c>
      <c r="AX15" s="6">
        <f>[1]MINERAÇÃO!AY17</f>
        <v>0</v>
      </c>
      <c r="AY15" s="6">
        <f>[1]MINERAÇÃO!AZ17</f>
        <v>0</v>
      </c>
      <c r="AZ15" s="3">
        <f>'[1]CAPITAL (UT$)'!AH17</f>
        <v>0</v>
      </c>
      <c r="BA15">
        <f>[1]AGROPECUÁRIA!F17</f>
        <v>8</v>
      </c>
      <c r="BB15">
        <f>[1]AGROPECUÁRIA!G17</f>
        <v>0</v>
      </c>
      <c r="BC15">
        <f>[1]AGROPECUÁRIA!H17</f>
        <v>0</v>
      </c>
      <c r="BD15">
        <f t="shared" si="5"/>
        <v>8</v>
      </c>
      <c r="BE15" s="2">
        <f>'[1]PIB (UT$)'!E16</f>
        <v>83061.521928943199</v>
      </c>
      <c r="BF15" s="6">
        <f>[1]AGROPECUÁRIA!AW17</f>
        <v>44760</v>
      </c>
      <c r="BG15" s="6">
        <f>[1]AGROPECUÁRIA!AX17</f>
        <v>0</v>
      </c>
      <c r="BH15" s="6">
        <f>[1]AGROPECUÁRIA!AY17</f>
        <v>0</v>
      </c>
      <c r="BI15" s="6">
        <f>[1]AGROPECUÁRIA!AZ17</f>
        <v>44760</v>
      </c>
      <c r="BJ15" s="3">
        <f>'[1]CAPITAL (UT$)'!AI17</f>
        <v>28.906192936492282</v>
      </c>
      <c r="BK15" s="6">
        <f t="shared" si="6"/>
        <v>2226280</v>
      </c>
      <c r="BL15" s="6">
        <f t="shared" si="6"/>
        <v>0</v>
      </c>
      <c r="BM15" s="6">
        <f t="shared" si="6"/>
        <v>0</v>
      </c>
      <c r="BN15" s="6">
        <f t="shared" si="7"/>
        <v>2226280</v>
      </c>
      <c r="BO15" s="3">
        <f t="shared" si="8"/>
        <v>37.135925778376603</v>
      </c>
      <c r="BP15" s="7">
        <f t="shared" si="9"/>
        <v>239962180</v>
      </c>
      <c r="BQ15" s="2">
        <f>(BO15+V15)*[1]GLOBAL!$C$41</f>
        <v>33.483024400179644</v>
      </c>
      <c r="BR15" s="2">
        <f t="shared" si="10"/>
        <v>145.09310573411182</v>
      </c>
    </row>
    <row r="16" spans="1:70">
      <c r="A16">
        <f t="shared" si="11"/>
        <v>1989</v>
      </c>
      <c r="B16" s="1">
        <f>'[1]POPULAÇÃO (HAB)'!D17</f>
        <v>206528</v>
      </c>
      <c r="C16" s="2">
        <f>'[1]PIB (UT$)'!F17</f>
        <v>16169744.653022178</v>
      </c>
      <c r="D16" s="3">
        <f>'[1]PIB (UT$)'!G17</f>
        <v>78.293232167174324</v>
      </c>
      <c r="E16" s="1">
        <f>'[1]POPULAÇÃO (HAB)'!E17</f>
        <v>123916</v>
      </c>
      <c r="F16" s="4">
        <f>[1]IDH!B17</f>
        <v>0.65702790453457216</v>
      </c>
      <c r="G16" s="4">
        <f>[1]IDH!C17</f>
        <v>0.62868849928063208</v>
      </c>
      <c r="H16" s="4">
        <f>[1]IDH!D17</f>
        <v>0.99999135608607703</v>
      </c>
      <c r="I16" s="4">
        <f>[1]IDH!E17</f>
        <v>0.74474087757666252</v>
      </c>
      <c r="J16" s="5">
        <f>[1]EDUCAÇÃO!B17</f>
        <v>9.4303274892094819</v>
      </c>
      <c r="K16">
        <f>'[1]CLASSES SOCIAIS'!T18</f>
        <v>12336</v>
      </c>
      <c r="L16">
        <f>'[1]CLASSES SOCIAIS'!U18</f>
        <v>47505</v>
      </c>
      <c r="M16">
        <f>'[1]CLASSES SOCIAIS'!V18</f>
        <v>28413</v>
      </c>
      <c r="N16">
        <f t="shared" si="0"/>
        <v>88254</v>
      </c>
      <c r="O16" s="6">
        <f>'[1]CONSUMO RESIDENCIAL (kWh)'!B18</f>
        <v>92520000</v>
      </c>
      <c r="P16" s="6">
        <f>'[1]CONSUMO RESIDENCIAL (kWh)'!C18</f>
        <v>118762500</v>
      </c>
      <c r="Q16" s="6">
        <f>'[1]CONSUMO RESIDENCIAL (kWh)'!D18</f>
        <v>34095600</v>
      </c>
      <c r="R16" s="6">
        <f t="shared" si="1"/>
        <v>245378100</v>
      </c>
      <c r="S16" s="2">
        <f>'[1]CLASSES SOCIAIS'!AL18</f>
        <v>48.115000000000002</v>
      </c>
      <c r="T16" s="2">
        <f>'[1]CLASSES SOCIAIS'!AM18</f>
        <v>24.704000000000001</v>
      </c>
      <c r="U16" s="2">
        <f>'[1]CLASSES SOCIAIS'!AN18</f>
        <v>4.432666666666667</v>
      </c>
      <c r="V16" s="2">
        <f>'[1]CLASSES SOCIAIS'!AO18</f>
        <v>77.251666666666665</v>
      </c>
      <c r="W16">
        <f>[1]INDÚSTRIAS!F18</f>
        <v>70</v>
      </c>
      <c r="X16">
        <f>[1]INDÚSTRIAS!G18</f>
        <v>0</v>
      </c>
      <c r="Y16">
        <f>[1]INDÚSTRIAS!H18</f>
        <v>0</v>
      </c>
      <c r="Z16">
        <f t="shared" si="2"/>
        <v>70</v>
      </c>
      <c r="AA16" s="2">
        <f>'[1]PIB (UT$)'!B17</f>
        <v>3944628.6394372312</v>
      </c>
      <c r="AB16" s="6">
        <f>[1]INDÚSTRIAS!AW18</f>
        <v>1708000</v>
      </c>
      <c r="AC16" s="6">
        <f>[1]INDÚSTRIAS!AX18</f>
        <v>0</v>
      </c>
      <c r="AD16" s="6">
        <f>[1]INDÚSTRIAS!AY18</f>
        <v>0</v>
      </c>
      <c r="AE16" s="6">
        <f>[1]INDÚSTRIAS!AZ18</f>
        <v>1708000</v>
      </c>
      <c r="AF16" s="3">
        <f>'[1]CAPITAL (UT$)'!AF18</f>
        <v>8.6994493441015628</v>
      </c>
      <c r="AG16">
        <f>[1]SERVIÇOS!F18</f>
        <v>70</v>
      </c>
      <c r="AH16">
        <f>[1]SERVIÇOS!G18</f>
        <v>0</v>
      </c>
      <c r="AI16">
        <f>[1]SERVIÇOS!H18</f>
        <v>0</v>
      </c>
      <c r="AJ16">
        <f t="shared" si="3"/>
        <v>70</v>
      </c>
      <c r="AK16" s="2">
        <f>'[1]PIB (UT$)'!C17</f>
        <v>12142115.120673653</v>
      </c>
      <c r="AL16" s="6">
        <f>[1]SERVIÇOS!AW18</f>
        <v>543200</v>
      </c>
      <c r="AM16" s="6">
        <f>[1]SERVIÇOS!AX18</f>
        <v>0</v>
      </c>
      <c r="AN16" s="6">
        <f>[1]SERVIÇOS!AY18</f>
        <v>0</v>
      </c>
      <c r="AO16" s="6">
        <f>[1]SERVIÇOS!AZ18</f>
        <v>543200</v>
      </c>
      <c r="AP16" s="3">
        <f>'[1]CAPITAL (UT$)'!AG18</f>
        <v>0.29598415287692781</v>
      </c>
      <c r="AQ16">
        <f>[1]MINERAÇÃO!F18</f>
        <v>0</v>
      </c>
      <c r="AR16">
        <f>[1]MINERAÇÃO!G18</f>
        <v>0</v>
      </c>
      <c r="AS16">
        <f>[1]MINERAÇÃO!H18</f>
        <v>0</v>
      </c>
      <c r="AT16">
        <f t="shared" si="4"/>
        <v>0</v>
      </c>
      <c r="AU16" s="2">
        <f>'[1]PIB (UT$)'!D17</f>
        <v>0</v>
      </c>
      <c r="AV16" s="6">
        <f>[1]MINERAÇÃO!AW18</f>
        <v>0</v>
      </c>
      <c r="AW16" s="6">
        <f>[1]MINERAÇÃO!AX18</f>
        <v>0</v>
      </c>
      <c r="AX16" s="6">
        <f>[1]MINERAÇÃO!AY18</f>
        <v>0</v>
      </c>
      <c r="AY16" s="6">
        <f>[1]MINERAÇÃO!AZ18</f>
        <v>0</v>
      </c>
      <c r="AZ16" s="3">
        <f>'[1]CAPITAL (UT$)'!AH18</f>
        <v>0</v>
      </c>
      <c r="BA16">
        <f>[1]AGROPECUÁRIA!F18</f>
        <v>8</v>
      </c>
      <c r="BB16">
        <f>[1]AGROPECUÁRIA!G18</f>
        <v>0</v>
      </c>
      <c r="BC16">
        <f>[1]AGROPECUÁRIA!H18</f>
        <v>0</v>
      </c>
      <c r="BD16">
        <f t="shared" si="5"/>
        <v>8</v>
      </c>
      <c r="BE16" s="2">
        <f>'[1]PIB (UT$)'!E17</f>
        <v>83000.892911292292</v>
      </c>
      <c r="BF16" s="6">
        <f>[1]AGROPECUÁRIA!AW18</f>
        <v>46920</v>
      </c>
      <c r="BG16" s="6">
        <f>[1]AGROPECUÁRIA!AX18</f>
        <v>0</v>
      </c>
      <c r="BH16" s="6">
        <f>[1]AGROPECUÁRIA!AY18</f>
        <v>0</v>
      </c>
      <c r="BI16" s="6">
        <f>[1]AGROPECUÁRIA!AZ18</f>
        <v>46920</v>
      </c>
      <c r="BJ16" s="3">
        <f>'[1]CAPITAL (UT$)'!AI18</f>
        <v>31.122186536538639</v>
      </c>
      <c r="BK16" s="6">
        <f t="shared" si="6"/>
        <v>2298120</v>
      </c>
      <c r="BL16" s="6">
        <f t="shared" si="6"/>
        <v>0</v>
      </c>
      <c r="BM16" s="6">
        <f t="shared" si="6"/>
        <v>0</v>
      </c>
      <c r="BN16" s="6">
        <f t="shared" si="7"/>
        <v>2298120</v>
      </c>
      <c r="BO16" s="3">
        <f t="shared" si="8"/>
        <v>40.117620033517127</v>
      </c>
      <c r="BP16" s="7">
        <f t="shared" si="9"/>
        <v>247676220</v>
      </c>
      <c r="BQ16" s="2">
        <f>(BO16+V16)*[1]GLOBAL!$C$41</f>
        <v>35.210786010055138</v>
      </c>
      <c r="BR16" s="2">
        <f t="shared" si="10"/>
        <v>152.58007271023894</v>
      </c>
    </row>
    <row r="17" spans="1:70">
      <c r="A17">
        <f t="shared" si="11"/>
        <v>1990</v>
      </c>
      <c r="B17" s="1">
        <f>'[1]POPULAÇÃO (HAB)'!D18</f>
        <v>207267</v>
      </c>
      <c r="C17" s="2">
        <f>'[1]PIB (UT$)'!F18</f>
        <v>17045468.3605689</v>
      </c>
      <c r="D17" s="3">
        <f>'[1]PIB (UT$)'!G18</f>
        <v>82.239181155557318</v>
      </c>
      <c r="E17" s="1">
        <f>'[1]POPULAÇÃO (HAB)'!E18</f>
        <v>124360</v>
      </c>
      <c r="F17" s="4">
        <f>[1]IDH!B18</f>
        <v>0.66443199171374667</v>
      </c>
      <c r="G17" s="4">
        <f>[1]IDH!C18</f>
        <v>0.64063379408318588</v>
      </c>
      <c r="H17" s="4">
        <f>[1]IDH!D18</f>
        <v>0.99999607380642463</v>
      </c>
      <c r="I17" s="4">
        <f>[1]IDH!E18</f>
        <v>0.7522338828897317</v>
      </c>
      <c r="J17" s="5">
        <f>[1]EDUCAÇÃO!B18</f>
        <v>9.609506911247788</v>
      </c>
      <c r="K17">
        <f>'[1]CLASSES SOCIAIS'!T19</f>
        <v>13161</v>
      </c>
      <c r="L17">
        <f>'[1]CLASSES SOCIAIS'!U19</f>
        <v>48264</v>
      </c>
      <c r="M17">
        <f>'[1]CLASSES SOCIAIS'!V19</f>
        <v>28007</v>
      </c>
      <c r="N17">
        <f t="shared" si="0"/>
        <v>89432</v>
      </c>
      <c r="O17" s="6">
        <f>'[1]CONSUMO RESIDENCIAL (kWh)'!B19</f>
        <v>98707500</v>
      </c>
      <c r="P17" s="6">
        <f>'[1]CONSUMO RESIDENCIAL (kWh)'!C19</f>
        <v>120660000</v>
      </c>
      <c r="Q17" s="6">
        <f>'[1]CONSUMO RESIDENCIAL (kWh)'!D19</f>
        <v>33608400</v>
      </c>
      <c r="R17" s="6">
        <f t="shared" si="1"/>
        <v>252975900</v>
      </c>
      <c r="S17" s="2">
        <f>'[1]CLASSES SOCIAIS'!AL19</f>
        <v>50.835000000000001</v>
      </c>
      <c r="T17" s="2">
        <f>'[1]CLASSES SOCIAIS'!AM19</f>
        <v>24.856666666666666</v>
      </c>
      <c r="U17" s="2">
        <f>'[1]CLASSES SOCIAIS'!AN19</f>
        <v>4.3272666666666666</v>
      </c>
      <c r="V17" s="2">
        <f>'[1]CLASSES SOCIAIS'!AO19</f>
        <v>80.018933333333337</v>
      </c>
      <c r="W17">
        <f>[1]INDÚSTRIAS!F19</f>
        <v>73</v>
      </c>
      <c r="X17">
        <f>[1]INDÚSTRIAS!G19</f>
        <v>0</v>
      </c>
      <c r="Y17">
        <f>[1]INDÚSTRIAS!H19</f>
        <v>0</v>
      </c>
      <c r="Z17">
        <f t="shared" si="2"/>
        <v>73</v>
      </c>
      <c r="AA17" s="2">
        <f>'[1]PIB (UT$)'!B18</f>
        <v>4159640.3508833372</v>
      </c>
      <c r="AB17" s="6">
        <f>[1]INDÚSTRIAS!AW19</f>
        <v>1759300</v>
      </c>
      <c r="AC17" s="6">
        <f>[1]INDÚSTRIAS!AX19</f>
        <v>0</v>
      </c>
      <c r="AD17" s="6">
        <f>[1]INDÚSTRIAS!AY19</f>
        <v>0</v>
      </c>
      <c r="AE17" s="6">
        <f>[1]INDÚSTRIAS!AZ19</f>
        <v>1759300</v>
      </c>
      <c r="AF17" s="3">
        <f>'[1]CAPITAL (UT$)'!AF19</f>
        <v>9.4710619556972429</v>
      </c>
      <c r="AG17">
        <f>[1]SERVIÇOS!F19</f>
        <v>73</v>
      </c>
      <c r="AH17">
        <f>[1]SERVIÇOS!G19</f>
        <v>0</v>
      </c>
      <c r="AI17">
        <f>[1]SERVIÇOS!H19</f>
        <v>0</v>
      </c>
      <c r="AJ17">
        <f t="shared" si="3"/>
        <v>73</v>
      </c>
      <c r="AK17" s="2">
        <f>'[1]PIB (UT$)'!C18</f>
        <v>12802999.46809667</v>
      </c>
      <c r="AL17" s="6">
        <f>[1]SERVIÇOS!AW19</f>
        <v>566480</v>
      </c>
      <c r="AM17" s="6">
        <f>[1]SERVIÇOS!AX19</f>
        <v>0</v>
      </c>
      <c r="AN17" s="6">
        <f>[1]SERVIÇOS!AY19</f>
        <v>0</v>
      </c>
      <c r="AO17" s="6">
        <f>[1]SERVIÇOS!AZ19</f>
        <v>566480</v>
      </c>
      <c r="AP17" s="3">
        <f>'[1]CAPITAL (UT$)'!AG19</f>
        <v>0.31405420271232365</v>
      </c>
      <c r="AQ17">
        <f>[1]MINERAÇÃO!F19</f>
        <v>0</v>
      </c>
      <c r="AR17">
        <f>[1]MINERAÇÃO!G19</f>
        <v>0</v>
      </c>
      <c r="AS17">
        <f>[1]MINERAÇÃO!H19</f>
        <v>0</v>
      </c>
      <c r="AT17">
        <f t="shared" si="4"/>
        <v>0</v>
      </c>
      <c r="AU17" s="2">
        <f>'[1]PIB (UT$)'!D18</f>
        <v>0</v>
      </c>
      <c r="AV17" s="6">
        <f>[1]MINERAÇÃO!AW19</f>
        <v>0</v>
      </c>
      <c r="AW17" s="6">
        <f>[1]MINERAÇÃO!AX19</f>
        <v>0</v>
      </c>
      <c r="AX17" s="6">
        <f>[1]MINERAÇÃO!AY19</f>
        <v>0</v>
      </c>
      <c r="AY17" s="6">
        <f>[1]MINERAÇÃO!AZ19</f>
        <v>0</v>
      </c>
      <c r="AZ17" s="3">
        <f>'[1]CAPITAL (UT$)'!AH19</f>
        <v>0</v>
      </c>
      <c r="BA17">
        <f>[1]AGROPECUÁRIA!F19</f>
        <v>8</v>
      </c>
      <c r="BB17">
        <f>[1]AGROPECUÁRIA!G19</f>
        <v>0</v>
      </c>
      <c r="BC17">
        <f>[1]AGROPECUÁRIA!H19</f>
        <v>0</v>
      </c>
      <c r="BD17">
        <f t="shared" si="5"/>
        <v>8</v>
      </c>
      <c r="BE17" s="2">
        <f>'[1]PIB (UT$)'!E18</f>
        <v>82828.541588892447</v>
      </c>
      <c r="BF17" s="6">
        <f>[1]AGROPECUÁRIA!AW19</f>
        <v>46200</v>
      </c>
      <c r="BG17" s="6">
        <f>[1]AGROPECUÁRIA!AX19</f>
        <v>0</v>
      </c>
      <c r="BH17" s="6">
        <f>[1]AGROPECUÁRIA!AY19</f>
        <v>0</v>
      </c>
      <c r="BI17" s="6">
        <f>[1]AGROPECUÁRIA!AZ19</f>
        <v>46200</v>
      </c>
      <c r="BJ17" s="3">
        <f>'[1]CAPITAL (UT$)'!AI19</f>
        <v>33.399882767225506</v>
      </c>
      <c r="BK17" s="6">
        <f t="shared" si="6"/>
        <v>2371980</v>
      </c>
      <c r="BL17" s="6">
        <f t="shared" si="6"/>
        <v>0</v>
      </c>
      <c r="BM17" s="6">
        <f t="shared" si="6"/>
        <v>0</v>
      </c>
      <c r="BN17" s="6">
        <f t="shared" si="7"/>
        <v>2371980</v>
      </c>
      <c r="BO17" s="3">
        <f t="shared" si="8"/>
        <v>43.184998925635071</v>
      </c>
      <c r="BP17" s="7">
        <f t="shared" si="9"/>
        <v>255347880</v>
      </c>
      <c r="BQ17" s="2">
        <f>(BO17+V17)*[1]GLOBAL!$C$41</f>
        <v>36.961179677690524</v>
      </c>
      <c r="BR17" s="2">
        <f t="shared" si="10"/>
        <v>160.16511193665895</v>
      </c>
    </row>
    <row r="18" spans="1:70">
      <c r="A18">
        <f t="shared" si="11"/>
        <v>1991</v>
      </c>
      <c r="B18" s="1">
        <f>'[1]POPULAÇÃO (HAB)'!D19</f>
        <v>208001</v>
      </c>
      <c r="C18" s="2">
        <f>'[1]PIB (UT$)'!F19</f>
        <v>17947732.305498365</v>
      </c>
      <c r="D18" s="3">
        <f>'[1]PIB (UT$)'!G19</f>
        <v>86.286759705474324</v>
      </c>
      <c r="E18" s="1">
        <f>'[1]POPULAÇÃO (HAB)'!E19</f>
        <v>124800</v>
      </c>
      <c r="F18" s="4">
        <f>[1]IDH!B19</f>
        <v>0.67166900616389213</v>
      </c>
      <c r="G18" s="4">
        <f>[1]IDH!C19</f>
        <v>0.65211070717704078</v>
      </c>
      <c r="H18" s="4">
        <f>[1]IDH!D19</f>
        <v>0.99999825255124586</v>
      </c>
      <c r="I18" s="4">
        <f>[1]IDH!E19</f>
        <v>0.75943736359265657</v>
      </c>
      <c r="J18" s="5">
        <f>[1]EDUCAÇÃO!B19</f>
        <v>9.7816606076556116</v>
      </c>
      <c r="K18">
        <f>'[1]CLASSES SOCIAIS'!T20</f>
        <v>13991</v>
      </c>
      <c r="L18">
        <f>'[1]CLASSES SOCIAIS'!U20</f>
        <v>48985</v>
      </c>
      <c r="M18">
        <f>'[1]CLASSES SOCIAIS'!V20</f>
        <v>27592</v>
      </c>
      <c r="N18">
        <f t="shared" si="0"/>
        <v>90568</v>
      </c>
      <c r="O18" s="6">
        <f>'[1]CONSUMO RESIDENCIAL (kWh)'!B20</f>
        <v>104932500</v>
      </c>
      <c r="P18" s="6">
        <f>'[1]CONSUMO RESIDENCIAL (kWh)'!C20</f>
        <v>122462500</v>
      </c>
      <c r="Q18" s="6">
        <f>'[1]CONSUMO RESIDENCIAL (kWh)'!D20</f>
        <v>33110400</v>
      </c>
      <c r="R18" s="6">
        <f t="shared" si="1"/>
        <v>260505400</v>
      </c>
      <c r="S18" s="2">
        <f>'[1]CLASSES SOCIAIS'!AL20</f>
        <v>53.553333333333335</v>
      </c>
      <c r="T18" s="2">
        <f>'[1]CLASSES SOCIAIS'!AM20</f>
        <v>25</v>
      </c>
      <c r="U18" s="2">
        <f>'[1]CLASSES SOCIAIS'!AN20</f>
        <v>4.2244666666666664</v>
      </c>
      <c r="V18" s="2">
        <f>'[1]CLASSES SOCIAIS'!AO20</f>
        <v>82.777800000000013</v>
      </c>
      <c r="W18">
        <f>[1]INDÚSTRIAS!F20</f>
        <v>76</v>
      </c>
      <c r="X18">
        <f>[1]INDÚSTRIAS!G20</f>
        <v>0</v>
      </c>
      <c r="Y18">
        <f>[1]INDÚSTRIAS!H20</f>
        <v>0</v>
      </c>
      <c r="Z18">
        <f t="shared" si="2"/>
        <v>76</v>
      </c>
      <c r="AA18" s="2">
        <f>'[1]PIB (UT$)'!B19</f>
        <v>4375621.5100234617</v>
      </c>
      <c r="AB18" s="6">
        <f>[1]INDÚSTRIAS!AW20</f>
        <v>1839200</v>
      </c>
      <c r="AC18" s="6">
        <f>[1]INDÚSTRIAS!AX20</f>
        <v>0</v>
      </c>
      <c r="AD18" s="6">
        <f>[1]INDÚSTRIAS!AY20</f>
        <v>0</v>
      </c>
      <c r="AE18" s="6">
        <f>[1]INDÚSTRIAS!AZ20</f>
        <v>1839200</v>
      </c>
      <c r="AF18" s="3">
        <f>'[1]CAPITAL (UT$)'!AF20</f>
        <v>10.26643570720092</v>
      </c>
      <c r="AG18">
        <f>[1]SERVIÇOS!F20</f>
        <v>76</v>
      </c>
      <c r="AH18">
        <f>[1]SERVIÇOS!G20</f>
        <v>0</v>
      </c>
      <c r="AI18">
        <f>[1]SERVIÇOS!H20</f>
        <v>0</v>
      </c>
      <c r="AJ18">
        <f t="shared" si="3"/>
        <v>76</v>
      </c>
      <c r="AK18" s="2">
        <f>'[1]PIB (UT$)'!C19</f>
        <v>13489562.570028886</v>
      </c>
      <c r="AL18" s="6">
        <f>[1]SERVIÇOS!AW20</f>
        <v>589760</v>
      </c>
      <c r="AM18" s="6">
        <f>[1]SERVIÇOS!AX20</f>
        <v>0</v>
      </c>
      <c r="AN18" s="6">
        <f>[1]SERVIÇOS!AY20</f>
        <v>0</v>
      </c>
      <c r="AO18" s="6">
        <f>[1]SERVIÇOS!AZ20</f>
        <v>589760</v>
      </c>
      <c r="AP18" s="3">
        <f>'[1]CAPITAL (UT$)'!AG20</f>
        <v>0.33304169056523542</v>
      </c>
      <c r="AQ18">
        <f>[1]MINERAÇÃO!F20</f>
        <v>0</v>
      </c>
      <c r="AR18">
        <f>[1]MINERAÇÃO!G20</f>
        <v>0</v>
      </c>
      <c r="AS18">
        <f>[1]MINERAÇÃO!H20</f>
        <v>0</v>
      </c>
      <c r="AT18">
        <f t="shared" si="4"/>
        <v>0</v>
      </c>
      <c r="AU18" s="2">
        <f>'[1]PIB (UT$)'!D19</f>
        <v>0</v>
      </c>
      <c r="AV18" s="6">
        <f>[1]MINERAÇÃO!AW20</f>
        <v>0</v>
      </c>
      <c r="AW18" s="6">
        <f>[1]MINERAÇÃO!AX20</f>
        <v>0</v>
      </c>
      <c r="AX18" s="6">
        <f>[1]MINERAÇÃO!AY20</f>
        <v>0</v>
      </c>
      <c r="AY18" s="6">
        <f>[1]MINERAÇÃO!AZ20</f>
        <v>0</v>
      </c>
      <c r="AZ18" s="3">
        <f>'[1]CAPITAL (UT$)'!AH20</f>
        <v>0</v>
      </c>
      <c r="BA18">
        <f>[1]AGROPECUÁRIA!F20</f>
        <v>8</v>
      </c>
      <c r="BB18">
        <f>[1]AGROPECUÁRIA!G20</f>
        <v>0</v>
      </c>
      <c r="BC18">
        <f>[1]AGROPECUÁRIA!H20</f>
        <v>0</v>
      </c>
      <c r="BD18">
        <f t="shared" si="5"/>
        <v>8</v>
      </c>
      <c r="BE18" s="2">
        <f>'[1]PIB (UT$)'!E19</f>
        <v>82548.225446020704</v>
      </c>
      <c r="BF18" s="6">
        <f>[1]AGROPECUÁRIA!AW20</f>
        <v>46200</v>
      </c>
      <c r="BG18" s="6">
        <f>[1]AGROPECUÁRIA!AX20</f>
        <v>0</v>
      </c>
      <c r="BH18" s="6">
        <f>[1]AGROPECUÁRIA!AY20</f>
        <v>0</v>
      </c>
      <c r="BI18" s="6">
        <f>[1]AGROPECUÁRIA!AZ20</f>
        <v>46200</v>
      </c>
      <c r="BJ18" s="3">
        <f>'[1]CAPITAL (UT$)'!AI20</f>
        <v>35.741717277359257</v>
      </c>
      <c r="BK18" s="6">
        <f t="shared" si="6"/>
        <v>2475160</v>
      </c>
      <c r="BL18" s="6">
        <f t="shared" si="6"/>
        <v>0</v>
      </c>
      <c r="BM18" s="6">
        <f t="shared" si="6"/>
        <v>0</v>
      </c>
      <c r="BN18" s="6">
        <f t="shared" si="7"/>
        <v>2475160</v>
      </c>
      <c r="BO18" s="3">
        <f t="shared" si="8"/>
        <v>46.341194675125408</v>
      </c>
      <c r="BP18" s="7">
        <f t="shared" si="9"/>
        <v>262980560</v>
      </c>
      <c r="BQ18" s="2">
        <f>(BO18+V18)*[1]GLOBAL!$C$41</f>
        <v>38.735698402537622</v>
      </c>
      <c r="BR18" s="2">
        <f t="shared" si="10"/>
        <v>167.85469307766303</v>
      </c>
    </row>
    <row r="19" spans="1:70">
      <c r="A19">
        <f t="shared" si="11"/>
        <v>1992</v>
      </c>
      <c r="B19" s="1">
        <f>'[1]POPULAÇÃO (HAB)'!D20</f>
        <v>208734</v>
      </c>
      <c r="C19" s="2">
        <f>'[1]PIB (UT$)'!F20</f>
        <v>18877467.398161866</v>
      </c>
      <c r="D19" s="3">
        <f>'[1]PIB (UT$)'!G20</f>
        <v>90.437913316287066</v>
      </c>
      <c r="E19" s="1">
        <f>'[1]POPULAÇÃO (HAB)'!E20</f>
        <v>125240</v>
      </c>
      <c r="F19" s="4">
        <f>[1]IDH!B20</f>
        <v>0.67874795348684624</v>
      </c>
      <c r="G19" s="4">
        <f>[1]IDH!C20</f>
        <v>0.66313760407168565</v>
      </c>
      <c r="H19" s="4">
        <f>[1]IDH!D20</f>
        <v>0.99999923820125103</v>
      </c>
      <c r="I19" s="4">
        <f>[1]IDH!E20</f>
        <v>0.7663678654211431</v>
      </c>
      <c r="J19" s="5">
        <f>[1]EDUCAÇÃO!B20</f>
        <v>9.9470640610752845</v>
      </c>
      <c r="K19">
        <f>'[1]CLASSES SOCIAIS'!T21</f>
        <v>14825</v>
      </c>
      <c r="L19">
        <f>'[1]CLASSES SOCIAIS'!U21</f>
        <v>49668</v>
      </c>
      <c r="M19">
        <f>'[1]CLASSES SOCIAIS'!V21</f>
        <v>27167</v>
      </c>
      <c r="N19">
        <f t="shared" si="0"/>
        <v>91660</v>
      </c>
      <c r="O19" s="6">
        <f>'[1]CONSUMO RESIDENCIAL (kWh)'!B21</f>
        <v>111187500</v>
      </c>
      <c r="P19" s="6">
        <f>'[1]CONSUMO RESIDENCIAL (kWh)'!C21</f>
        <v>124170000</v>
      </c>
      <c r="Q19" s="6">
        <f>'[1]CONSUMO RESIDENCIAL (kWh)'!D21</f>
        <v>32600400</v>
      </c>
      <c r="R19" s="6">
        <f t="shared" si="1"/>
        <v>267957900</v>
      </c>
      <c r="S19" s="2">
        <f>'[1]CLASSES SOCIAIS'!AL21</f>
        <v>56.266666666666666</v>
      </c>
      <c r="T19" s="2">
        <f>'[1]CLASSES SOCIAIS'!AM21</f>
        <v>25.134888888888888</v>
      </c>
      <c r="U19" s="2">
        <f>'[1]CLASSES SOCIAIS'!AN21</f>
        <v>4.1243999999999996</v>
      </c>
      <c r="V19" s="2">
        <f>'[1]CLASSES SOCIAIS'!AO21</f>
        <v>85.525955555555541</v>
      </c>
      <c r="W19">
        <f>[1]INDÚSTRIAS!F21</f>
        <v>79</v>
      </c>
      <c r="X19">
        <f>[1]INDÚSTRIAS!G21</f>
        <v>0</v>
      </c>
      <c r="Y19">
        <f>[1]INDÚSTRIAS!H21</f>
        <v>0</v>
      </c>
      <c r="Z19">
        <f t="shared" si="2"/>
        <v>79</v>
      </c>
      <c r="AA19" s="2">
        <f>'[1]PIB (UT$)'!B20</f>
        <v>4592774.1979174921</v>
      </c>
      <c r="AB19" s="6">
        <f>[1]INDÚSTRIAS!AW21</f>
        <v>1959200</v>
      </c>
      <c r="AC19" s="6">
        <f>[1]INDÚSTRIAS!AX21</f>
        <v>0</v>
      </c>
      <c r="AD19" s="6">
        <f>[1]INDÚSTRIAS!AY21</f>
        <v>0</v>
      </c>
      <c r="AE19" s="6">
        <f>[1]INDÚSTRIAS!AZ21</f>
        <v>1959200</v>
      </c>
      <c r="AF19" s="3">
        <f>'[1]CAPITAL (UT$)'!AF21</f>
        <v>11.086268149208731</v>
      </c>
      <c r="AG19">
        <f>[1]SERVIÇOS!F21</f>
        <v>79</v>
      </c>
      <c r="AH19">
        <f>[1]SERVIÇOS!G21</f>
        <v>0</v>
      </c>
      <c r="AI19">
        <f>[1]SERVIÇOS!H21</f>
        <v>0</v>
      </c>
      <c r="AJ19">
        <f t="shared" si="3"/>
        <v>79</v>
      </c>
      <c r="AK19" s="2">
        <f>'[1]PIB (UT$)'!C20</f>
        <v>14202528.680948121</v>
      </c>
      <c r="AL19" s="6">
        <f>[1]SERVIÇOS!AW21</f>
        <v>609880</v>
      </c>
      <c r="AM19" s="6">
        <f>[1]SERVIÇOS!AX21</f>
        <v>0</v>
      </c>
      <c r="AN19" s="6">
        <f>[1]SERVIÇOS!AY21</f>
        <v>0</v>
      </c>
      <c r="AO19" s="6">
        <f>[1]SERVIÇOS!AZ21</f>
        <v>609880</v>
      </c>
      <c r="AP19" s="3">
        <f>'[1]CAPITAL (UT$)'!AG21</f>
        <v>0.35296332702410893</v>
      </c>
      <c r="AQ19">
        <f>[1]MINERAÇÃO!F21</f>
        <v>0</v>
      </c>
      <c r="AR19">
        <f>[1]MINERAÇÃO!G21</f>
        <v>0</v>
      </c>
      <c r="AS19">
        <f>[1]MINERAÇÃO!H21</f>
        <v>0</v>
      </c>
      <c r="AT19">
        <f t="shared" si="4"/>
        <v>0</v>
      </c>
      <c r="AU19" s="2">
        <f>'[1]PIB (UT$)'!D20</f>
        <v>0</v>
      </c>
      <c r="AV19" s="6">
        <f>[1]MINERAÇÃO!AW21</f>
        <v>0</v>
      </c>
      <c r="AW19" s="6">
        <f>[1]MINERAÇÃO!AX21</f>
        <v>0</v>
      </c>
      <c r="AX19" s="6">
        <f>[1]MINERAÇÃO!AY21</f>
        <v>0</v>
      </c>
      <c r="AY19" s="6">
        <f>[1]MINERAÇÃO!AZ21</f>
        <v>0</v>
      </c>
      <c r="AZ19" s="3">
        <f>'[1]CAPITAL (UT$)'!AH21</f>
        <v>0</v>
      </c>
      <c r="BA19">
        <f>[1]AGROPECUÁRIA!F21</f>
        <v>8</v>
      </c>
      <c r="BB19">
        <f>[1]AGROPECUÁRIA!G21</f>
        <v>0</v>
      </c>
      <c r="BC19">
        <f>[1]AGROPECUÁRIA!H21</f>
        <v>0</v>
      </c>
      <c r="BD19">
        <f t="shared" si="5"/>
        <v>8</v>
      </c>
      <c r="BE19" s="2">
        <f>'[1]PIB (UT$)'!E20</f>
        <v>82164.519296250175</v>
      </c>
      <c r="BF19" s="6">
        <f>[1]AGROPECUÁRIA!AW21</f>
        <v>45840</v>
      </c>
      <c r="BG19" s="6">
        <f>[1]AGROPECUÁRIA!AX21</f>
        <v>0</v>
      </c>
      <c r="BH19" s="6">
        <f>[1]AGROPECUÁRIA!AY21</f>
        <v>0</v>
      </c>
      <c r="BI19" s="6">
        <f>[1]AGROPECUÁRIA!AZ21</f>
        <v>45840</v>
      </c>
      <c r="BJ19" s="3">
        <f>'[1]CAPITAL (UT$)'!AI21</f>
        <v>38.150122984789455</v>
      </c>
      <c r="BK19" s="6">
        <f t="shared" si="6"/>
        <v>2614920</v>
      </c>
      <c r="BL19" s="6">
        <f t="shared" si="6"/>
        <v>0</v>
      </c>
      <c r="BM19" s="6">
        <f t="shared" si="6"/>
        <v>0</v>
      </c>
      <c r="BN19" s="6">
        <f t="shared" si="7"/>
        <v>2614920</v>
      </c>
      <c r="BO19" s="3">
        <f t="shared" si="8"/>
        <v>49.589354461022296</v>
      </c>
      <c r="BP19" s="7">
        <f t="shared" si="9"/>
        <v>270572820</v>
      </c>
      <c r="BQ19" s="2">
        <f>(BO19+V19)*[1]GLOBAL!$C$41</f>
        <v>40.534593004973352</v>
      </c>
      <c r="BR19" s="2">
        <f t="shared" si="10"/>
        <v>175.64990302155118</v>
      </c>
    </row>
    <row r="20" spans="1:70">
      <c r="A20">
        <f t="shared" si="11"/>
        <v>1993</v>
      </c>
      <c r="B20" s="1">
        <f>'[1]POPULAÇÃO (HAB)'!D21</f>
        <v>209467</v>
      </c>
      <c r="C20" s="2">
        <f>'[1]PIB (UT$)'!F21</f>
        <v>19835249.812026262</v>
      </c>
      <c r="D20" s="3">
        <f>'[1]PIB (UT$)'!G21</f>
        <v>94.693912702364869</v>
      </c>
      <c r="E20" s="1">
        <f>'[1]POPULAÇÃO (HAB)'!E21</f>
        <v>125680</v>
      </c>
      <c r="F20" s="4">
        <f>[1]IDH!B21</f>
        <v>0.68567695523429706</v>
      </c>
      <c r="G20" s="4">
        <f>[1]IDH!C21</f>
        <v>0.6737321301546817</v>
      </c>
      <c r="H20" s="4">
        <f>[1]IDH!D21</f>
        <v>0.99999967478614815</v>
      </c>
      <c r="I20" s="4">
        <f>[1]IDH!E21</f>
        <v>0.77304045807283528</v>
      </c>
      <c r="J20" s="5">
        <f>[1]EDUCAÇÃO!B21</f>
        <v>10.105981952320226</v>
      </c>
      <c r="K20">
        <f>'[1]CLASSES SOCIAIS'!T22</f>
        <v>15660</v>
      </c>
      <c r="L20">
        <f>'[1]CLASSES SOCIAIS'!U22</f>
        <v>50316</v>
      </c>
      <c r="M20">
        <f>'[1]CLASSES SOCIAIS'!V22</f>
        <v>26734</v>
      </c>
      <c r="N20">
        <f t="shared" si="0"/>
        <v>92710</v>
      </c>
      <c r="O20" s="6">
        <f>'[1]CONSUMO RESIDENCIAL (kWh)'!B22</f>
        <v>117450000</v>
      </c>
      <c r="P20" s="6">
        <f>'[1]CONSUMO RESIDENCIAL (kWh)'!C22</f>
        <v>125790000</v>
      </c>
      <c r="Q20" s="6">
        <f>'[1]CONSUMO RESIDENCIAL (kWh)'!D22</f>
        <v>32080800</v>
      </c>
      <c r="R20" s="6">
        <f t="shared" si="1"/>
        <v>275320800</v>
      </c>
      <c r="S20" s="2">
        <f>'[1]CLASSES SOCIAIS'!AL22</f>
        <v>58.97</v>
      </c>
      <c r="T20" s="2">
        <f>'[1]CLASSES SOCIAIS'!AM22</f>
        <v>25.262444444444444</v>
      </c>
      <c r="U20" s="2">
        <f>'[1]CLASSES SOCIAIS'!AN22</f>
        <v>4.0267999999999997</v>
      </c>
      <c r="V20" s="2">
        <f>'[1]CLASSES SOCIAIS'!AO22</f>
        <v>88.259244444444434</v>
      </c>
      <c r="W20">
        <f>[1]INDÚSTRIAS!F22</f>
        <v>82</v>
      </c>
      <c r="X20">
        <f>[1]INDÚSTRIAS!G22</f>
        <v>0</v>
      </c>
      <c r="Y20">
        <f>[1]INDÚSTRIAS!H22</f>
        <v>0</v>
      </c>
      <c r="Z20">
        <f t="shared" si="2"/>
        <v>82</v>
      </c>
      <c r="AA20" s="2">
        <f>'[1]PIB (UT$)'!B21</f>
        <v>4811199.4868755667</v>
      </c>
      <c r="AB20" s="6">
        <f>[1]INDÚSTRIAS!AW22</f>
        <v>1976200</v>
      </c>
      <c r="AC20" s="6">
        <f>[1]INDÚSTRIAS!AX22</f>
        <v>0</v>
      </c>
      <c r="AD20" s="6">
        <f>[1]INDÚSTRIAS!AY22</f>
        <v>0</v>
      </c>
      <c r="AE20" s="6">
        <f>[1]INDÚSTRIAS!AZ22</f>
        <v>1976200</v>
      </c>
      <c r="AF20" s="3">
        <f>'[1]CAPITAL (UT$)'!AF22</f>
        <v>11.931289452109157</v>
      </c>
      <c r="AG20">
        <f>[1]SERVIÇOS!F22</f>
        <v>82</v>
      </c>
      <c r="AH20">
        <f>[1]SERVIÇOS!G22</f>
        <v>0</v>
      </c>
      <c r="AI20">
        <f>[1]SERVIÇOS!H22</f>
        <v>0</v>
      </c>
      <c r="AJ20">
        <f t="shared" si="3"/>
        <v>82</v>
      </c>
      <c r="AK20" s="2">
        <f>'[1]PIB (UT$)'!C21</f>
        <v>14942371.009418033</v>
      </c>
      <c r="AL20" s="6">
        <f>[1]SERVIÇOS!AW22</f>
        <v>639600</v>
      </c>
      <c r="AM20" s="6">
        <f>[1]SERVIÇOS!AX22</f>
        <v>0</v>
      </c>
      <c r="AN20" s="6">
        <f>[1]SERVIÇOS!AY22</f>
        <v>0</v>
      </c>
      <c r="AO20" s="6">
        <f>[1]SERVIÇOS!AZ22</f>
        <v>639600</v>
      </c>
      <c r="AP20" s="3">
        <f>'[1]CAPITAL (UT$)'!AG22</f>
        <v>0.37383687287698875</v>
      </c>
      <c r="AQ20">
        <f>[1]MINERAÇÃO!F22</f>
        <v>0</v>
      </c>
      <c r="AR20">
        <f>[1]MINERAÇÃO!G22</f>
        <v>0</v>
      </c>
      <c r="AS20">
        <f>[1]MINERAÇÃO!H22</f>
        <v>0</v>
      </c>
      <c r="AT20">
        <f t="shared" si="4"/>
        <v>0</v>
      </c>
      <c r="AU20" s="2">
        <f>'[1]PIB (UT$)'!D21</f>
        <v>0</v>
      </c>
      <c r="AV20" s="6">
        <f>[1]MINERAÇÃO!AW22</f>
        <v>0</v>
      </c>
      <c r="AW20" s="6">
        <f>[1]MINERAÇÃO!AX22</f>
        <v>0</v>
      </c>
      <c r="AX20" s="6">
        <f>[1]MINERAÇÃO!AY22</f>
        <v>0</v>
      </c>
      <c r="AY20" s="6">
        <f>[1]MINERAÇÃO!AZ22</f>
        <v>0</v>
      </c>
      <c r="AZ20" s="3">
        <f>'[1]CAPITAL (UT$)'!AH22</f>
        <v>0</v>
      </c>
      <c r="BA20">
        <f>[1]AGROPECUÁRIA!F22</f>
        <v>8</v>
      </c>
      <c r="BB20">
        <f>[1]AGROPECUÁRIA!G22</f>
        <v>0</v>
      </c>
      <c r="BC20">
        <f>[1]AGROPECUÁRIA!H22</f>
        <v>0</v>
      </c>
      <c r="BD20">
        <f t="shared" si="5"/>
        <v>8</v>
      </c>
      <c r="BE20" s="2">
        <f>'[1]PIB (UT$)'!E21</f>
        <v>81679.315732662217</v>
      </c>
      <c r="BF20" s="6">
        <f>[1]AGROPECUÁRIA!AW22</f>
        <v>45120</v>
      </c>
      <c r="BG20" s="6">
        <f>[1]AGROPECUÁRIA!AX22</f>
        <v>0</v>
      </c>
      <c r="BH20" s="6">
        <f>[1]AGROPECUÁRIA!AY22</f>
        <v>0</v>
      </c>
      <c r="BI20" s="6">
        <f>[1]AGROPECUÁRIA!AZ22</f>
        <v>45120</v>
      </c>
      <c r="BJ20" s="3">
        <f>'[1]CAPITAL (UT$)'!AI22</f>
        <v>40.627599819031133</v>
      </c>
      <c r="BK20" s="6">
        <f t="shared" si="6"/>
        <v>2660920</v>
      </c>
      <c r="BL20" s="6">
        <f t="shared" si="6"/>
        <v>0</v>
      </c>
      <c r="BM20" s="6">
        <f t="shared" si="6"/>
        <v>0</v>
      </c>
      <c r="BN20" s="6">
        <f t="shared" si="7"/>
        <v>2660920</v>
      </c>
      <c r="BO20" s="3">
        <f t="shared" si="8"/>
        <v>52.93272614401728</v>
      </c>
      <c r="BP20" s="7">
        <f t="shared" si="9"/>
        <v>277981720</v>
      </c>
      <c r="BQ20" s="2">
        <f>(BO20+V20)*[1]GLOBAL!$C$41</f>
        <v>42.357591176538513</v>
      </c>
      <c r="BR20" s="2">
        <f t="shared" si="10"/>
        <v>183.54956176500022</v>
      </c>
    </row>
    <row r="21" spans="1:70">
      <c r="A21">
        <f t="shared" si="11"/>
        <v>1994</v>
      </c>
      <c r="B21" s="1">
        <f>'[1]POPULAÇÃO (HAB)'!D22</f>
        <v>210201</v>
      </c>
      <c r="C21" s="2">
        <f>'[1]PIB (UT$)'!F22</f>
        <v>20821641.697209485</v>
      </c>
      <c r="D21" s="3">
        <f>'[1]PIB (UT$)'!G22</f>
        <v>99.055864135800903</v>
      </c>
      <c r="E21" s="1">
        <f>'[1]POPULAÇÃO (HAB)'!E22</f>
        <v>126120</v>
      </c>
      <c r="F21" s="4">
        <f>[1]IDH!B22</f>
        <v>0.69246318113529071</v>
      </c>
      <c r="G21" s="4">
        <f>[1]IDH!C22</f>
        <v>0.6839112389280485</v>
      </c>
      <c r="H21" s="4">
        <f>[1]IDH!D22</f>
        <v>0.99999986407641217</v>
      </c>
      <c r="I21" s="4">
        <f>[1]IDH!E22</f>
        <v>0.7794688953825375</v>
      </c>
      <c r="J21" s="5">
        <f>[1]EDUCAÇÃO!B22</f>
        <v>10.258668583920727</v>
      </c>
      <c r="K21">
        <f>'[1]CLASSES SOCIAIS'!T23</f>
        <v>16495</v>
      </c>
      <c r="L21">
        <f>'[1]CLASSES SOCIAIS'!U23</f>
        <v>50928</v>
      </c>
      <c r="M21">
        <f>'[1]CLASSES SOCIAIS'!V23</f>
        <v>26295</v>
      </c>
      <c r="N21">
        <f t="shared" si="0"/>
        <v>93718</v>
      </c>
      <c r="O21" s="6">
        <f>'[1]CONSUMO RESIDENCIAL (kWh)'!B23</f>
        <v>123712500</v>
      </c>
      <c r="P21" s="6">
        <f>'[1]CONSUMO RESIDENCIAL (kWh)'!C23</f>
        <v>127320000</v>
      </c>
      <c r="Q21" s="6">
        <f>'[1]CONSUMO RESIDENCIAL (kWh)'!D23</f>
        <v>31554000</v>
      </c>
      <c r="R21" s="6">
        <f t="shared" si="1"/>
        <v>282586500</v>
      </c>
      <c r="S21" s="2">
        <f>'[1]CLASSES SOCIAIS'!AL23</f>
        <v>61.66</v>
      </c>
      <c r="T21" s="2">
        <f>'[1]CLASSES SOCIAIS'!AM23</f>
        <v>25.383555555555557</v>
      </c>
      <c r="U21" s="2">
        <f>'[1]CLASSES SOCIAIS'!AN23</f>
        <v>3.9318666666666666</v>
      </c>
      <c r="V21" s="2">
        <f>'[1]CLASSES SOCIAIS'!AO23</f>
        <v>90.975422222222221</v>
      </c>
      <c r="W21">
        <f>[1]INDÚSTRIAS!F23</f>
        <v>85</v>
      </c>
      <c r="X21">
        <f>[1]INDÚSTRIAS!G23</f>
        <v>0</v>
      </c>
      <c r="Y21">
        <f>[1]INDÚSTRIAS!H23</f>
        <v>0</v>
      </c>
      <c r="Z21">
        <f t="shared" si="2"/>
        <v>85</v>
      </c>
      <c r="AA21" s="2">
        <f>'[1]PIB (UT$)'!B22</f>
        <v>5030968.2288549161</v>
      </c>
      <c r="AB21" s="6">
        <f>[1]INDÚSTRIAS!AW23</f>
        <v>2074000</v>
      </c>
      <c r="AC21" s="6">
        <f>[1]INDÚSTRIAS!AX23</f>
        <v>0</v>
      </c>
      <c r="AD21" s="6">
        <f>[1]INDÚSTRIAS!AY23</f>
        <v>0</v>
      </c>
      <c r="AE21" s="6">
        <f>[1]INDÚSTRIAS!AZ23</f>
        <v>2074000</v>
      </c>
      <c r="AF21" s="3">
        <f>'[1]CAPITAL (UT$)'!AF23</f>
        <v>12.802232069944708</v>
      </c>
      <c r="AG21">
        <f>[1]SERVIÇOS!F23</f>
        <v>85</v>
      </c>
      <c r="AH21">
        <f>[1]SERVIÇOS!G23</f>
        <v>0</v>
      </c>
      <c r="AI21">
        <f>[1]SERVIÇOS!H23</f>
        <v>0</v>
      </c>
      <c r="AJ21">
        <f t="shared" si="3"/>
        <v>85</v>
      </c>
      <c r="AK21" s="2">
        <f>'[1]PIB (UT$)'!C22</f>
        <v>15709579.210178262</v>
      </c>
      <c r="AL21" s="6">
        <f>[1]SERVIÇOS!AW23</f>
        <v>649400</v>
      </c>
      <c r="AM21" s="6">
        <f>[1]SERVIÇOS!AX23</f>
        <v>0</v>
      </c>
      <c r="AN21" s="6">
        <f>[1]SERVIÇOS!AY23</f>
        <v>0</v>
      </c>
      <c r="AO21" s="6">
        <f>[1]SERVIÇOS!AZ23</f>
        <v>649400</v>
      </c>
      <c r="AP21" s="3">
        <f>'[1]CAPITAL (UT$)'!AG23</f>
        <v>0.39568051637738949</v>
      </c>
      <c r="AQ21">
        <f>[1]MINERAÇÃO!F23</f>
        <v>0</v>
      </c>
      <c r="AR21">
        <f>[1]MINERAÇÃO!G23</f>
        <v>0</v>
      </c>
      <c r="AS21">
        <f>[1]MINERAÇÃO!H23</f>
        <v>0</v>
      </c>
      <c r="AT21">
        <f t="shared" si="4"/>
        <v>0</v>
      </c>
      <c r="AU21" s="2">
        <f>'[1]PIB (UT$)'!D22</f>
        <v>0</v>
      </c>
      <c r="AV21" s="6">
        <f>[1]MINERAÇÃO!AW23</f>
        <v>0</v>
      </c>
      <c r="AW21" s="6">
        <f>[1]MINERAÇÃO!AX23</f>
        <v>0</v>
      </c>
      <c r="AX21" s="6">
        <f>[1]MINERAÇÃO!AY23</f>
        <v>0</v>
      </c>
      <c r="AY21" s="6">
        <f>[1]MINERAÇÃO!AZ23</f>
        <v>0</v>
      </c>
      <c r="AZ21" s="3">
        <f>'[1]CAPITAL (UT$)'!AH23</f>
        <v>0</v>
      </c>
      <c r="BA21">
        <f>[1]AGROPECUÁRIA!F23</f>
        <v>7</v>
      </c>
      <c r="BB21">
        <f>[1]AGROPECUÁRIA!G23</f>
        <v>0</v>
      </c>
      <c r="BC21">
        <f>[1]AGROPECUÁRIA!H23</f>
        <v>0</v>
      </c>
      <c r="BD21">
        <f t="shared" si="5"/>
        <v>7</v>
      </c>
      <c r="BE21" s="2">
        <f>'[1]PIB (UT$)'!E22</f>
        <v>81094.258176306685</v>
      </c>
      <c r="BF21" s="6">
        <f>[1]AGROPECUÁRIA!AW23</f>
        <v>39165</v>
      </c>
      <c r="BG21" s="6">
        <f>[1]AGROPECUÁRIA!AX23</f>
        <v>0</v>
      </c>
      <c r="BH21" s="6">
        <f>[1]AGROPECUÁRIA!AY23</f>
        <v>0</v>
      </c>
      <c r="BI21" s="6">
        <f>[1]AGROPECUÁRIA!AZ23</f>
        <v>39165</v>
      </c>
      <c r="BJ21" s="3">
        <f>'[1]CAPITAL (UT$)'!AI23</f>
        <v>43.176589774470109</v>
      </c>
      <c r="BK21" s="6">
        <f t="shared" si="6"/>
        <v>2762565</v>
      </c>
      <c r="BL21" s="6">
        <f t="shared" si="6"/>
        <v>0</v>
      </c>
      <c r="BM21" s="6">
        <f t="shared" si="6"/>
        <v>0</v>
      </c>
      <c r="BN21" s="6">
        <f t="shared" si="7"/>
        <v>2762565</v>
      </c>
      <c r="BO21" s="3">
        <f t="shared" si="8"/>
        <v>56.374502360792206</v>
      </c>
      <c r="BP21" s="7">
        <f t="shared" si="9"/>
        <v>285349065</v>
      </c>
      <c r="BQ21" s="2">
        <f>(BO21+V21)*[1]GLOBAL!$C$41</f>
        <v>44.204977374904324</v>
      </c>
      <c r="BR21" s="2">
        <f t="shared" si="10"/>
        <v>191.55490195791876</v>
      </c>
    </row>
    <row r="22" spans="1:70">
      <c r="A22">
        <f t="shared" si="11"/>
        <v>1995</v>
      </c>
      <c r="B22" s="1">
        <f>'[1]POPULAÇÃO (HAB)'!D23</f>
        <v>210937</v>
      </c>
      <c r="C22" s="2">
        <f>'[1]PIB (UT$)'!F23</f>
        <v>21837425.828988168</v>
      </c>
      <c r="D22" s="3">
        <f>'[1]PIB (UT$)'!G23</f>
        <v>103.52581969492392</v>
      </c>
      <c r="E22" s="1">
        <f>'[1]POPULAÇÃO (HAB)'!E23</f>
        <v>126562</v>
      </c>
      <c r="F22" s="4">
        <f>[1]IDH!B23</f>
        <v>0.69911456508640635</v>
      </c>
      <c r="G22" s="4">
        <f>[1]IDH!C23</f>
        <v>0.69369121913748188</v>
      </c>
      <c r="H22" s="4">
        <f>[1]IDH!D23</f>
        <v>0.99999994440452344</v>
      </c>
      <c r="I22" s="4">
        <f>[1]IDH!E23</f>
        <v>0.7856663891263439</v>
      </c>
      <c r="J22" s="5">
        <f>[1]EDUCAÇÃO!B23</f>
        <v>10.405368287062227</v>
      </c>
      <c r="K22">
        <f>'[1]CLASSES SOCIAIS'!T24</f>
        <v>17327</v>
      </c>
      <c r="L22">
        <f>'[1]CLASSES SOCIAIS'!U24</f>
        <v>51506</v>
      </c>
      <c r="M22">
        <f>'[1]CLASSES SOCIAIS'!V24</f>
        <v>25850</v>
      </c>
      <c r="N22">
        <f t="shared" si="0"/>
        <v>94683</v>
      </c>
      <c r="O22" s="6">
        <f>'[1]CONSUMO RESIDENCIAL (kWh)'!B24</f>
        <v>129952500</v>
      </c>
      <c r="P22" s="6">
        <f>'[1]CONSUMO RESIDENCIAL (kWh)'!C24</f>
        <v>128765000</v>
      </c>
      <c r="Q22" s="6">
        <f>'[1]CONSUMO RESIDENCIAL (kWh)'!D24</f>
        <v>31020000</v>
      </c>
      <c r="R22" s="6">
        <f t="shared" si="1"/>
        <v>289737500</v>
      </c>
      <c r="S22" s="2">
        <f>'[1]CLASSES SOCIAIS'!AL24</f>
        <v>64.336666666666673</v>
      </c>
      <c r="T22" s="2">
        <f>'[1]CLASSES SOCIAIS'!AM24</f>
        <v>25.498666666666665</v>
      </c>
      <c r="U22" s="2">
        <f>'[1]CLASSES SOCIAIS'!AN24</f>
        <v>3.8393333333333333</v>
      </c>
      <c r="V22" s="2">
        <f>'[1]CLASSES SOCIAIS'!AO24</f>
        <v>93.674666666666667</v>
      </c>
      <c r="W22">
        <f>[1]INDÚSTRIAS!F24</f>
        <v>87</v>
      </c>
      <c r="X22">
        <f>[1]INDÚSTRIAS!G24</f>
        <v>0</v>
      </c>
      <c r="Y22">
        <f>[1]INDÚSTRIAS!H24</f>
        <v>0</v>
      </c>
      <c r="Z22">
        <f t="shared" si="2"/>
        <v>87</v>
      </c>
      <c r="AA22" s="2">
        <f>'[1]PIB (UT$)'!B23</f>
        <v>5252171.6760054454</v>
      </c>
      <c r="AB22" s="6">
        <f>[1]INDÚSTRIAS!AW24</f>
        <v>2122800</v>
      </c>
      <c r="AC22" s="6">
        <f>[1]INDÚSTRIAS!AX24</f>
        <v>0</v>
      </c>
      <c r="AD22" s="6">
        <f>[1]INDÚSTRIAS!AY24</f>
        <v>0</v>
      </c>
      <c r="AE22" s="6">
        <f>[1]INDÚSTRIAS!AZ24</f>
        <v>2122800</v>
      </c>
      <c r="AF22" s="3">
        <f>'[1]CAPITAL (UT$)'!AF24</f>
        <v>13.699829481524784</v>
      </c>
      <c r="AG22">
        <f>[1]SERVIÇOS!F24</f>
        <v>87</v>
      </c>
      <c r="AH22">
        <f>[1]SERVIÇOS!G24</f>
        <v>0</v>
      </c>
      <c r="AI22">
        <f>[1]SERVIÇOS!H24</f>
        <v>0</v>
      </c>
      <c r="AJ22">
        <f t="shared" si="3"/>
        <v>87</v>
      </c>
      <c r="AK22" s="2">
        <f>'[1]PIB (UT$)'!C23</f>
        <v>16504842.226659972</v>
      </c>
      <c r="AL22" s="6">
        <f>[1]SERVIÇOS!AW24</f>
        <v>668160</v>
      </c>
      <c r="AM22" s="6">
        <f>[1]SERVIÇOS!AX24</f>
        <v>0</v>
      </c>
      <c r="AN22" s="6">
        <f>[1]SERVIÇOS!AY24</f>
        <v>0</v>
      </c>
      <c r="AO22" s="6">
        <f>[1]SERVIÇOS!AZ24</f>
        <v>668160</v>
      </c>
      <c r="AP22" s="3">
        <f>'[1]CAPITAL (UT$)'!AG24</f>
        <v>0.41851283704808362</v>
      </c>
      <c r="AQ22">
        <f>[1]MINERAÇÃO!F24</f>
        <v>0</v>
      </c>
      <c r="AR22">
        <f>[1]MINERAÇÃO!G24</f>
        <v>0</v>
      </c>
      <c r="AS22">
        <f>[1]MINERAÇÃO!H24</f>
        <v>0</v>
      </c>
      <c r="AT22">
        <f t="shared" si="4"/>
        <v>0</v>
      </c>
      <c r="AU22" s="2">
        <f>'[1]PIB (UT$)'!D23</f>
        <v>0</v>
      </c>
      <c r="AV22" s="6">
        <f>[1]MINERAÇÃO!AW24</f>
        <v>0</v>
      </c>
      <c r="AW22" s="6">
        <f>[1]MINERAÇÃO!AX24</f>
        <v>0</v>
      </c>
      <c r="AX22" s="6">
        <f>[1]MINERAÇÃO!AY24</f>
        <v>0</v>
      </c>
      <c r="AY22" s="6">
        <f>[1]MINERAÇÃO!AZ24</f>
        <v>0</v>
      </c>
      <c r="AZ22" s="3">
        <f>'[1]CAPITAL (UT$)'!AH24</f>
        <v>0</v>
      </c>
      <c r="BA22">
        <f>[1]AGROPECUÁRIA!F24</f>
        <v>7</v>
      </c>
      <c r="BB22">
        <f>[1]AGROPECUÁRIA!G24</f>
        <v>0</v>
      </c>
      <c r="BC22">
        <f>[1]AGROPECUÁRIA!H24</f>
        <v>0</v>
      </c>
      <c r="BD22">
        <f t="shared" si="5"/>
        <v>7</v>
      </c>
      <c r="BE22" s="2">
        <f>'[1]PIB (UT$)'!E23</f>
        <v>80411.926322749263</v>
      </c>
      <c r="BF22" s="6">
        <f>[1]AGROPECUÁRIA!AW24</f>
        <v>39165</v>
      </c>
      <c r="BG22" s="6">
        <f>[1]AGROPECUÁRIA!AX24</f>
        <v>0</v>
      </c>
      <c r="BH22" s="6">
        <f>[1]AGROPECUÁRIA!AY24</f>
        <v>0</v>
      </c>
      <c r="BI22" s="6">
        <f>[1]AGROPECUÁRIA!AZ24</f>
        <v>39165</v>
      </c>
      <c r="BJ22" s="3">
        <f>'[1]CAPITAL (UT$)'!AI24</f>
        <v>45.799478029426261</v>
      </c>
      <c r="BK22" s="6">
        <f t="shared" si="6"/>
        <v>2830125</v>
      </c>
      <c r="BL22" s="6">
        <f t="shared" si="6"/>
        <v>0</v>
      </c>
      <c r="BM22" s="6">
        <f t="shared" si="6"/>
        <v>0</v>
      </c>
      <c r="BN22" s="6">
        <f t="shared" si="7"/>
        <v>2830125</v>
      </c>
      <c r="BO22" s="3">
        <f t="shared" si="8"/>
        <v>59.917820347999125</v>
      </c>
      <c r="BP22" s="7">
        <f t="shared" si="9"/>
        <v>292567625</v>
      </c>
      <c r="BQ22" s="2">
        <f>(BO22+V22)*[1]GLOBAL!$C$41</f>
        <v>46.077746104399729</v>
      </c>
      <c r="BR22" s="2">
        <f t="shared" si="10"/>
        <v>199.6702331190655</v>
      </c>
    </row>
    <row r="23" spans="1:70">
      <c r="A23">
        <f t="shared" si="11"/>
        <v>1996</v>
      </c>
      <c r="B23" s="1">
        <f>'[1]POPULAÇÃO (HAB)'!D24</f>
        <v>211675</v>
      </c>
      <c r="C23" s="2">
        <f>'[1]PIB (UT$)'!F24</f>
        <v>22883069.467942122</v>
      </c>
      <c r="D23" s="3">
        <f>'[1]PIB (UT$)'!G24</f>
        <v>108.1047335204541</v>
      </c>
      <c r="E23" s="1">
        <f>'[1]POPULAÇÃO (HAB)'!E24</f>
        <v>127005</v>
      </c>
      <c r="F23" s="4">
        <f>[1]IDH!B24</f>
        <v>0.70563675634034317</v>
      </c>
      <c r="G23" s="4">
        <f>[1]IDH!C24</f>
        <v>0.70308772083782423</v>
      </c>
      <c r="H23" s="4">
        <f>[1]IDH!D24</f>
        <v>0.99999997775050953</v>
      </c>
      <c r="I23" s="4">
        <f>[1]IDH!E24</f>
        <v>0.79164456198471633</v>
      </c>
      <c r="J23" s="5">
        <f>[1]EDUCAÇÃO!B24</f>
        <v>10.546315812567363</v>
      </c>
      <c r="K23">
        <f>'[1]CLASSES SOCIAIS'!T25</f>
        <v>18156</v>
      </c>
      <c r="L23">
        <f>'[1]CLASSES SOCIAIS'!U25</f>
        <v>52051</v>
      </c>
      <c r="M23">
        <f>'[1]CLASSES SOCIAIS'!V25</f>
        <v>25402</v>
      </c>
      <c r="N23">
        <f t="shared" si="0"/>
        <v>95609</v>
      </c>
      <c r="O23" s="6">
        <f>'[1]CONSUMO RESIDENCIAL (kWh)'!B25</f>
        <v>136170000</v>
      </c>
      <c r="P23" s="6">
        <f>'[1]CONSUMO RESIDENCIAL (kWh)'!C25</f>
        <v>130127500</v>
      </c>
      <c r="Q23" s="6">
        <f>'[1]CONSUMO RESIDENCIAL (kWh)'!D25</f>
        <v>30482400</v>
      </c>
      <c r="R23" s="6">
        <f t="shared" si="1"/>
        <v>296779900</v>
      </c>
      <c r="S23" s="2">
        <f>'[1]CLASSES SOCIAIS'!AL25</f>
        <v>66.995000000000005</v>
      </c>
      <c r="T23" s="2">
        <f>'[1]CLASSES SOCIAIS'!AM25</f>
        <v>25.608444444444444</v>
      </c>
      <c r="U23" s="2">
        <f>'[1]CLASSES SOCIAIS'!AN25</f>
        <v>3.7492000000000001</v>
      </c>
      <c r="V23" s="2">
        <f>'[1]CLASSES SOCIAIS'!AO25</f>
        <v>96.352644444444451</v>
      </c>
      <c r="W23">
        <f>[1]INDÚSTRIAS!F25</f>
        <v>90</v>
      </c>
      <c r="X23">
        <f>[1]INDÚSTRIAS!G25</f>
        <v>0</v>
      </c>
      <c r="Y23">
        <f>[1]INDÚSTRIAS!H25</f>
        <v>0</v>
      </c>
      <c r="Z23">
        <f t="shared" si="2"/>
        <v>90</v>
      </c>
      <c r="AA23" s="2">
        <f>'[1]PIB (UT$)'!B24</f>
        <v>5474818.6943548108</v>
      </c>
      <c r="AB23" s="6">
        <f>[1]INDÚSTRIAS!AW25</f>
        <v>2169000</v>
      </c>
      <c r="AC23" s="6">
        <f>[1]INDÚSTRIAS!AX25</f>
        <v>0</v>
      </c>
      <c r="AD23" s="6">
        <f>[1]INDÚSTRIAS!AY25</f>
        <v>0</v>
      </c>
      <c r="AE23" s="6">
        <f>[1]INDÚSTRIAS!AZ25</f>
        <v>2169000</v>
      </c>
      <c r="AF23" s="3">
        <f>'[1]CAPITAL (UT$)'!AF25</f>
        <v>14.624833778952349</v>
      </c>
      <c r="AG23">
        <f>[1]SERVIÇOS!F25</f>
        <v>90</v>
      </c>
      <c r="AH23">
        <f>[1]SERVIÇOS!G25</f>
        <v>0</v>
      </c>
      <c r="AI23">
        <f>[1]SERVIÇOS!H25</f>
        <v>0</v>
      </c>
      <c r="AJ23">
        <f t="shared" si="3"/>
        <v>90</v>
      </c>
      <c r="AK23" s="2">
        <f>'[1]PIB (UT$)'!C24</f>
        <v>17328617.789555613</v>
      </c>
      <c r="AL23" s="6">
        <f>[1]SERVIÇOS!AW25</f>
        <v>691200</v>
      </c>
      <c r="AM23" s="6">
        <f>[1]SERVIÇOS!AX25</f>
        <v>0</v>
      </c>
      <c r="AN23" s="6">
        <f>[1]SERVIÇOS!AY25</f>
        <v>0</v>
      </c>
      <c r="AO23" s="6">
        <f>[1]SERVIÇOS!AZ25</f>
        <v>691200</v>
      </c>
      <c r="AP23" s="3">
        <f>'[1]CAPITAL (UT$)'!AG25</f>
        <v>0.44235316165162136</v>
      </c>
      <c r="AQ23">
        <f>[1]MINERAÇÃO!F25</f>
        <v>0</v>
      </c>
      <c r="AR23">
        <f>[1]MINERAÇÃO!G25</f>
        <v>0</v>
      </c>
      <c r="AS23">
        <f>[1]MINERAÇÃO!H25</f>
        <v>0</v>
      </c>
      <c r="AT23">
        <f t="shared" si="4"/>
        <v>0</v>
      </c>
      <c r="AU23" s="2">
        <f>'[1]PIB (UT$)'!D24</f>
        <v>0</v>
      </c>
      <c r="AV23" s="6">
        <f>[1]MINERAÇÃO!AW25</f>
        <v>0</v>
      </c>
      <c r="AW23" s="6">
        <f>[1]MINERAÇÃO!AX25</f>
        <v>0</v>
      </c>
      <c r="AX23" s="6">
        <f>[1]MINERAÇÃO!AY25</f>
        <v>0</v>
      </c>
      <c r="AY23" s="6">
        <f>[1]MINERAÇÃO!AZ25</f>
        <v>0</v>
      </c>
      <c r="AZ23" s="3">
        <f>'[1]CAPITAL (UT$)'!AH25</f>
        <v>0</v>
      </c>
      <c r="BA23">
        <f>[1]AGROPECUÁRIA!F25</f>
        <v>7</v>
      </c>
      <c r="BB23">
        <f>[1]AGROPECUÁRIA!G25</f>
        <v>0</v>
      </c>
      <c r="BC23">
        <f>[1]AGROPECUÁRIA!H25</f>
        <v>0</v>
      </c>
      <c r="BD23">
        <f t="shared" si="5"/>
        <v>7</v>
      </c>
      <c r="BE23" s="2">
        <f>'[1]PIB (UT$)'!E24</f>
        <v>79632.984031698958</v>
      </c>
      <c r="BF23" s="6">
        <f>[1]AGROPECUÁRIA!AW25</f>
        <v>41370</v>
      </c>
      <c r="BG23" s="6">
        <f>[1]AGROPECUÁRIA!AX25</f>
        <v>0</v>
      </c>
      <c r="BH23" s="6">
        <f>[1]AGROPECUÁRIA!AY25</f>
        <v>0</v>
      </c>
      <c r="BI23" s="6">
        <f>[1]AGROPECUÁRIA!AZ25</f>
        <v>41370</v>
      </c>
      <c r="BJ23" s="3">
        <f>'[1]CAPITAL (UT$)'!AI25</f>
        <v>48.49867216947969</v>
      </c>
      <c r="BK23" s="6">
        <f t="shared" si="6"/>
        <v>2901570</v>
      </c>
      <c r="BL23" s="6">
        <f t="shared" si="6"/>
        <v>0</v>
      </c>
      <c r="BM23" s="6">
        <f t="shared" si="6"/>
        <v>0</v>
      </c>
      <c r="BN23" s="6">
        <f t="shared" si="7"/>
        <v>2901570</v>
      </c>
      <c r="BO23" s="3">
        <f t="shared" si="8"/>
        <v>63.565859110083657</v>
      </c>
      <c r="BP23" s="7">
        <f t="shared" si="9"/>
        <v>299681470</v>
      </c>
      <c r="BQ23" s="2">
        <f>(BO23+V23)*[1]GLOBAL!$C$41</f>
        <v>47.975551066358435</v>
      </c>
      <c r="BR23" s="2">
        <f t="shared" si="10"/>
        <v>207.89405462088655</v>
      </c>
    </row>
    <row r="24" spans="1:70">
      <c r="A24">
        <f t="shared" si="11"/>
        <v>1997</v>
      </c>
      <c r="B24" s="1">
        <f>'[1]POPULAÇÃO (HAB)'!D25</f>
        <v>212416</v>
      </c>
      <c r="C24" s="2">
        <f>'[1]PIB (UT$)'!F25</f>
        <v>23959140.941307198</v>
      </c>
      <c r="D24" s="3">
        <f>'[1]PIB (UT$)'!G25</f>
        <v>112.79348514851611</v>
      </c>
      <c r="E24" s="1">
        <f>'[1]POPULAÇÃO (HAB)'!E25</f>
        <v>127449</v>
      </c>
      <c r="F24" s="4">
        <f>[1]IDH!B25</f>
        <v>0.71203488258907066</v>
      </c>
      <c r="G24" s="4">
        <f>[1]IDH!C25</f>
        <v>0.71211578043648993</v>
      </c>
      <c r="H24" s="4">
        <f>[1]IDH!D25</f>
        <v>0.99999999128915507</v>
      </c>
      <c r="I24" s="4">
        <f>[1]IDH!E25</f>
        <v>0.79741418831926458</v>
      </c>
      <c r="J24" s="5">
        <f>[1]EDUCAÇÃO!B25</f>
        <v>10.681736706547349</v>
      </c>
      <c r="K24">
        <f>'[1]CLASSES SOCIAIS'!T26</f>
        <v>18979</v>
      </c>
      <c r="L24">
        <f>'[1]CLASSES SOCIAIS'!U26</f>
        <v>52564</v>
      </c>
      <c r="M24">
        <f>'[1]CLASSES SOCIAIS'!V26</f>
        <v>24949</v>
      </c>
      <c r="N24">
        <f t="shared" si="0"/>
        <v>96492</v>
      </c>
      <c r="O24" s="6">
        <f>'[1]CONSUMO RESIDENCIAL (kWh)'!B26</f>
        <v>142342500</v>
      </c>
      <c r="P24" s="6">
        <f>'[1]CONSUMO RESIDENCIAL (kWh)'!C26</f>
        <v>131410000</v>
      </c>
      <c r="Q24" s="6">
        <f>'[1]CONSUMO RESIDENCIAL (kWh)'!D26</f>
        <v>29938800</v>
      </c>
      <c r="R24" s="6">
        <f t="shared" si="1"/>
        <v>303691300</v>
      </c>
      <c r="S24" s="2">
        <f>'[1]CLASSES SOCIAIS'!AL26</f>
        <v>69.635000000000005</v>
      </c>
      <c r="T24" s="2">
        <f>'[1]CLASSES SOCIAIS'!AM26</f>
        <v>25.713777777777779</v>
      </c>
      <c r="U24" s="2">
        <f>'[1]CLASSES SOCIAIS'!AN26</f>
        <v>3.6614666666666666</v>
      </c>
      <c r="V24" s="2">
        <f>'[1]CLASSES SOCIAIS'!AO26</f>
        <v>99.010244444444453</v>
      </c>
      <c r="W24">
        <f>[1]INDÚSTRIAS!F26</f>
        <v>92</v>
      </c>
      <c r="X24">
        <f>[1]INDÚSTRIAS!G26</f>
        <v>0</v>
      </c>
      <c r="Y24">
        <f>[1]INDÚSTRIAS!H26</f>
        <v>0</v>
      </c>
      <c r="Z24">
        <f t="shared" si="2"/>
        <v>92</v>
      </c>
      <c r="AA24" s="2">
        <f>'[1]PIB (UT$)'!B25</f>
        <v>5698919.2095050635</v>
      </c>
      <c r="AB24" s="6">
        <f>[1]INDÚSTRIAS!AW26</f>
        <v>2226400</v>
      </c>
      <c r="AC24" s="6">
        <f>[1]INDÚSTRIAS!AX26</f>
        <v>0</v>
      </c>
      <c r="AD24" s="6">
        <f>[1]INDÚSTRIAS!AY26</f>
        <v>0</v>
      </c>
      <c r="AE24" s="6">
        <f>[1]INDÚSTRIAS!AZ26</f>
        <v>2226400</v>
      </c>
      <c r="AF24" s="3">
        <f>'[1]CAPITAL (UT$)'!AF26</f>
        <v>15.577989309650576</v>
      </c>
      <c r="AG24">
        <f>[1]SERVIÇOS!F26</f>
        <v>92</v>
      </c>
      <c r="AH24">
        <f>[1]SERVIÇOS!G26</f>
        <v>0</v>
      </c>
      <c r="AI24">
        <f>[1]SERVIÇOS!H26</f>
        <v>0</v>
      </c>
      <c r="AJ24">
        <f t="shared" si="3"/>
        <v>92</v>
      </c>
      <c r="AK24" s="2">
        <f>'[1]PIB (UT$)'!C25</f>
        <v>18181463.214920837</v>
      </c>
      <c r="AL24" s="6">
        <f>[1]SERVIÇOS!AW26</f>
        <v>721280</v>
      </c>
      <c r="AM24" s="6">
        <f>[1]SERVIÇOS!AX26</f>
        <v>0</v>
      </c>
      <c r="AN24" s="6">
        <f>[1]SERVIÇOS!AY26</f>
        <v>0</v>
      </c>
      <c r="AO24" s="6">
        <f>[1]SERVIÇOS!AZ26</f>
        <v>721280</v>
      </c>
      <c r="AP24" s="3">
        <f>'[1]CAPITAL (UT$)'!AG26</f>
        <v>0.46722101591530957</v>
      </c>
      <c r="AQ24">
        <f>[1]MINERAÇÃO!F26</f>
        <v>0</v>
      </c>
      <c r="AR24">
        <f>[1]MINERAÇÃO!G26</f>
        <v>0</v>
      </c>
      <c r="AS24">
        <f>[1]MINERAÇÃO!H26</f>
        <v>0</v>
      </c>
      <c r="AT24">
        <f t="shared" si="4"/>
        <v>0</v>
      </c>
      <c r="AU24" s="2">
        <f>'[1]PIB (UT$)'!D25</f>
        <v>0</v>
      </c>
      <c r="AV24" s="6">
        <f>[1]MINERAÇÃO!AW26</f>
        <v>0</v>
      </c>
      <c r="AW24" s="6">
        <f>[1]MINERAÇÃO!AX26</f>
        <v>0</v>
      </c>
      <c r="AX24" s="6">
        <f>[1]MINERAÇÃO!AY26</f>
        <v>0</v>
      </c>
      <c r="AY24" s="6">
        <f>[1]MINERAÇÃO!AZ26</f>
        <v>0</v>
      </c>
      <c r="AZ24" s="3">
        <f>'[1]CAPITAL (UT$)'!AH26</f>
        <v>0</v>
      </c>
      <c r="BA24">
        <f>[1]AGROPECUÁRIA!F26</f>
        <v>7</v>
      </c>
      <c r="BB24">
        <f>[1]AGROPECUÁRIA!G26</f>
        <v>0</v>
      </c>
      <c r="BC24">
        <f>[1]AGROPECUÁRIA!H26</f>
        <v>0</v>
      </c>
      <c r="BD24">
        <f t="shared" si="5"/>
        <v>7</v>
      </c>
      <c r="BE24" s="2">
        <f>'[1]PIB (UT$)'!E25</f>
        <v>78758.516881299016</v>
      </c>
      <c r="BF24" s="6">
        <f>[1]AGROPECUÁRIA!AW26</f>
        <v>39795</v>
      </c>
      <c r="BG24" s="6">
        <f>[1]AGROPECUÁRIA!AX26</f>
        <v>0</v>
      </c>
      <c r="BH24" s="6">
        <f>[1]AGROPECUÁRIA!AY26</f>
        <v>0</v>
      </c>
      <c r="BI24" s="6">
        <f>[1]AGROPECUÁRIA!AZ26</f>
        <v>39795</v>
      </c>
      <c r="BJ24" s="3">
        <f>'[1]CAPITAL (UT$)'!AI26</f>
        <v>51.276494775179096</v>
      </c>
      <c r="BK24" s="6">
        <f t="shared" si="6"/>
        <v>2987475</v>
      </c>
      <c r="BL24" s="6">
        <f t="shared" si="6"/>
        <v>0</v>
      </c>
      <c r="BM24" s="6">
        <f t="shared" si="6"/>
        <v>0</v>
      </c>
      <c r="BN24" s="6">
        <f t="shared" si="7"/>
        <v>2987475</v>
      </c>
      <c r="BO24" s="3">
        <f t="shared" si="8"/>
        <v>67.321705100744978</v>
      </c>
      <c r="BP24" s="7">
        <f t="shared" si="9"/>
        <v>306678775</v>
      </c>
      <c r="BQ24" s="2">
        <f>(BO24+V24)*[1]GLOBAL!$C$41</f>
        <v>49.899584863556832</v>
      </c>
      <c r="BR24" s="2">
        <f t="shared" si="10"/>
        <v>216.23153440874628</v>
      </c>
    </row>
    <row r="25" spans="1:70">
      <c r="A25">
        <f t="shared" si="11"/>
        <v>1998</v>
      </c>
      <c r="B25" s="1">
        <f>'[1]POPULAÇÃO (HAB)'!D26</f>
        <v>213159</v>
      </c>
      <c r="C25" s="2">
        <f>'[1]PIB (UT$)'!F26</f>
        <v>25066341.581125017</v>
      </c>
      <c r="D25" s="3">
        <f>'[1]PIB (UT$)'!G26</f>
        <v>117.59457297662786</v>
      </c>
      <c r="E25" s="1">
        <f>'[1]POPULAÇÃO (HAB)'!E26</f>
        <v>127895</v>
      </c>
      <c r="F25" s="4">
        <f>[1]IDH!B26</f>
        <v>0.71831578656395223</v>
      </c>
      <c r="G25" s="4">
        <f>[1]IDH!C26</f>
        <v>0.7207898447549258</v>
      </c>
      <c r="H25" s="4">
        <f>[1]IDH!D26</f>
        <v>0.99999999666540507</v>
      </c>
      <c r="I25" s="4">
        <f>[1]IDH!E26</f>
        <v>0.80298609153508194</v>
      </c>
      <c r="J25" s="5">
        <f>[1]EDUCAÇÃO!B26</f>
        <v>10.811847671323887</v>
      </c>
      <c r="K25">
        <f>'[1]CLASSES SOCIAIS'!T27</f>
        <v>19796</v>
      </c>
      <c r="L25">
        <f>'[1]CLASSES SOCIAIS'!U27</f>
        <v>53046</v>
      </c>
      <c r="M25">
        <f>'[1]CLASSES SOCIAIS'!V27</f>
        <v>24494</v>
      </c>
      <c r="N25">
        <f t="shared" si="0"/>
        <v>97336</v>
      </c>
      <c r="O25" s="6">
        <f>'[1]CONSUMO RESIDENCIAL (kWh)'!B27</f>
        <v>148470000</v>
      </c>
      <c r="P25" s="6">
        <f>'[1]CONSUMO RESIDENCIAL (kWh)'!C27</f>
        <v>132615000</v>
      </c>
      <c r="Q25" s="6">
        <f>'[1]CONSUMO RESIDENCIAL (kWh)'!D27</f>
        <v>29392800</v>
      </c>
      <c r="R25" s="6">
        <f t="shared" si="1"/>
        <v>310477800</v>
      </c>
      <c r="S25" s="2">
        <f>'[1]CLASSES SOCIAIS'!AL27</f>
        <v>72.25333333333333</v>
      </c>
      <c r="T25" s="2">
        <f>'[1]CLASSES SOCIAIS'!AM27</f>
        <v>25.814666666666668</v>
      </c>
      <c r="U25" s="2">
        <f>'[1]CLASSES SOCIAIS'!AN27</f>
        <v>3.5760000000000001</v>
      </c>
      <c r="V25" s="2">
        <f>'[1]CLASSES SOCIAIS'!AO27</f>
        <v>101.64399999999999</v>
      </c>
      <c r="W25">
        <f>[1]INDÚSTRIAS!F27</f>
        <v>94</v>
      </c>
      <c r="X25">
        <f>[1]INDÚSTRIAS!G27</f>
        <v>0</v>
      </c>
      <c r="Y25">
        <f>[1]INDÚSTRIAS!H27</f>
        <v>0</v>
      </c>
      <c r="Z25">
        <f t="shared" si="2"/>
        <v>94</v>
      </c>
      <c r="AA25" s="2">
        <f>'[1]PIB (UT$)'!B26</f>
        <v>5924492.5219880585</v>
      </c>
      <c r="AB25" s="6">
        <f>[1]INDÚSTRIAS!AW27</f>
        <v>2293600</v>
      </c>
      <c r="AC25" s="6">
        <f>[1]INDÚSTRIAS!AX27</f>
        <v>0</v>
      </c>
      <c r="AD25" s="6">
        <f>[1]INDÚSTRIAS!AY27</f>
        <v>0</v>
      </c>
      <c r="AE25" s="6">
        <f>[1]INDÚSTRIAS!AZ27</f>
        <v>2293600</v>
      </c>
      <c r="AF25" s="3">
        <f>'[1]CAPITAL (UT$)'!AF27</f>
        <v>16.560041226376118</v>
      </c>
      <c r="AG25">
        <f>[1]SERVIÇOS!F27</f>
        <v>94</v>
      </c>
      <c r="AH25">
        <f>[1]SERVIÇOS!G27</f>
        <v>0</v>
      </c>
      <c r="AI25">
        <f>[1]SERVIÇOS!H27</f>
        <v>0</v>
      </c>
      <c r="AJ25">
        <f t="shared" si="3"/>
        <v>94</v>
      </c>
      <c r="AK25" s="2">
        <f>'[1]PIB (UT$)'!C26</f>
        <v>19064059.038122293</v>
      </c>
      <c r="AL25" s="6">
        <f>[1]SERVIÇOS!AW27</f>
        <v>740720</v>
      </c>
      <c r="AM25" s="6">
        <f>[1]SERVIÇOS!AX27</f>
        <v>0</v>
      </c>
      <c r="AN25" s="6">
        <f>[1]SERVIÇOS!AY27</f>
        <v>0</v>
      </c>
      <c r="AO25" s="6">
        <f>[1]SERVIÇOS!AZ27</f>
        <v>740720</v>
      </c>
      <c r="AP25" s="3">
        <f>'[1]CAPITAL (UT$)'!AG27</f>
        <v>0.49313628700669565</v>
      </c>
      <c r="AQ25">
        <f>[1]MINERAÇÃO!F27</f>
        <v>0</v>
      </c>
      <c r="AR25">
        <f>[1]MINERAÇÃO!G27</f>
        <v>0</v>
      </c>
      <c r="AS25">
        <f>[1]MINERAÇÃO!H27</f>
        <v>0</v>
      </c>
      <c r="AT25">
        <f t="shared" si="4"/>
        <v>0</v>
      </c>
      <c r="AU25" s="2">
        <f>'[1]PIB (UT$)'!D26</f>
        <v>0</v>
      </c>
      <c r="AV25" s="6">
        <f>[1]MINERAÇÃO!AW27</f>
        <v>0</v>
      </c>
      <c r="AW25" s="6">
        <f>[1]MINERAÇÃO!AX27</f>
        <v>0</v>
      </c>
      <c r="AX25" s="6">
        <f>[1]MINERAÇÃO!AY27</f>
        <v>0</v>
      </c>
      <c r="AY25" s="6">
        <f>[1]MINERAÇÃO!AZ27</f>
        <v>0</v>
      </c>
      <c r="AZ25" s="3">
        <f>'[1]CAPITAL (UT$)'!AH27</f>
        <v>0</v>
      </c>
      <c r="BA25">
        <f>[1]AGROPECUÁRIA!F27</f>
        <v>7</v>
      </c>
      <c r="BB25">
        <f>[1]AGROPECUÁRIA!G27</f>
        <v>0</v>
      </c>
      <c r="BC25">
        <f>[1]AGROPECUÁRIA!H27</f>
        <v>0</v>
      </c>
      <c r="BD25">
        <f t="shared" si="5"/>
        <v>7</v>
      </c>
      <c r="BE25" s="2">
        <f>'[1]PIB (UT$)'!E26</f>
        <v>77790.021014664468</v>
      </c>
      <c r="BF25" s="6">
        <f>[1]AGROPECUÁRIA!AW27</f>
        <v>38850</v>
      </c>
      <c r="BG25" s="6">
        <f>[1]AGROPECUÁRIA!AX27</f>
        <v>0</v>
      </c>
      <c r="BH25" s="6">
        <f>[1]AGROPECUÁRIA!AY27</f>
        <v>0</v>
      </c>
      <c r="BI25" s="6">
        <f>[1]AGROPECUÁRIA!AZ27</f>
        <v>38850</v>
      </c>
      <c r="BJ25" s="3">
        <f>'[1]CAPITAL (UT$)'!AI27</f>
        <v>54.135225611430258</v>
      </c>
      <c r="BK25" s="6">
        <f t="shared" si="6"/>
        <v>3073170</v>
      </c>
      <c r="BL25" s="6">
        <f t="shared" si="6"/>
        <v>0</v>
      </c>
      <c r="BM25" s="6">
        <f t="shared" si="6"/>
        <v>0</v>
      </c>
      <c r="BN25" s="6">
        <f t="shared" si="7"/>
        <v>3073170</v>
      </c>
      <c r="BO25" s="3">
        <f t="shared" si="8"/>
        <v>71.188403124813078</v>
      </c>
      <c r="BP25" s="7">
        <f t="shared" si="9"/>
        <v>313550970</v>
      </c>
      <c r="BQ25" s="2">
        <f>(BO25+V25)*[1]GLOBAL!$C$41</f>
        <v>51.849720937443927</v>
      </c>
      <c r="BR25" s="2">
        <f t="shared" si="10"/>
        <v>224.682124062257</v>
      </c>
    </row>
    <row r="26" spans="1:70">
      <c r="A26">
        <f t="shared" si="11"/>
        <v>1999</v>
      </c>
      <c r="B26" s="1">
        <f>'[1]POPULAÇÃO (HAB)'!D27</f>
        <v>213905</v>
      </c>
      <c r="C26" s="2">
        <f>'[1]PIB (UT$)'!F27</f>
        <v>26205267.92336097</v>
      </c>
      <c r="D26" s="3">
        <f>'[1]PIB (UT$)'!G27</f>
        <v>122.5089078018792</v>
      </c>
      <c r="E26" s="1">
        <f>'[1]POPULAÇÃO (HAB)'!E27</f>
        <v>128343</v>
      </c>
      <c r="F26" s="4">
        <f>[1]IDH!B27</f>
        <v>0.72448372240069892</v>
      </c>
      <c r="G26" s="4">
        <f>[1]IDH!C27</f>
        <v>0.729123794146607</v>
      </c>
      <c r="H26" s="4">
        <f>[1]IDH!D27</f>
        <v>0.99999999875207235</v>
      </c>
      <c r="I26" s="4">
        <f>[1]IDH!E27</f>
        <v>0.80836959032479394</v>
      </c>
      <c r="J26" s="5">
        <f>[1]EDUCAÇÃO!B27</f>
        <v>10.936856912199104</v>
      </c>
      <c r="K26">
        <f>'[1]CLASSES SOCIAIS'!T28</f>
        <v>20605</v>
      </c>
      <c r="L26">
        <f>'[1]CLASSES SOCIAIS'!U28</f>
        <v>53500</v>
      </c>
      <c r="M26">
        <f>'[1]CLASSES SOCIAIS'!V28</f>
        <v>24038</v>
      </c>
      <c r="N26">
        <f t="shared" si="0"/>
        <v>98143</v>
      </c>
      <c r="O26" s="6">
        <f>'[1]CONSUMO RESIDENCIAL (kWh)'!B28</f>
        <v>154537500</v>
      </c>
      <c r="P26" s="6">
        <f>'[1]CONSUMO RESIDENCIAL (kWh)'!C28</f>
        <v>133750000</v>
      </c>
      <c r="Q26" s="6">
        <f>'[1]CONSUMO RESIDENCIAL (kWh)'!D28</f>
        <v>28845600</v>
      </c>
      <c r="R26" s="6">
        <f t="shared" si="1"/>
        <v>317133100</v>
      </c>
      <c r="S26" s="2">
        <f>'[1]CLASSES SOCIAIS'!AL28</f>
        <v>74.849999999999994</v>
      </c>
      <c r="T26" s="2">
        <f>'[1]CLASSES SOCIAIS'!AM28</f>
        <v>25.911777777777779</v>
      </c>
      <c r="U26" s="2">
        <f>'[1]CLASSES SOCIAIS'!AN28</f>
        <v>3.4927333333333332</v>
      </c>
      <c r="V26" s="2">
        <f>'[1]CLASSES SOCIAIS'!AO28</f>
        <v>104.25451111111111</v>
      </c>
      <c r="W26">
        <f>[1]INDÚSTRIAS!F28</f>
        <v>97</v>
      </c>
      <c r="X26">
        <f>[1]INDÚSTRIAS!G28</f>
        <v>0</v>
      </c>
      <c r="Y26">
        <f>[1]INDÚSTRIAS!H28</f>
        <v>0</v>
      </c>
      <c r="Z26">
        <f t="shared" si="2"/>
        <v>97</v>
      </c>
      <c r="AA26" s="2">
        <f>'[1]PIB (UT$)'!B27</f>
        <v>6151522.4817249738</v>
      </c>
      <c r="AB26" s="6">
        <f>[1]INDÚSTRIAS!AW28</f>
        <v>2337700</v>
      </c>
      <c r="AC26" s="6">
        <f>[1]INDÚSTRIAS!AX28</f>
        <v>0</v>
      </c>
      <c r="AD26" s="6">
        <f>[1]INDÚSTRIAS!AY28</f>
        <v>0</v>
      </c>
      <c r="AE26" s="6">
        <f>[1]INDÚSTRIAS!AZ28</f>
        <v>2337700</v>
      </c>
      <c r="AF26" s="3">
        <f>'[1]CAPITAL (UT$)'!AF28</f>
        <v>17.571746079283546</v>
      </c>
      <c r="AG26">
        <f>[1]SERVIÇOS!F28</f>
        <v>97</v>
      </c>
      <c r="AH26">
        <f>[1]SERVIÇOS!G28</f>
        <v>0</v>
      </c>
      <c r="AI26">
        <f>[1]SERVIÇOS!H28</f>
        <v>0</v>
      </c>
      <c r="AJ26">
        <f t="shared" si="3"/>
        <v>97</v>
      </c>
      <c r="AK26" s="2">
        <f>'[1]PIB (UT$)'!C27</f>
        <v>19977017.141456395</v>
      </c>
      <c r="AL26" s="6">
        <f>[1]SERVIÇOS!AW28</f>
        <v>756600</v>
      </c>
      <c r="AM26" s="6">
        <f>[1]SERVIÇOS!AX28</f>
        <v>0</v>
      </c>
      <c r="AN26" s="6">
        <f>[1]SERVIÇOS!AY28</f>
        <v>0</v>
      </c>
      <c r="AO26" s="6">
        <f>[1]SERVIÇOS!AZ28</f>
        <v>756600</v>
      </c>
      <c r="AP26" s="3">
        <f>'[1]CAPITAL (UT$)'!AG28</f>
        <v>0.52011943436503649</v>
      </c>
      <c r="AQ26">
        <f>[1]MINERAÇÃO!F28</f>
        <v>0</v>
      </c>
      <c r="AR26">
        <f>[1]MINERAÇÃO!G28</f>
        <v>0</v>
      </c>
      <c r="AS26">
        <f>[1]MINERAÇÃO!H28</f>
        <v>0</v>
      </c>
      <c r="AT26">
        <f t="shared" si="4"/>
        <v>0</v>
      </c>
      <c r="AU26" s="2">
        <f>'[1]PIB (UT$)'!D27</f>
        <v>0</v>
      </c>
      <c r="AV26" s="6">
        <f>[1]MINERAÇÃO!AW28</f>
        <v>0</v>
      </c>
      <c r="AW26" s="6">
        <f>[1]MINERAÇÃO!AX28</f>
        <v>0</v>
      </c>
      <c r="AX26" s="6">
        <f>[1]MINERAÇÃO!AY28</f>
        <v>0</v>
      </c>
      <c r="AY26" s="6">
        <f>[1]MINERAÇÃO!AZ28</f>
        <v>0</v>
      </c>
      <c r="AZ26" s="3">
        <f>'[1]CAPITAL (UT$)'!AH28</f>
        <v>0</v>
      </c>
      <c r="BA26">
        <f>[1]AGROPECUÁRIA!F28</f>
        <v>7</v>
      </c>
      <c r="BB26">
        <f>[1]AGROPECUÁRIA!G28</f>
        <v>0</v>
      </c>
      <c r="BC26">
        <f>[1]AGROPECUÁRIA!H28</f>
        <v>0</v>
      </c>
      <c r="BD26">
        <f t="shared" si="5"/>
        <v>7</v>
      </c>
      <c r="BE26" s="2">
        <f>'[1]PIB (UT$)'!E27</f>
        <v>76728.300179602462</v>
      </c>
      <c r="BF26" s="6">
        <f>[1]AGROPECUÁRIA!AW28</f>
        <v>38850</v>
      </c>
      <c r="BG26" s="6">
        <f>[1]AGROPECUÁRIA!AX28</f>
        <v>0</v>
      </c>
      <c r="BH26" s="6">
        <f>[1]AGROPECUÁRIA!AY28</f>
        <v>0</v>
      </c>
      <c r="BI26" s="6">
        <f>[1]AGROPECUÁRIA!AZ28</f>
        <v>38850</v>
      </c>
      <c r="BJ26" s="3">
        <f>'[1]CAPITAL (UT$)'!AI28</f>
        <v>57.077150243995575</v>
      </c>
      <c r="BK26" s="6">
        <f t="shared" si="6"/>
        <v>3133150</v>
      </c>
      <c r="BL26" s="6">
        <f t="shared" si="6"/>
        <v>0</v>
      </c>
      <c r="BM26" s="6">
        <f t="shared" si="6"/>
        <v>0</v>
      </c>
      <c r="BN26" s="6">
        <f t="shared" si="7"/>
        <v>3133150</v>
      </c>
      <c r="BO26" s="3">
        <f t="shared" si="8"/>
        <v>75.169015757644161</v>
      </c>
      <c r="BP26" s="7">
        <f t="shared" si="9"/>
        <v>320266250</v>
      </c>
      <c r="BQ26" s="2">
        <f>(BO26+V26)*[1]GLOBAL!$C$41</f>
        <v>53.827058060626584</v>
      </c>
      <c r="BR26" s="2">
        <f t="shared" si="10"/>
        <v>233.25058492938189</v>
      </c>
    </row>
    <row r="27" spans="1:70">
      <c r="A27">
        <f t="shared" si="11"/>
        <v>2000</v>
      </c>
      <c r="B27" s="1">
        <f>'[1]POPULAÇÃO (HAB)'!D28</f>
        <v>214653</v>
      </c>
      <c r="C27" s="2">
        <f>'[1]PIB (UT$)'!F28</f>
        <v>27376241.515530892</v>
      </c>
      <c r="D27" s="3">
        <f>'[1]PIB (UT$)'!G28</f>
        <v>127.53719498693656</v>
      </c>
      <c r="E27" s="1">
        <f>'[1]POPULAÇÃO (HAB)'!E28</f>
        <v>128791</v>
      </c>
      <c r="F27" s="4">
        <f>[1]IDH!B28</f>
        <v>0.73054242080152065</v>
      </c>
      <c r="G27" s="4">
        <f>[1]IDH!C28</f>
        <v>0.7371309647085641</v>
      </c>
      <c r="H27" s="4">
        <f>[1]IDH!D28</f>
        <v>0.99999999954350305</v>
      </c>
      <c r="I27" s="4">
        <f>[1]IDH!E28</f>
        <v>0.81357332002081373</v>
      </c>
      <c r="J27" s="5">
        <f>[1]EDUCAÇÃO!B28</f>
        <v>11.056964470628461</v>
      </c>
      <c r="K27">
        <f>'[1]CLASSES SOCIAIS'!T29</f>
        <v>21406</v>
      </c>
      <c r="L27">
        <f>'[1]CLASSES SOCIAIS'!U29</f>
        <v>53926</v>
      </c>
      <c r="M27">
        <f>'[1]CLASSES SOCIAIS'!V29</f>
        <v>23581</v>
      </c>
      <c r="N27">
        <f t="shared" si="0"/>
        <v>98913</v>
      </c>
      <c r="O27" s="6">
        <f>'[1]CONSUMO RESIDENCIAL (kWh)'!B29</f>
        <v>160545000</v>
      </c>
      <c r="P27" s="6">
        <f>'[1]CONSUMO RESIDENCIAL (kWh)'!C29</f>
        <v>134815000</v>
      </c>
      <c r="Q27" s="6">
        <f>'[1]CONSUMO RESIDENCIAL (kWh)'!D29</f>
        <v>28297200</v>
      </c>
      <c r="R27" s="6">
        <f t="shared" si="1"/>
        <v>323657200</v>
      </c>
      <c r="S27" s="2">
        <f>'[1]CLASSES SOCIAIS'!AL29</f>
        <v>77.421666666666667</v>
      </c>
      <c r="T27" s="2">
        <f>'[1]CLASSES SOCIAIS'!AM29</f>
        <v>26.005555555555556</v>
      </c>
      <c r="U27" s="2">
        <f>'[1]CLASSES SOCIAIS'!AN29</f>
        <v>3.4115333333333333</v>
      </c>
      <c r="V27" s="2">
        <f>'[1]CLASSES SOCIAIS'!AO29</f>
        <v>106.83875555555557</v>
      </c>
      <c r="W27">
        <f>[1]INDÚSTRIAS!F29</f>
        <v>99</v>
      </c>
      <c r="X27">
        <f>[1]INDÚSTRIAS!G29</f>
        <v>0</v>
      </c>
      <c r="Y27">
        <f>[1]INDÚSTRIAS!H29</f>
        <v>0</v>
      </c>
      <c r="Z27">
        <f t="shared" si="2"/>
        <v>99</v>
      </c>
      <c r="AA27" s="2">
        <f>'[1]PIB (UT$)'!B28</f>
        <v>6379925.6473669149</v>
      </c>
      <c r="AB27" s="6">
        <f>[1]INDÚSTRIAS!AW29</f>
        <v>2415600</v>
      </c>
      <c r="AC27" s="6">
        <f>[1]INDÚSTRIAS!AX29</f>
        <v>0</v>
      </c>
      <c r="AD27" s="6">
        <f>[1]INDÚSTRIAS!AY29</f>
        <v>0</v>
      </c>
      <c r="AE27" s="6">
        <f>[1]INDÚSTRIAS!AZ29</f>
        <v>2415600</v>
      </c>
      <c r="AF27" s="3">
        <f>'[1]CAPITAL (UT$)'!AF29</f>
        <v>18.613862748395412</v>
      </c>
      <c r="AG27">
        <f>[1]SERVIÇOS!F29</f>
        <v>99</v>
      </c>
      <c r="AH27">
        <f>[1]SERVIÇOS!G29</f>
        <v>0</v>
      </c>
      <c r="AI27">
        <f>[1]SERVIÇOS!H29</f>
        <v>0</v>
      </c>
      <c r="AJ27">
        <f t="shared" si="3"/>
        <v>99</v>
      </c>
      <c r="AK27" s="2">
        <f>'[1]PIB (UT$)'!C28</f>
        <v>20920742.88347467</v>
      </c>
      <c r="AL27" s="6">
        <f>[1]SERVIÇOS!AW29</f>
        <v>760320</v>
      </c>
      <c r="AM27" s="6">
        <f>[1]SERVIÇOS!AX29</f>
        <v>0</v>
      </c>
      <c r="AN27" s="6">
        <f>[1]SERVIÇOS!AY29</f>
        <v>0</v>
      </c>
      <c r="AO27" s="6">
        <f>[1]SERVIÇOS!AZ29</f>
        <v>760320</v>
      </c>
      <c r="AP27" s="3">
        <f>'[1]CAPITAL (UT$)'!AG29</f>
        <v>0.54819129787302034</v>
      </c>
      <c r="AQ27">
        <f>[1]MINERAÇÃO!F29</f>
        <v>0</v>
      </c>
      <c r="AR27">
        <f>[1]MINERAÇÃO!G29</f>
        <v>0</v>
      </c>
      <c r="AS27">
        <f>[1]MINERAÇÃO!H29</f>
        <v>0</v>
      </c>
      <c r="AT27">
        <f t="shared" si="4"/>
        <v>0</v>
      </c>
      <c r="AU27" s="2">
        <f>'[1]PIB (UT$)'!D28</f>
        <v>0</v>
      </c>
      <c r="AV27" s="6">
        <f>[1]MINERAÇÃO!AW29</f>
        <v>0</v>
      </c>
      <c r="AW27" s="6">
        <f>[1]MINERAÇÃO!AX29</f>
        <v>0</v>
      </c>
      <c r="AX27" s="6">
        <f>[1]MINERAÇÃO!AY29</f>
        <v>0</v>
      </c>
      <c r="AY27" s="6">
        <f>[1]MINERAÇÃO!AZ29</f>
        <v>0</v>
      </c>
      <c r="AZ27" s="3">
        <f>'[1]CAPITAL (UT$)'!AH29</f>
        <v>0</v>
      </c>
      <c r="BA27">
        <f>[1]AGROPECUÁRIA!F29</f>
        <v>7</v>
      </c>
      <c r="BB27">
        <f>[1]AGROPECUÁRIA!G29</f>
        <v>0</v>
      </c>
      <c r="BC27">
        <f>[1]AGROPECUÁRIA!H29</f>
        <v>0</v>
      </c>
      <c r="BD27">
        <f t="shared" si="5"/>
        <v>7</v>
      </c>
      <c r="BE27" s="2">
        <f>'[1]PIB (UT$)'!E28</f>
        <v>75572.984689305405</v>
      </c>
      <c r="BF27" s="6">
        <f>[1]AGROPECUÁRIA!AW29</f>
        <v>40740</v>
      </c>
      <c r="BG27" s="6">
        <f>[1]AGROPECUÁRIA!AX29</f>
        <v>0</v>
      </c>
      <c r="BH27" s="6">
        <f>[1]AGROPECUÁRIA!AY29</f>
        <v>0</v>
      </c>
      <c r="BI27" s="6">
        <f>[1]AGROPECUÁRIA!AZ29</f>
        <v>40740</v>
      </c>
      <c r="BJ27" s="3">
        <f>'[1]CAPITAL (UT$)'!AI29</f>
        <v>60.104524527382999</v>
      </c>
      <c r="BK27" s="6">
        <f t="shared" si="6"/>
        <v>3216660</v>
      </c>
      <c r="BL27" s="6">
        <f t="shared" si="6"/>
        <v>0</v>
      </c>
      <c r="BM27" s="6">
        <f t="shared" si="6"/>
        <v>0</v>
      </c>
      <c r="BN27" s="6">
        <f t="shared" si="7"/>
        <v>3216660</v>
      </c>
      <c r="BO27" s="3">
        <f t="shared" si="8"/>
        <v>79.266578573651429</v>
      </c>
      <c r="BP27" s="7">
        <f t="shared" si="9"/>
        <v>326873860</v>
      </c>
      <c r="BQ27" s="2">
        <f>(BO27+V27)*[1]GLOBAL!$C$41</f>
        <v>55.8316002387621</v>
      </c>
      <c r="BR27" s="2">
        <f t="shared" si="10"/>
        <v>241.93693436796909</v>
      </c>
    </row>
    <row r="28" spans="1:70">
      <c r="A28">
        <f t="shared" si="11"/>
        <v>2001</v>
      </c>
      <c r="B28" s="1">
        <f>'[1]POPULAÇÃO (HAB)'!D29</f>
        <v>215404</v>
      </c>
      <c r="C28" s="2">
        <f>'[1]PIB (UT$)'!F29</f>
        <v>28580274.895747114</v>
      </c>
      <c r="D28" s="3">
        <f>'[1]PIB (UT$)'!G29</f>
        <v>132.68219204725591</v>
      </c>
      <c r="E28" s="1">
        <f>'[1]POPULAÇÃO (HAB)'!E29</f>
        <v>129242</v>
      </c>
      <c r="F28" s="4">
        <f>[1]IDH!B29</f>
        <v>0.73617224626762734</v>
      </c>
      <c r="G28" s="4">
        <f>[1]IDH!C29</f>
        <v>0.74482416962198383</v>
      </c>
      <c r="H28" s="4">
        <f>[1]IDH!D29</f>
        <v>0.99999999983686427</v>
      </c>
      <c r="I28" s="4">
        <f>[1]IDH!E29</f>
        <v>0.818485645431689</v>
      </c>
      <c r="J28" s="5">
        <f>[1]EDUCAÇÃO!B29</f>
        <v>11.172362544329758</v>
      </c>
      <c r="K28">
        <f>'[1]CLASSES SOCIAIS'!T30</f>
        <v>22181</v>
      </c>
      <c r="L28">
        <f>'[1]CLASSES SOCIAIS'!U30</f>
        <v>54313</v>
      </c>
      <c r="M28">
        <f>'[1]CLASSES SOCIAIS'!V30</f>
        <v>23153</v>
      </c>
      <c r="N28">
        <f t="shared" si="0"/>
        <v>99647</v>
      </c>
      <c r="O28" s="6">
        <f>'[1]CONSUMO RESIDENCIAL (kWh)'!B30</f>
        <v>166357500</v>
      </c>
      <c r="P28" s="6">
        <f>'[1]CONSUMO RESIDENCIAL (kWh)'!C30</f>
        <v>135782500</v>
      </c>
      <c r="Q28" s="6">
        <f>'[1]CONSUMO RESIDENCIAL (kWh)'!D30</f>
        <v>27783600</v>
      </c>
      <c r="R28" s="6">
        <f t="shared" si="1"/>
        <v>329923600</v>
      </c>
      <c r="S28" s="2">
        <f>'[1]CLASSES SOCIAIS'!AL30</f>
        <v>79.913333333333327</v>
      </c>
      <c r="T28" s="2">
        <f>'[1]CLASSES SOCIAIS'!AM30</f>
        <v>26.09</v>
      </c>
      <c r="U28" s="2">
        <f>'[1]CLASSES SOCIAIS'!AN30</f>
        <v>3.3365999999999998</v>
      </c>
      <c r="V28" s="2">
        <f>'[1]CLASSES SOCIAIS'!AO30</f>
        <v>109.33993333333333</v>
      </c>
      <c r="W28">
        <f>[1]INDÚSTRIAS!F30</f>
        <v>101</v>
      </c>
      <c r="X28">
        <f>[1]INDÚSTRIAS!G30</f>
        <v>0</v>
      </c>
      <c r="Y28">
        <f>[1]INDÚSTRIAS!H30</f>
        <v>0</v>
      </c>
      <c r="Z28">
        <f t="shared" si="2"/>
        <v>101</v>
      </c>
      <c r="AA28" s="2">
        <f>'[1]PIB (UT$)'!B29</f>
        <v>6609737.0797270481</v>
      </c>
      <c r="AB28" s="6">
        <f>[1]INDÚSTRIAS!AW30</f>
        <v>2504800</v>
      </c>
      <c r="AC28" s="6">
        <f>[1]INDÚSTRIAS!AX30</f>
        <v>0</v>
      </c>
      <c r="AD28" s="6">
        <f>[1]INDÚSTRIAS!AY30</f>
        <v>0</v>
      </c>
      <c r="AE28" s="6">
        <f>[1]INDÚSTRIAS!AZ30</f>
        <v>2504800</v>
      </c>
      <c r="AF28" s="3">
        <f>'[1]CAPITAL (UT$)'!AF30</f>
        <v>19.687130304734158</v>
      </c>
      <c r="AG28">
        <f>[1]SERVIÇOS!F30</f>
        <v>101</v>
      </c>
      <c r="AH28">
        <f>[1]SERVIÇOS!G30</f>
        <v>0</v>
      </c>
      <c r="AI28">
        <f>[1]SERVIÇOS!H30</f>
        <v>0</v>
      </c>
      <c r="AJ28">
        <f t="shared" si="3"/>
        <v>101</v>
      </c>
      <c r="AK28" s="2">
        <f>'[1]PIB (UT$)'!C29</f>
        <v>21896211.559975162</v>
      </c>
      <c r="AL28" s="6">
        <f>[1]SERVIÇOS!AW30</f>
        <v>783760</v>
      </c>
      <c r="AM28" s="6">
        <f>[1]SERVIÇOS!AX30</f>
        <v>0</v>
      </c>
      <c r="AN28" s="6">
        <f>[1]SERVIÇOS!AY30</f>
        <v>0</v>
      </c>
      <c r="AO28" s="6">
        <f>[1]SERVIÇOS!AZ30</f>
        <v>783760</v>
      </c>
      <c r="AP28" s="3">
        <f>'[1]CAPITAL (UT$)'!AG30</f>
        <v>0.57737262812938117</v>
      </c>
      <c r="AQ28">
        <f>[1]MINERAÇÃO!F30</f>
        <v>0</v>
      </c>
      <c r="AR28">
        <f>[1]MINERAÇÃO!G30</f>
        <v>0</v>
      </c>
      <c r="AS28">
        <f>[1]MINERAÇÃO!H30</f>
        <v>0</v>
      </c>
      <c r="AT28">
        <f t="shared" si="4"/>
        <v>0</v>
      </c>
      <c r="AU28" s="2">
        <f>'[1]PIB (UT$)'!D29</f>
        <v>0</v>
      </c>
      <c r="AV28" s="6">
        <f>[1]MINERAÇÃO!AW30</f>
        <v>0</v>
      </c>
      <c r="AW28" s="6">
        <f>[1]MINERAÇÃO!AX30</f>
        <v>0</v>
      </c>
      <c r="AX28" s="6">
        <f>[1]MINERAÇÃO!AY30</f>
        <v>0</v>
      </c>
      <c r="AY28" s="6">
        <f>[1]MINERAÇÃO!AZ30</f>
        <v>0</v>
      </c>
      <c r="AZ28" s="3">
        <f>'[1]CAPITAL (UT$)'!AH30</f>
        <v>0</v>
      </c>
      <c r="BA28">
        <f>[1]AGROPECUÁRIA!F30</f>
        <v>6</v>
      </c>
      <c r="BB28">
        <f>[1]AGROPECUÁRIA!G30</f>
        <v>0</v>
      </c>
      <c r="BC28">
        <f>[1]AGROPECUÁRIA!H30</f>
        <v>0</v>
      </c>
      <c r="BD28">
        <f t="shared" si="5"/>
        <v>6</v>
      </c>
      <c r="BE28" s="2">
        <f>'[1]PIB (UT$)'!E29</f>
        <v>74326.256044905182</v>
      </c>
      <c r="BF28" s="6">
        <f>[1]AGROPECUÁRIA!AW30</f>
        <v>34650</v>
      </c>
      <c r="BG28" s="6">
        <f>[1]AGROPECUÁRIA!AX30</f>
        <v>0</v>
      </c>
      <c r="BH28" s="6">
        <f>[1]AGROPECUÁRIA!AY30</f>
        <v>0</v>
      </c>
      <c r="BI28" s="6">
        <f>[1]AGROPECUÁRIA!AZ30</f>
        <v>34650</v>
      </c>
      <c r="BJ28" s="3">
        <f>'[1]CAPITAL (UT$)'!AI30</f>
        <v>63.219485913155005</v>
      </c>
      <c r="BK28" s="6">
        <f t="shared" si="6"/>
        <v>3323210</v>
      </c>
      <c r="BL28" s="6">
        <f t="shared" si="6"/>
        <v>0</v>
      </c>
      <c r="BM28" s="6">
        <f t="shared" si="6"/>
        <v>0</v>
      </c>
      <c r="BN28" s="6">
        <f t="shared" si="7"/>
        <v>3323210</v>
      </c>
      <c r="BO28" s="3">
        <f t="shared" si="8"/>
        <v>83.483988846018548</v>
      </c>
      <c r="BP28" s="7">
        <f t="shared" si="9"/>
        <v>333246810</v>
      </c>
      <c r="BQ28" s="2">
        <f>(BO28+V28)*[1]GLOBAL!$C$41</f>
        <v>57.847176653805562</v>
      </c>
      <c r="BR28" s="2">
        <f t="shared" si="10"/>
        <v>250.67109883315743</v>
      </c>
    </row>
    <row r="29" spans="1:70">
      <c r="A29">
        <f t="shared" si="11"/>
        <v>2002</v>
      </c>
      <c r="B29" s="1">
        <f>'[1]POPULAÇÃO (HAB)'!D30</f>
        <v>216157</v>
      </c>
      <c r="C29" s="2">
        <f>'[1]PIB (UT$)'!F30</f>
        <v>29817708.159450002</v>
      </c>
      <c r="D29" s="3">
        <f>'[1]PIB (UT$)'!G30</f>
        <v>137.94467983664651</v>
      </c>
      <c r="E29" s="1">
        <f>'[1]POPULAÇÃO (HAB)'!E30</f>
        <v>129694</v>
      </c>
      <c r="F29" s="4">
        <f>[1]IDH!B30</f>
        <v>0.74167998949453151</v>
      </c>
      <c r="G29" s="4">
        <f>[1]IDH!C30</f>
        <v>0.7522157196560324</v>
      </c>
      <c r="H29" s="4">
        <f>[1]IDH!D30</f>
        <v>0.99999999994305511</v>
      </c>
      <c r="I29" s="4">
        <f>[1]IDH!E30</f>
        <v>0.82322709430611174</v>
      </c>
      <c r="J29" s="5">
        <f>[1]EDUCAÇÃO!B30</f>
        <v>11.283235794840486</v>
      </c>
      <c r="K29">
        <f>'[1]CLASSES SOCIAIS'!T31</f>
        <v>22945</v>
      </c>
      <c r="L29">
        <f>'[1]CLASSES SOCIAIS'!U31</f>
        <v>54675</v>
      </c>
      <c r="M29">
        <f>'[1]CLASSES SOCIAIS'!V31</f>
        <v>22728</v>
      </c>
      <c r="N29">
        <f t="shared" si="0"/>
        <v>100348</v>
      </c>
      <c r="O29" s="6">
        <f>'[1]CONSUMO RESIDENCIAL (kWh)'!B31</f>
        <v>172087500</v>
      </c>
      <c r="P29" s="6">
        <f>'[1]CONSUMO RESIDENCIAL (kWh)'!C31</f>
        <v>136687500</v>
      </c>
      <c r="Q29" s="6">
        <f>'[1]CONSUMO RESIDENCIAL (kWh)'!D31</f>
        <v>27273600</v>
      </c>
      <c r="R29" s="6">
        <f t="shared" si="1"/>
        <v>336048600</v>
      </c>
      <c r="S29" s="2">
        <f>'[1]CLASSES SOCIAIS'!AL31</f>
        <v>82.375</v>
      </c>
      <c r="T29" s="2">
        <f>'[1]CLASSES SOCIAIS'!AM31</f>
        <v>26.171777777777777</v>
      </c>
      <c r="U29" s="2">
        <f>'[1]CLASSES SOCIAIS'!AN31</f>
        <v>3.2638666666666665</v>
      </c>
      <c r="V29" s="2">
        <f>'[1]CLASSES SOCIAIS'!AO31</f>
        <v>111.81064444444445</v>
      </c>
      <c r="W29">
        <f>[1]INDÚSTRIAS!F31</f>
        <v>104</v>
      </c>
      <c r="X29">
        <f>[1]INDÚSTRIAS!G31</f>
        <v>0</v>
      </c>
      <c r="Y29">
        <f>[1]INDÚSTRIAS!H31</f>
        <v>0</v>
      </c>
      <c r="Z29">
        <f t="shared" si="2"/>
        <v>104</v>
      </c>
      <c r="AA29" s="2">
        <f>'[1]PIB (UT$)'!B30</f>
        <v>6840851.8199035721</v>
      </c>
      <c r="AB29" s="6">
        <f>[1]INDÚSTRIAS!AW31</f>
        <v>2537600</v>
      </c>
      <c r="AC29" s="6">
        <f>[1]INDÚSTRIAS!AX31</f>
        <v>0</v>
      </c>
      <c r="AD29" s="6">
        <f>[1]INDÚSTRIAS!AY31</f>
        <v>0</v>
      </c>
      <c r="AE29" s="6">
        <f>[1]INDÚSTRIAS!AZ31</f>
        <v>2537600</v>
      </c>
      <c r="AF29" s="3">
        <f>'[1]CAPITAL (UT$)'!AF31</f>
        <v>20.792324478109879</v>
      </c>
      <c r="AG29">
        <f>[1]SERVIÇOS!F31</f>
        <v>104</v>
      </c>
      <c r="AH29">
        <f>[1]SERVIÇOS!G31</f>
        <v>0</v>
      </c>
      <c r="AI29">
        <f>[1]SERVIÇOS!H31</f>
        <v>0</v>
      </c>
      <c r="AJ29">
        <f t="shared" si="3"/>
        <v>104</v>
      </c>
      <c r="AK29" s="2">
        <f>'[1]PIB (UT$)'!C30</f>
        <v>22903868.789164804</v>
      </c>
      <c r="AL29" s="6">
        <f>[1]SERVIÇOS!AW31</f>
        <v>811200</v>
      </c>
      <c r="AM29" s="6">
        <f>[1]SERVIÇOS!AX31</f>
        <v>0</v>
      </c>
      <c r="AN29" s="6">
        <f>[1]SERVIÇOS!AY31</f>
        <v>0</v>
      </c>
      <c r="AO29" s="6">
        <f>[1]SERVIÇOS!AZ31</f>
        <v>811200</v>
      </c>
      <c r="AP29" s="3">
        <f>'[1]CAPITAL (UT$)'!AG31</f>
        <v>0.60768524077841168</v>
      </c>
      <c r="AQ29">
        <f>[1]MINERAÇÃO!F31</f>
        <v>0</v>
      </c>
      <c r="AR29">
        <f>[1]MINERAÇÃO!G31</f>
        <v>0</v>
      </c>
      <c r="AS29">
        <f>[1]MINERAÇÃO!H31</f>
        <v>0</v>
      </c>
      <c r="AT29">
        <f t="shared" si="4"/>
        <v>0</v>
      </c>
      <c r="AU29" s="2">
        <f>'[1]PIB (UT$)'!D30</f>
        <v>0</v>
      </c>
      <c r="AV29" s="6">
        <f>[1]MINERAÇÃO!AW31</f>
        <v>0</v>
      </c>
      <c r="AW29" s="6">
        <f>[1]MINERAÇÃO!AX31</f>
        <v>0</v>
      </c>
      <c r="AX29" s="6">
        <f>[1]MINERAÇÃO!AY31</f>
        <v>0</v>
      </c>
      <c r="AY29" s="6">
        <f>[1]MINERAÇÃO!AZ31</f>
        <v>0</v>
      </c>
      <c r="AZ29" s="3">
        <f>'[1]CAPITAL (UT$)'!AH31</f>
        <v>0</v>
      </c>
      <c r="BA29">
        <f>[1]AGROPECUÁRIA!F31</f>
        <v>6</v>
      </c>
      <c r="BB29">
        <f>[1]AGROPECUÁRIA!G31</f>
        <v>0</v>
      </c>
      <c r="BC29">
        <f>[1]AGROPECUÁRIA!H31</f>
        <v>0</v>
      </c>
      <c r="BD29">
        <f t="shared" si="5"/>
        <v>6</v>
      </c>
      <c r="BE29" s="2">
        <f>'[1]PIB (UT$)'!E30</f>
        <v>72987.550381626861</v>
      </c>
      <c r="BF29" s="6">
        <f>[1]AGROPECUÁRIA!AW31</f>
        <v>35190</v>
      </c>
      <c r="BG29" s="6">
        <f>[1]AGROPECUÁRIA!AX31</f>
        <v>0</v>
      </c>
      <c r="BH29" s="6">
        <f>[1]AGROPECUÁRIA!AY31</f>
        <v>0</v>
      </c>
      <c r="BI29" s="6">
        <f>[1]AGROPECUÁRIA!AZ31</f>
        <v>35190</v>
      </c>
      <c r="BJ29" s="3">
        <f>'[1]CAPITAL (UT$)'!AI31</f>
        <v>66.424295620421873</v>
      </c>
      <c r="BK29" s="6">
        <f t="shared" si="6"/>
        <v>3383990</v>
      </c>
      <c r="BL29" s="6">
        <f t="shared" si="6"/>
        <v>0</v>
      </c>
      <c r="BM29" s="6">
        <f t="shared" si="6"/>
        <v>0</v>
      </c>
      <c r="BN29" s="6">
        <f t="shared" si="7"/>
        <v>3383990</v>
      </c>
      <c r="BO29" s="3">
        <f t="shared" si="8"/>
        <v>87.824305339310172</v>
      </c>
      <c r="BP29" s="7">
        <f t="shared" si="9"/>
        <v>339432590</v>
      </c>
      <c r="BQ29" s="2">
        <f>(BO29+V29)*[1]GLOBAL!$C$41</f>
        <v>59.890484935126381</v>
      </c>
      <c r="BR29" s="2">
        <f t="shared" si="10"/>
        <v>259.525434718881</v>
      </c>
    </row>
    <row r="30" spans="1:70">
      <c r="A30">
        <f t="shared" si="11"/>
        <v>2003</v>
      </c>
      <c r="B30" s="1">
        <f>'[1]POPULAÇÃO (HAB)'!D31</f>
        <v>216913</v>
      </c>
      <c r="C30" s="2">
        <f>'[1]PIB (UT$)'!F31</f>
        <v>31089155.645987172</v>
      </c>
      <c r="D30" s="3">
        <f>'[1]PIB (UT$)'!G31</f>
        <v>143.32546065006326</v>
      </c>
      <c r="E30" s="1">
        <f>'[1]POPULAÇÃO (HAB)'!E31</f>
        <v>130147</v>
      </c>
      <c r="F30" s="4">
        <f>[1]IDH!B31</f>
        <v>0.74706839752230947</v>
      </c>
      <c r="G30" s="4">
        <f>[1]IDH!C31</f>
        <v>0.7593174428677123</v>
      </c>
      <c r="H30" s="4">
        <f>[1]IDH!D31</f>
        <v>0.99999999998058731</v>
      </c>
      <c r="I30" s="4">
        <f>[1]IDH!E31</f>
        <v>0.8278047496993387</v>
      </c>
      <c r="J30" s="5">
        <f>[1]EDUCAÇÃO!B31</f>
        <v>11.389761643015685</v>
      </c>
      <c r="K30">
        <f>'[1]CLASSES SOCIAIS'!T32</f>
        <v>23696</v>
      </c>
      <c r="L30">
        <f>'[1]CLASSES SOCIAIS'!U32</f>
        <v>55014</v>
      </c>
      <c r="M30">
        <f>'[1]CLASSES SOCIAIS'!V32</f>
        <v>22308</v>
      </c>
      <c r="N30">
        <f t="shared" si="0"/>
        <v>101018</v>
      </c>
      <c r="O30" s="6">
        <f>'[1]CONSUMO RESIDENCIAL (kWh)'!B32</f>
        <v>177720000</v>
      </c>
      <c r="P30" s="6">
        <f>'[1]CONSUMO RESIDENCIAL (kWh)'!C32</f>
        <v>137535000</v>
      </c>
      <c r="Q30" s="6">
        <f>'[1]CONSUMO RESIDENCIAL (kWh)'!D32</f>
        <v>26769600</v>
      </c>
      <c r="R30" s="6">
        <f t="shared" si="1"/>
        <v>342024600</v>
      </c>
      <c r="S30" s="2">
        <f>'[1]CLASSES SOCIAIS'!AL32</f>
        <v>84.803333333333327</v>
      </c>
      <c r="T30" s="2">
        <f>'[1]CLASSES SOCIAIS'!AM32</f>
        <v>26.250888888888888</v>
      </c>
      <c r="U30" s="2">
        <f>'[1]CLASSES SOCIAIS'!AN32</f>
        <v>3.1933333333333334</v>
      </c>
      <c r="V30" s="2">
        <f>'[1]CLASSES SOCIAIS'!AO32</f>
        <v>114.24755555555555</v>
      </c>
      <c r="W30">
        <f>[1]INDÚSTRIAS!F32</f>
        <v>106</v>
      </c>
      <c r="X30">
        <f>[1]INDÚSTRIAS!G32</f>
        <v>0</v>
      </c>
      <c r="Y30">
        <f>[1]INDÚSTRIAS!H32</f>
        <v>0</v>
      </c>
      <c r="Z30">
        <f t="shared" si="2"/>
        <v>106</v>
      </c>
      <c r="AA30" s="2">
        <f>'[1]PIB (UT$)'!B31</f>
        <v>7073204.0369295226</v>
      </c>
      <c r="AB30" s="6">
        <f>[1]INDÚSTRIAS!AW32</f>
        <v>2544000</v>
      </c>
      <c r="AC30" s="6">
        <f>[1]INDÚSTRIAS!AX32</f>
        <v>0</v>
      </c>
      <c r="AD30" s="6">
        <f>[1]INDÚSTRIAS!AY32</f>
        <v>0</v>
      </c>
      <c r="AE30" s="6">
        <f>[1]INDÚSTRIAS!AZ32</f>
        <v>2544000</v>
      </c>
      <c r="AF30" s="3">
        <f>'[1]CAPITAL (UT$)'!AF32</f>
        <v>21.930201662179286</v>
      </c>
      <c r="AG30">
        <f>[1]SERVIÇOS!F32</f>
        <v>106</v>
      </c>
      <c r="AH30">
        <f>[1]SERVIÇOS!G32</f>
        <v>0</v>
      </c>
      <c r="AI30">
        <f>[1]SERVIÇOS!H32</f>
        <v>0</v>
      </c>
      <c r="AJ30">
        <f t="shared" si="3"/>
        <v>106</v>
      </c>
      <c r="AK30" s="2">
        <f>'[1]PIB (UT$)'!C31</f>
        <v>23944394.340418622</v>
      </c>
      <c r="AL30" s="6">
        <f>[1]SERVIÇOS!AW32</f>
        <v>839520</v>
      </c>
      <c r="AM30" s="6">
        <f>[1]SERVIÇOS!AX32</f>
        <v>0</v>
      </c>
      <c r="AN30" s="6">
        <f>[1]SERVIÇOS!AY32</f>
        <v>0</v>
      </c>
      <c r="AO30" s="6">
        <f>[1]SERVIÇOS!AZ32</f>
        <v>839520</v>
      </c>
      <c r="AP30" s="3">
        <f>'[1]CAPITAL (UT$)'!AG32</f>
        <v>0.63915086382080921</v>
      </c>
      <c r="AQ30">
        <f>[1]MINERAÇÃO!F32</f>
        <v>0</v>
      </c>
      <c r="AR30">
        <f>[1]MINERAÇÃO!G32</f>
        <v>0</v>
      </c>
      <c r="AS30">
        <f>[1]MINERAÇÃO!H32</f>
        <v>0</v>
      </c>
      <c r="AT30">
        <f t="shared" si="4"/>
        <v>0</v>
      </c>
      <c r="AU30" s="2">
        <f>'[1]PIB (UT$)'!D31</f>
        <v>0</v>
      </c>
      <c r="AV30" s="6">
        <f>[1]MINERAÇÃO!AW32</f>
        <v>0</v>
      </c>
      <c r="AW30" s="6">
        <f>[1]MINERAÇÃO!AX32</f>
        <v>0</v>
      </c>
      <c r="AX30" s="6">
        <f>[1]MINERAÇÃO!AY32</f>
        <v>0</v>
      </c>
      <c r="AY30" s="6">
        <f>[1]MINERAÇÃO!AZ32</f>
        <v>0</v>
      </c>
      <c r="AZ30" s="3">
        <f>'[1]CAPITAL (UT$)'!AH32</f>
        <v>0</v>
      </c>
      <c r="BA30">
        <f>[1]AGROPECUÁRIA!F32</f>
        <v>6</v>
      </c>
      <c r="BB30">
        <f>[1]AGROPECUÁRIA!G32</f>
        <v>0</v>
      </c>
      <c r="BC30">
        <f>[1]AGROPECUÁRIA!H32</f>
        <v>0</v>
      </c>
      <c r="BD30">
        <f t="shared" si="5"/>
        <v>6</v>
      </c>
      <c r="BE30" s="2">
        <f>'[1]PIB (UT$)'!E31</f>
        <v>71557.268639028378</v>
      </c>
      <c r="BF30" s="6">
        <f>[1]AGROPECUÁRIA!AW32</f>
        <v>34650</v>
      </c>
      <c r="BG30" s="6">
        <f>[1]AGROPECUÁRIA!AX32</f>
        <v>0</v>
      </c>
      <c r="BH30" s="6">
        <f>[1]AGROPECUÁRIA!AY32</f>
        <v>0</v>
      </c>
      <c r="BI30" s="6">
        <f>[1]AGROPECUÁRIA!AZ32</f>
        <v>34650</v>
      </c>
      <c r="BJ30" s="3">
        <f>'[1]CAPITAL (UT$)'!AI32</f>
        <v>69.721102111529689</v>
      </c>
      <c r="BK30" s="6">
        <f t="shared" si="6"/>
        <v>3418170</v>
      </c>
      <c r="BL30" s="6">
        <f t="shared" si="6"/>
        <v>0</v>
      </c>
      <c r="BM30" s="6">
        <f t="shared" si="6"/>
        <v>0</v>
      </c>
      <c r="BN30" s="6">
        <f t="shared" si="7"/>
        <v>3418170</v>
      </c>
      <c r="BO30" s="3">
        <f t="shared" si="8"/>
        <v>92.290454637529791</v>
      </c>
      <c r="BP30" s="7">
        <f t="shared" si="9"/>
        <v>345442770</v>
      </c>
      <c r="BQ30" s="2">
        <f>(BO30+V30)*[1]GLOBAL!$C$41</f>
        <v>61.961403057925601</v>
      </c>
      <c r="BR30" s="2">
        <f t="shared" si="10"/>
        <v>268.49941325101094</v>
      </c>
    </row>
    <row r="31" spans="1:70">
      <c r="A31">
        <f t="shared" si="11"/>
        <v>2004</v>
      </c>
      <c r="B31" s="1">
        <f>'[1]POPULAÇÃO (HAB)'!D32</f>
        <v>217672</v>
      </c>
      <c r="C31" s="2">
        <f>'[1]PIB (UT$)'!F32</f>
        <v>32395574.760514215</v>
      </c>
      <c r="D31" s="3">
        <f>'[1]PIB (UT$)'!G32</f>
        <v>148.8274778589539</v>
      </c>
      <c r="E31" s="1">
        <f>'[1]POPULAÇÃO (HAB)'!E32</f>
        <v>130603</v>
      </c>
      <c r="F31" s="4">
        <f>[1]IDH!B32</f>
        <v>0.75234210506581956</v>
      </c>
      <c r="G31" s="4">
        <f>[1]IDH!C32</f>
        <v>0.76614070352927721</v>
      </c>
      <c r="H31" s="4">
        <f>[1]IDH!D32</f>
        <v>0.99999999999354061</v>
      </c>
      <c r="I31" s="4">
        <f>[1]IDH!E32</f>
        <v>0.83222604153279589</v>
      </c>
      <c r="J31" s="5">
        <f>[1]EDUCAÇÃO!B32</f>
        <v>11.492110552939158</v>
      </c>
      <c r="K31">
        <f>'[1]CLASSES SOCIAIS'!T33</f>
        <v>24435</v>
      </c>
      <c r="L31">
        <f>'[1]CLASSES SOCIAIS'!U33</f>
        <v>55332</v>
      </c>
      <c r="M31">
        <f>'[1]CLASSES SOCIAIS'!V33</f>
        <v>21891</v>
      </c>
      <c r="N31">
        <f t="shared" si="0"/>
        <v>101658</v>
      </c>
      <c r="O31" s="6">
        <f>'[1]CONSUMO RESIDENCIAL (kWh)'!B33</f>
        <v>183262500</v>
      </c>
      <c r="P31" s="6">
        <f>'[1]CONSUMO RESIDENCIAL (kWh)'!C33</f>
        <v>138330000</v>
      </c>
      <c r="Q31" s="6">
        <f>'[1]CONSUMO RESIDENCIAL (kWh)'!D33</f>
        <v>26269200</v>
      </c>
      <c r="R31" s="6">
        <f t="shared" si="1"/>
        <v>347861700</v>
      </c>
      <c r="S31" s="2">
        <f>'[1]CLASSES SOCIAIS'!AL33</f>
        <v>87.2</v>
      </c>
      <c r="T31" s="2">
        <f>'[1]CLASSES SOCIAIS'!AM33</f>
        <v>26.328222222222223</v>
      </c>
      <c r="U31" s="2">
        <f>'[1]CLASSES SOCIAIS'!AN33</f>
        <v>3.1249333333333333</v>
      </c>
      <c r="V31" s="2">
        <f>'[1]CLASSES SOCIAIS'!AO33</f>
        <v>116.65315555555556</v>
      </c>
      <c r="W31">
        <f>[1]INDÚSTRIAS!F33</f>
        <v>108</v>
      </c>
      <c r="X31">
        <f>[1]INDÚSTRIAS!G33</f>
        <v>0</v>
      </c>
      <c r="Y31">
        <f>[1]INDÚSTRIAS!H33</f>
        <v>0</v>
      </c>
      <c r="Z31">
        <f t="shared" si="2"/>
        <v>108</v>
      </c>
      <c r="AA31" s="2">
        <f>'[1]PIB (UT$)'!B32</f>
        <v>7306779.9040328739</v>
      </c>
      <c r="AB31" s="6">
        <f>[1]INDÚSTRIAS!AW33</f>
        <v>2613600</v>
      </c>
      <c r="AC31" s="6">
        <f>[1]INDÚSTRIAS!AX33</f>
        <v>0</v>
      </c>
      <c r="AD31" s="6">
        <f>[1]INDÚSTRIAS!AY33</f>
        <v>0</v>
      </c>
      <c r="AE31" s="6">
        <f>[1]INDÚSTRIAS!AZ33</f>
        <v>2613600</v>
      </c>
      <c r="AF31" s="3">
        <f>'[1]CAPITAL (UT$)'!AF33</f>
        <v>23.1015220141275</v>
      </c>
      <c r="AG31">
        <f>[1]SERVIÇOS!F33</f>
        <v>108</v>
      </c>
      <c r="AH31">
        <f>[1]SERVIÇOS!G33</f>
        <v>0</v>
      </c>
      <c r="AI31">
        <f>[1]SERVIÇOS!H33</f>
        <v>0</v>
      </c>
      <c r="AJ31">
        <f t="shared" si="3"/>
        <v>108</v>
      </c>
      <c r="AK31" s="2">
        <f>'[1]PIB (UT$)'!C32</f>
        <v>25018758.177612107</v>
      </c>
      <c r="AL31" s="6">
        <f>[1]SERVIÇOS!AW33</f>
        <v>838080</v>
      </c>
      <c r="AM31" s="6">
        <f>[1]SERVIÇOS!AX33</f>
        <v>0</v>
      </c>
      <c r="AN31" s="6">
        <f>[1]SERVIÇOS!AY33</f>
        <v>0</v>
      </c>
      <c r="AO31" s="6">
        <f>[1]SERVIÇOS!AZ33</f>
        <v>838080</v>
      </c>
      <c r="AP31" s="3">
        <f>'[1]CAPITAL (UT$)'!AG33</f>
        <v>0.67179159731616356</v>
      </c>
      <c r="AQ31">
        <f>[1]MINERAÇÃO!F33</f>
        <v>0</v>
      </c>
      <c r="AR31">
        <f>[1]MINERAÇÃO!G33</f>
        <v>0</v>
      </c>
      <c r="AS31">
        <f>[1]MINERAÇÃO!H33</f>
        <v>0</v>
      </c>
      <c r="AT31">
        <f t="shared" si="4"/>
        <v>0</v>
      </c>
      <c r="AU31" s="2">
        <f>'[1]PIB (UT$)'!D32</f>
        <v>0</v>
      </c>
      <c r="AV31" s="6">
        <f>[1]MINERAÇÃO!AW33</f>
        <v>0</v>
      </c>
      <c r="AW31" s="6">
        <f>[1]MINERAÇÃO!AX33</f>
        <v>0</v>
      </c>
      <c r="AX31" s="6">
        <f>[1]MINERAÇÃO!AY33</f>
        <v>0</v>
      </c>
      <c r="AY31" s="6">
        <f>[1]MINERAÇÃO!AZ33</f>
        <v>0</v>
      </c>
      <c r="AZ31" s="3">
        <f>'[1]CAPITAL (UT$)'!AH33</f>
        <v>0</v>
      </c>
      <c r="BA31">
        <f>[1]AGROPECUÁRIA!F33</f>
        <v>6</v>
      </c>
      <c r="BB31">
        <f>[1]AGROPECUÁRIA!G33</f>
        <v>0</v>
      </c>
      <c r="BC31">
        <f>[1]AGROPECUÁRIA!H33</f>
        <v>0</v>
      </c>
      <c r="BD31">
        <f t="shared" si="5"/>
        <v>6</v>
      </c>
      <c r="BE31" s="2">
        <f>'[1]PIB (UT$)'!E32</f>
        <v>70036.678869231328</v>
      </c>
      <c r="BF31" s="6">
        <f>[1]AGROPECUÁRIA!AW33</f>
        <v>34650</v>
      </c>
      <c r="BG31" s="6">
        <f>[1]AGROPECUÁRIA!AX33</f>
        <v>0</v>
      </c>
      <c r="BH31" s="6">
        <f>[1]AGROPECUÁRIA!AY33</f>
        <v>0</v>
      </c>
      <c r="BI31" s="6">
        <f>[1]AGROPECUÁRIA!AZ33</f>
        <v>34650</v>
      </c>
      <c r="BJ31" s="3">
        <f>'[1]CAPITAL (UT$)'!AI33</f>
        <v>73.112043782372453</v>
      </c>
      <c r="BK31" s="6">
        <f t="shared" si="6"/>
        <v>3486330</v>
      </c>
      <c r="BL31" s="6">
        <f t="shared" si="6"/>
        <v>0</v>
      </c>
      <c r="BM31" s="6">
        <f t="shared" si="6"/>
        <v>0</v>
      </c>
      <c r="BN31" s="6">
        <f t="shared" si="7"/>
        <v>3486330</v>
      </c>
      <c r="BO31" s="3">
        <f t="shared" si="8"/>
        <v>96.885357393816122</v>
      </c>
      <c r="BP31" s="7">
        <f t="shared" si="9"/>
        <v>351348030</v>
      </c>
      <c r="BQ31" s="2">
        <f>(BO31+V31)*[1]GLOBAL!$C$41</f>
        <v>64.061553884811502</v>
      </c>
      <c r="BR31" s="2">
        <f t="shared" si="10"/>
        <v>277.60006683418317</v>
      </c>
    </row>
    <row r="32" spans="1:70">
      <c r="A32">
        <f t="shared" si="11"/>
        <v>2005</v>
      </c>
      <c r="B32" s="1">
        <f>'[1]POPULAÇÃO (HAB)'!D33</f>
        <v>218433</v>
      </c>
      <c r="C32" s="2">
        <f>'[1]PIB (UT$)'!F33</f>
        <v>33737138.289747246</v>
      </c>
      <c r="D32" s="3">
        <f>'[1]PIB (UT$)'!G33</f>
        <v>154.45073908130752</v>
      </c>
      <c r="E32" s="1">
        <f>'[1]POPULAÇÃO (HAB)'!E33</f>
        <v>131059</v>
      </c>
      <c r="F32" s="4">
        <f>[1]IDH!B33</f>
        <v>0.75750231658415657</v>
      </c>
      <c r="G32" s="4">
        <f>[1]IDH!C33</f>
        <v>0.77269642031349217</v>
      </c>
      <c r="H32" s="4">
        <f>[1]IDH!D33</f>
        <v>0.99999999999790223</v>
      </c>
      <c r="I32" s="4">
        <f>[1]IDH!E33</f>
        <v>0.83649680889939115</v>
      </c>
      <c r="J32" s="5">
        <f>[1]EDUCAÇÃO!B33</f>
        <v>11.590446304702382</v>
      </c>
      <c r="K32">
        <f>'[1]CLASSES SOCIAIS'!T34</f>
        <v>25160</v>
      </c>
      <c r="L32">
        <f>'[1]CLASSES SOCIAIS'!U34</f>
        <v>55631</v>
      </c>
      <c r="M32">
        <f>'[1]CLASSES SOCIAIS'!V34</f>
        <v>21481</v>
      </c>
      <c r="N32">
        <f t="shared" si="0"/>
        <v>102272</v>
      </c>
      <c r="O32" s="6">
        <f>'[1]CONSUMO RESIDENCIAL (kWh)'!B34</f>
        <v>188700000</v>
      </c>
      <c r="P32" s="6">
        <f>'[1]CONSUMO RESIDENCIAL (kWh)'!C34</f>
        <v>139077500</v>
      </c>
      <c r="Q32" s="6">
        <f>'[1]CONSUMO RESIDENCIAL (kWh)'!D34</f>
        <v>25777200</v>
      </c>
      <c r="R32" s="6">
        <f t="shared" si="1"/>
        <v>353554700</v>
      </c>
      <c r="S32" s="2">
        <f>'[1]CLASSES SOCIAIS'!AL34</f>
        <v>89.561666666666667</v>
      </c>
      <c r="T32" s="2">
        <f>'[1]CLASSES SOCIAIS'!AM34</f>
        <v>26.403555555555556</v>
      </c>
      <c r="U32" s="2">
        <f>'[1]CLASSES SOCIAIS'!AN34</f>
        <v>3.0586000000000002</v>
      </c>
      <c r="V32" s="2">
        <f>'[1]CLASSES SOCIAIS'!AO34</f>
        <v>119.02382222222222</v>
      </c>
      <c r="W32">
        <f>[1]INDÚSTRIAS!F34</f>
        <v>110</v>
      </c>
      <c r="X32">
        <f>[1]INDÚSTRIAS!G34</f>
        <v>0</v>
      </c>
      <c r="Y32">
        <f>[1]INDÚSTRIAS!H34</f>
        <v>0</v>
      </c>
      <c r="Z32">
        <f t="shared" si="2"/>
        <v>110</v>
      </c>
      <c r="AA32" s="2">
        <f>'[1]PIB (UT$)'!B33</f>
        <v>7541408.9244804019</v>
      </c>
      <c r="AB32" s="6">
        <f>[1]INDÚSTRIAS!AW34</f>
        <v>2662000</v>
      </c>
      <c r="AC32" s="6">
        <f>[1]INDÚSTRIAS!AX34</f>
        <v>0</v>
      </c>
      <c r="AD32" s="6">
        <f>[1]INDÚSTRIAS!AY34</f>
        <v>0</v>
      </c>
      <c r="AE32" s="6">
        <f>[1]INDÚSTRIAS!AZ34</f>
        <v>2662000</v>
      </c>
      <c r="AF32" s="3">
        <f>'[1]CAPITAL (UT$)'!AF34</f>
        <v>24.307076674120985</v>
      </c>
      <c r="AG32">
        <f>[1]SERVIÇOS!F34</f>
        <v>110</v>
      </c>
      <c r="AH32">
        <f>[1]SERVIÇOS!G34</f>
        <v>0</v>
      </c>
      <c r="AI32">
        <f>[1]SERVIÇOS!H34</f>
        <v>0</v>
      </c>
      <c r="AJ32">
        <f t="shared" si="3"/>
        <v>110</v>
      </c>
      <c r="AK32" s="2">
        <f>'[1]PIB (UT$)'!C33</f>
        <v>26127304.857707702</v>
      </c>
      <c r="AL32" s="6">
        <f>[1]SERVIÇOS!AW34</f>
        <v>862400</v>
      </c>
      <c r="AM32" s="6">
        <f>[1]SERVIÇOS!AX34</f>
        <v>0</v>
      </c>
      <c r="AN32" s="6">
        <f>[1]SERVIÇOS!AY34</f>
        <v>0</v>
      </c>
      <c r="AO32" s="6">
        <f>[1]SERVIÇOS!AZ34</f>
        <v>862400</v>
      </c>
      <c r="AP32" s="3">
        <f>'[1]CAPITAL (UT$)'!AG34</f>
        <v>0.70563047399753553</v>
      </c>
      <c r="AQ32">
        <f>[1]MINERAÇÃO!F34</f>
        <v>0</v>
      </c>
      <c r="AR32">
        <f>[1]MINERAÇÃO!G34</f>
        <v>0</v>
      </c>
      <c r="AS32">
        <f>[1]MINERAÇÃO!H34</f>
        <v>0</v>
      </c>
      <c r="AT32">
        <f t="shared" si="4"/>
        <v>0</v>
      </c>
      <c r="AU32" s="2">
        <f>'[1]PIB (UT$)'!D33</f>
        <v>0</v>
      </c>
      <c r="AV32" s="6">
        <f>[1]MINERAÇÃO!AW34</f>
        <v>0</v>
      </c>
      <c r="AW32" s="6">
        <f>[1]MINERAÇÃO!AX34</f>
        <v>0</v>
      </c>
      <c r="AX32" s="6">
        <f>[1]MINERAÇÃO!AY34</f>
        <v>0</v>
      </c>
      <c r="AY32" s="6">
        <f>[1]MINERAÇÃO!AZ34</f>
        <v>0</v>
      </c>
      <c r="AZ32" s="3">
        <f>'[1]CAPITAL (UT$)'!AH34</f>
        <v>0</v>
      </c>
      <c r="BA32">
        <f>[1]AGROPECUÁRIA!F34</f>
        <v>6</v>
      </c>
      <c r="BB32">
        <f>[1]AGROPECUÁRIA!G34</f>
        <v>0</v>
      </c>
      <c r="BC32">
        <f>[1]AGROPECUÁRIA!H34</f>
        <v>0</v>
      </c>
      <c r="BD32">
        <f t="shared" si="5"/>
        <v>6</v>
      </c>
      <c r="BE32" s="2">
        <f>'[1]PIB (UT$)'!E33</f>
        <v>68424.507559140446</v>
      </c>
      <c r="BF32" s="6">
        <f>[1]AGROPECUÁRIA!AW34</f>
        <v>35460</v>
      </c>
      <c r="BG32" s="6">
        <f>[1]AGROPECUÁRIA!AX34</f>
        <v>0</v>
      </c>
      <c r="BH32" s="6">
        <f>[1]AGROPECUÁRIA!AY34</f>
        <v>0</v>
      </c>
      <c r="BI32" s="6">
        <f>[1]AGROPECUÁRIA!AZ34</f>
        <v>35460</v>
      </c>
      <c r="BJ32" s="3">
        <f>'[1]CAPITAL (UT$)'!AI34</f>
        <v>76.59936432430662</v>
      </c>
      <c r="BK32" s="6">
        <f t="shared" si="6"/>
        <v>3559860</v>
      </c>
      <c r="BL32" s="6">
        <f t="shared" si="6"/>
        <v>0</v>
      </c>
      <c r="BM32" s="6">
        <f t="shared" si="6"/>
        <v>0</v>
      </c>
      <c r="BN32" s="6">
        <f t="shared" si="7"/>
        <v>3559860</v>
      </c>
      <c r="BO32" s="3">
        <f t="shared" si="8"/>
        <v>101.61207147242514</v>
      </c>
      <c r="BP32" s="7">
        <f t="shared" si="9"/>
        <v>357114560</v>
      </c>
      <c r="BQ32" s="2">
        <f>(BO32+V32)*[1]GLOBAL!$C$41</f>
        <v>66.190768108394209</v>
      </c>
      <c r="BR32" s="2">
        <f t="shared" si="10"/>
        <v>286.82666180304159</v>
      </c>
    </row>
    <row r="33" spans="1:70">
      <c r="A33">
        <f t="shared" si="11"/>
        <v>2006</v>
      </c>
      <c r="B33" s="1">
        <f>'[1]POPULAÇÃO (HAB)'!D34</f>
        <v>219197</v>
      </c>
      <c r="C33" s="2">
        <f>'[1]PIB (UT$)'!F34</f>
        <v>35115011.617715418</v>
      </c>
      <c r="D33" s="3">
        <f>'[1]PIB (UT$)'!G34</f>
        <v>160.19841338027172</v>
      </c>
      <c r="E33" s="1">
        <f>'[1]POPULAÇÃO (HAB)'!E34</f>
        <v>131518</v>
      </c>
      <c r="F33" s="4">
        <f>[1]IDH!B34</f>
        <v>0.76255315124493983</v>
      </c>
      <c r="G33" s="4">
        <f>[1]IDH!C34</f>
        <v>0.77899508376583959</v>
      </c>
      <c r="H33" s="4">
        <f>[1]IDH!D34</f>
        <v>0.99999999999933553</v>
      </c>
      <c r="I33" s="4">
        <f>[1]IDH!E34</f>
        <v>0.84062366567961289</v>
      </c>
      <c r="J33" s="5">
        <f>[1]EDUCAÇÃO!B34</f>
        <v>11.684926256487595</v>
      </c>
      <c r="K33">
        <f>'[1]CLASSES SOCIAIS'!T35</f>
        <v>25873</v>
      </c>
      <c r="L33">
        <f>'[1]CLASSES SOCIAIS'!U35</f>
        <v>55912</v>
      </c>
      <c r="M33">
        <f>'[1]CLASSES SOCIAIS'!V35</f>
        <v>21076</v>
      </c>
      <c r="N33">
        <f t="shared" si="0"/>
        <v>102861</v>
      </c>
      <c r="O33" s="6">
        <f>'[1]CONSUMO RESIDENCIAL (kWh)'!B35</f>
        <v>194047500</v>
      </c>
      <c r="P33" s="6">
        <f>'[1]CONSUMO RESIDENCIAL (kWh)'!C35</f>
        <v>139780000</v>
      </c>
      <c r="Q33" s="6">
        <f>'[1]CONSUMO RESIDENCIAL (kWh)'!D35</f>
        <v>25291200</v>
      </c>
      <c r="R33" s="6">
        <f t="shared" si="1"/>
        <v>359118700</v>
      </c>
      <c r="S33" s="2">
        <f>'[1]CLASSES SOCIAIS'!AL35</f>
        <v>91.891666666666666</v>
      </c>
      <c r="T33" s="2">
        <f>'[1]CLASSES SOCIAIS'!AM35</f>
        <v>26.477333333333334</v>
      </c>
      <c r="U33" s="2">
        <f>'[1]CLASSES SOCIAIS'!AN35</f>
        <v>2.9942000000000002</v>
      </c>
      <c r="V33" s="2">
        <f>'[1]CLASSES SOCIAIS'!AO35</f>
        <v>121.36320000000001</v>
      </c>
      <c r="W33">
        <f>[1]INDÚSTRIAS!F35</f>
        <v>113</v>
      </c>
      <c r="X33">
        <f>[1]INDÚSTRIAS!G35</f>
        <v>0</v>
      </c>
      <c r="Y33">
        <f>[1]INDÚSTRIAS!H35</f>
        <v>0</v>
      </c>
      <c r="Z33">
        <f t="shared" si="2"/>
        <v>113</v>
      </c>
      <c r="AA33" s="2">
        <f>'[1]PIB (UT$)'!B34</f>
        <v>7777090.7279799255</v>
      </c>
      <c r="AB33" s="6">
        <f>[1]INDÚSTRIAS!AW35</f>
        <v>2768500</v>
      </c>
      <c r="AC33" s="6">
        <f>[1]INDÚSTRIAS!AX35</f>
        <v>0</v>
      </c>
      <c r="AD33" s="6">
        <f>[1]INDÚSTRIAS!AY35</f>
        <v>0</v>
      </c>
      <c r="AE33" s="6">
        <f>[1]INDÚSTRIAS!AZ35</f>
        <v>2768500</v>
      </c>
      <c r="AF33" s="3">
        <f>'[1]CAPITAL (UT$)'!AF35</f>
        <v>25.547623136853503</v>
      </c>
      <c r="AG33">
        <f>[1]SERVIÇOS!F35</f>
        <v>113</v>
      </c>
      <c r="AH33">
        <f>[1]SERVIÇOS!G35</f>
        <v>0</v>
      </c>
      <c r="AI33">
        <f>[1]SERVIÇOS!H35</f>
        <v>0</v>
      </c>
      <c r="AJ33">
        <f t="shared" si="3"/>
        <v>113</v>
      </c>
      <c r="AK33" s="2">
        <f>'[1]PIB (UT$)'!C34</f>
        <v>27271198.636302866</v>
      </c>
      <c r="AL33" s="6">
        <f>[1]SERVIÇOS!AW35</f>
        <v>890440</v>
      </c>
      <c r="AM33" s="6">
        <f>[1]SERVIÇOS!AX35</f>
        <v>0</v>
      </c>
      <c r="AN33" s="6">
        <f>[1]SERVIÇOS!AY35</f>
        <v>0</v>
      </c>
      <c r="AO33" s="6">
        <f>[1]SERVIÇOS!AZ35</f>
        <v>890440</v>
      </c>
      <c r="AP33" s="3">
        <f>'[1]CAPITAL (UT$)'!AG35</f>
        <v>0.74069012359385489</v>
      </c>
      <c r="AQ33">
        <f>[1]MINERAÇÃO!F35</f>
        <v>0</v>
      </c>
      <c r="AR33">
        <f>[1]MINERAÇÃO!G35</f>
        <v>0</v>
      </c>
      <c r="AS33">
        <f>[1]MINERAÇÃO!H35</f>
        <v>0</v>
      </c>
      <c r="AT33">
        <f t="shared" si="4"/>
        <v>0</v>
      </c>
      <c r="AU33" s="2">
        <f>'[1]PIB (UT$)'!D34</f>
        <v>0</v>
      </c>
      <c r="AV33" s="6">
        <f>[1]MINERAÇÃO!AW35</f>
        <v>0</v>
      </c>
      <c r="AW33" s="6">
        <f>[1]MINERAÇÃO!AX35</f>
        <v>0</v>
      </c>
      <c r="AX33" s="6">
        <f>[1]MINERAÇÃO!AY35</f>
        <v>0</v>
      </c>
      <c r="AY33" s="6">
        <f>[1]MINERAÇÃO!AZ35</f>
        <v>0</v>
      </c>
      <c r="AZ33" s="3">
        <f>'[1]CAPITAL (UT$)'!AH35</f>
        <v>0</v>
      </c>
      <c r="BA33">
        <f>[1]AGROPECUÁRIA!F35</f>
        <v>5</v>
      </c>
      <c r="BB33">
        <f>[1]AGROPECUÁRIA!G35</f>
        <v>0</v>
      </c>
      <c r="BC33">
        <f>[1]AGROPECUÁRIA!H35</f>
        <v>0</v>
      </c>
      <c r="BD33">
        <f t="shared" si="5"/>
        <v>5</v>
      </c>
      <c r="BE33" s="2">
        <f>'[1]PIB (UT$)'!E34</f>
        <v>66722.253432622849</v>
      </c>
      <c r="BF33" s="6">
        <f>[1]AGROPECUÁRIA!AW35</f>
        <v>27975</v>
      </c>
      <c r="BG33" s="6">
        <f>[1]AGROPECUÁRIA!AX35</f>
        <v>0</v>
      </c>
      <c r="BH33" s="6">
        <f>[1]AGROPECUÁRIA!AY35</f>
        <v>0</v>
      </c>
      <c r="BI33" s="6">
        <f>[1]AGROPECUÁRIA!AZ35</f>
        <v>27975</v>
      </c>
      <c r="BJ33" s="3">
        <f>'[1]CAPITAL (UT$)'!AI35</f>
        <v>80.185140655125039</v>
      </c>
      <c r="BK33" s="6">
        <f t="shared" si="6"/>
        <v>3686915</v>
      </c>
      <c r="BL33" s="6">
        <f t="shared" si="6"/>
        <v>0</v>
      </c>
      <c r="BM33" s="6">
        <f t="shared" si="6"/>
        <v>0</v>
      </c>
      <c r="BN33" s="6">
        <f t="shared" si="7"/>
        <v>3686915</v>
      </c>
      <c r="BO33" s="3">
        <f t="shared" si="8"/>
        <v>106.47345391557239</v>
      </c>
      <c r="BP33" s="7">
        <f t="shared" si="9"/>
        <v>362805615</v>
      </c>
      <c r="BQ33" s="2">
        <f>(BO33+V33)*[1]GLOBAL!$C$41</f>
        <v>68.350996174671721</v>
      </c>
      <c r="BR33" s="2">
        <f t="shared" si="10"/>
        <v>296.18765009024412</v>
      </c>
    </row>
    <row r="34" spans="1:70">
      <c r="A34">
        <f t="shared" si="11"/>
        <v>2007</v>
      </c>
      <c r="B34" s="1">
        <f>'[1]POPULAÇÃO (HAB)'!D35</f>
        <v>219964</v>
      </c>
      <c r="C34" s="2">
        <f>'[1]PIB (UT$)'!F35</f>
        <v>36529545.106417492</v>
      </c>
      <c r="D34" s="3">
        <f>'[1]PIB (UT$)'!G35</f>
        <v>166.07056203022992</v>
      </c>
      <c r="E34" s="1">
        <f>'[1]POPULAÇÃO (HAB)'!E35</f>
        <v>131978</v>
      </c>
      <c r="F34" s="4">
        <f>[1]IDH!B35</f>
        <v>0.7674954256835792</v>
      </c>
      <c r="G34" s="4">
        <f>[1]IDH!C35</f>
        <v>0.78504677309162973</v>
      </c>
      <c r="H34" s="4">
        <f>[1]IDH!D35</f>
        <v>0.99999999999979461</v>
      </c>
      <c r="I34" s="4">
        <f>[1]IDH!E35</f>
        <v>0.84461173170728943</v>
      </c>
      <c r="J34" s="5">
        <f>[1]EDUCAÇÃO!B35</f>
        <v>11.775701596374446</v>
      </c>
      <c r="K34">
        <f>'[1]CLASSES SOCIAIS'!T36</f>
        <v>26572</v>
      </c>
      <c r="L34">
        <f>'[1]CLASSES SOCIAIS'!U36</f>
        <v>56176</v>
      </c>
      <c r="M34">
        <f>'[1]CLASSES SOCIAIS'!V36</f>
        <v>20677</v>
      </c>
      <c r="N34">
        <f t="shared" si="0"/>
        <v>103425</v>
      </c>
      <c r="O34" s="6">
        <f>'[1]CONSUMO RESIDENCIAL (kWh)'!B36</f>
        <v>199290000</v>
      </c>
      <c r="P34" s="6">
        <f>'[1]CONSUMO RESIDENCIAL (kWh)'!C36</f>
        <v>140440000</v>
      </c>
      <c r="Q34" s="6">
        <f>'[1]CONSUMO RESIDENCIAL (kWh)'!D36</f>
        <v>24812400</v>
      </c>
      <c r="R34" s="6">
        <f t="shared" si="1"/>
        <v>364542400</v>
      </c>
      <c r="S34" s="2">
        <f>'[1]CLASSES SOCIAIS'!AL36</f>
        <v>94.186666666666667</v>
      </c>
      <c r="T34" s="2">
        <f>'[1]CLASSES SOCIAIS'!AM36</f>
        <v>26.549777777777777</v>
      </c>
      <c r="U34" s="2">
        <f>'[1]CLASSES SOCIAIS'!AN36</f>
        <v>2.9318</v>
      </c>
      <c r="V34" s="2">
        <f>'[1]CLASSES SOCIAIS'!AO36</f>
        <v>123.66824444444444</v>
      </c>
      <c r="W34">
        <f>[1]INDÚSTRIAS!F36</f>
        <v>115</v>
      </c>
      <c r="X34">
        <f>[1]INDÚSTRIAS!G36</f>
        <v>0</v>
      </c>
      <c r="Y34">
        <f>[1]INDÚSTRIAS!H36</f>
        <v>0</v>
      </c>
      <c r="Z34">
        <f t="shared" si="2"/>
        <v>115</v>
      </c>
      <c r="AA34" s="2">
        <f>'[1]PIB (UT$)'!B35</f>
        <v>8013665.4916396793</v>
      </c>
      <c r="AB34" s="6">
        <f>[1]INDÚSTRIAS!AW36</f>
        <v>2817500</v>
      </c>
      <c r="AC34" s="6">
        <f>[1]INDÚSTRIAS!AX36</f>
        <v>0</v>
      </c>
      <c r="AD34" s="6">
        <f>[1]INDÚSTRIAS!AY36</f>
        <v>0</v>
      </c>
      <c r="AE34" s="6">
        <f>[1]INDÚSTRIAS!AZ36</f>
        <v>2817500</v>
      </c>
      <c r="AF34" s="3">
        <f>'[1]CAPITAL (UT$)'!AF36</f>
        <v>26.823966678059527</v>
      </c>
      <c r="AG34">
        <f>[1]SERVIÇOS!F36</f>
        <v>115</v>
      </c>
      <c r="AH34">
        <f>[1]SERVIÇOS!G36</f>
        <v>0</v>
      </c>
      <c r="AI34">
        <f>[1]SERVIÇOS!H36</f>
        <v>0</v>
      </c>
      <c r="AJ34">
        <f t="shared" si="3"/>
        <v>115</v>
      </c>
      <c r="AK34" s="2">
        <f>'[1]PIB (UT$)'!C35</f>
        <v>28450950.670296188</v>
      </c>
      <c r="AL34" s="6">
        <f>[1]SERVIÇOS!AW36</f>
        <v>901600</v>
      </c>
      <c r="AM34" s="6">
        <f>[1]SERVIÇOS!AX36</f>
        <v>0</v>
      </c>
      <c r="AN34" s="6">
        <f>[1]SERVIÇOS!AY36</f>
        <v>0</v>
      </c>
      <c r="AO34" s="6">
        <f>[1]SERVIÇOS!AZ36</f>
        <v>901600</v>
      </c>
      <c r="AP34" s="3">
        <f>'[1]CAPITAL (UT$)'!AG36</f>
        <v>0.77699443924889822</v>
      </c>
      <c r="AQ34">
        <f>[1]MINERAÇÃO!F36</f>
        <v>0</v>
      </c>
      <c r="AR34">
        <f>[1]MINERAÇÃO!G36</f>
        <v>0</v>
      </c>
      <c r="AS34">
        <f>[1]MINERAÇÃO!H36</f>
        <v>0</v>
      </c>
      <c r="AT34">
        <f t="shared" si="4"/>
        <v>0</v>
      </c>
      <c r="AU34" s="2">
        <f>'[1]PIB (UT$)'!D35</f>
        <v>0</v>
      </c>
      <c r="AV34" s="6">
        <f>[1]MINERAÇÃO!AW36</f>
        <v>0</v>
      </c>
      <c r="AW34" s="6">
        <f>[1]MINERAÇÃO!AX36</f>
        <v>0</v>
      </c>
      <c r="AX34" s="6">
        <f>[1]MINERAÇÃO!AY36</f>
        <v>0</v>
      </c>
      <c r="AY34" s="6">
        <f>[1]MINERAÇÃO!AZ36</f>
        <v>0</v>
      </c>
      <c r="AZ34" s="3">
        <f>'[1]CAPITAL (UT$)'!AH36</f>
        <v>0</v>
      </c>
      <c r="BA34">
        <f>[1]AGROPECUÁRIA!F36</f>
        <v>5</v>
      </c>
      <c r="BB34">
        <f>[1]AGROPECUÁRIA!G36</f>
        <v>0</v>
      </c>
      <c r="BC34">
        <f>[1]AGROPECUÁRIA!H36</f>
        <v>0</v>
      </c>
      <c r="BD34">
        <f t="shared" si="5"/>
        <v>5</v>
      </c>
      <c r="BE34" s="2">
        <f>'[1]PIB (UT$)'!E35</f>
        <v>64928.944481628081</v>
      </c>
      <c r="BF34" s="6">
        <f>[1]AGROPECUÁRIA!AW36</f>
        <v>29550</v>
      </c>
      <c r="BG34" s="6">
        <f>[1]AGROPECUÁRIA!AX36</f>
        <v>0</v>
      </c>
      <c r="BH34" s="6">
        <f>[1]AGROPECUÁRIA!AY36</f>
        <v>0</v>
      </c>
      <c r="BI34" s="6">
        <f>[1]AGROPECUÁRIA!AZ36</f>
        <v>29550</v>
      </c>
      <c r="BJ34" s="3">
        <f>'[1]CAPITAL (UT$)'!AI36</f>
        <v>83.871630462184356</v>
      </c>
      <c r="BK34" s="6">
        <f t="shared" si="6"/>
        <v>3748650</v>
      </c>
      <c r="BL34" s="6">
        <f t="shared" si="6"/>
        <v>0</v>
      </c>
      <c r="BM34" s="6">
        <f t="shared" si="6"/>
        <v>0</v>
      </c>
      <c r="BN34" s="6">
        <f t="shared" si="7"/>
        <v>3748650</v>
      </c>
      <c r="BO34" s="3">
        <f t="shared" si="8"/>
        <v>111.47259157949279</v>
      </c>
      <c r="BP34" s="7">
        <f t="shared" si="9"/>
        <v>368291050</v>
      </c>
      <c r="BQ34" s="2">
        <f>(BO34+V34)*[1]GLOBAL!$C$41</f>
        <v>70.542250807181162</v>
      </c>
      <c r="BR34" s="2">
        <f t="shared" si="10"/>
        <v>305.68308683111837</v>
      </c>
    </row>
    <row r="35" spans="1:70">
      <c r="A35">
        <f t="shared" si="11"/>
        <v>2008</v>
      </c>
      <c r="B35" s="1">
        <f>'[1]POPULAÇÃO (HAB)'!D36</f>
        <v>220733</v>
      </c>
      <c r="C35" s="2">
        <f>'[1]PIB (UT$)'!F36</f>
        <v>37981425.445064001</v>
      </c>
      <c r="D35" s="3">
        <f>'[1]PIB (UT$)'!G36</f>
        <v>172.06953851514726</v>
      </c>
      <c r="E35" s="1">
        <f>'[1]POPULAÇÃO (HAB)'!E36</f>
        <v>132439</v>
      </c>
      <c r="F35" s="4">
        <f>[1]IDH!B36</f>
        <v>0.77233200627302534</v>
      </c>
      <c r="G35" s="4">
        <f>[1]IDH!C36</f>
        <v>0.79086117228487984</v>
      </c>
      <c r="H35" s="4">
        <f>[1]IDH!D36</f>
        <v>0.99999999999993805</v>
      </c>
      <c r="I35" s="4">
        <f>[1]IDH!E36</f>
        <v>0.84846662228332836</v>
      </c>
      <c r="J35" s="5">
        <f>[1]EDUCAÇÃO!B36</f>
        <v>11.862917584273198</v>
      </c>
      <c r="K35">
        <f>'[1]CLASSES SOCIAIS'!T37</f>
        <v>27257</v>
      </c>
      <c r="L35">
        <f>'[1]CLASSES SOCIAIS'!U37</f>
        <v>56426</v>
      </c>
      <c r="M35">
        <f>'[1]CLASSES SOCIAIS'!V37</f>
        <v>20286</v>
      </c>
      <c r="N35">
        <f t="shared" si="0"/>
        <v>103969</v>
      </c>
      <c r="O35" s="6">
        <f>'[1]CONSUMO RESIDENCIAL (kWh)'!B37</f>
        <v>204427500</v>
      </c>
      <c r="P35" s="6">
        <f>'[1]CONSUMO RESIDENCIAL (kWh)'!C37</f>
        <v>141065000</v>
      </c>
      <c r="Q35" s="6">
        <f>'[1]CONSUMO RESIDENCIAL (kWh)'!D37</f>
        <v>24343200</v>
      </c>
      <c r="R35" s="6">
        <f t="shared" si="1"/>
        <v>369835700</v>
      </c>
      <c r="S35" s="2">
        <f>'[1]CLASSES SOCIAIS'!AL37</f>
        <v>96.446666666666673</v>
      </c>
      <c r="T35" s="2">
        <f>'[1]CLASSES SOCIAIS'!AM37</f>
        <v>26.621111111111112</v>
      </c>
      <c r="U35" s="2">
        <f>'[1]CLASSES SOCIAIS'!AN37</f>
        <v>2.8712</v>
      </c>
      <c r="V35" s="2">
        <f>'[1]CLASSES SOCIAIS'!AO37</f>
        <v>125.93897777777779</v>
      </c>
      <c r="W35">
        <f>[1]INDÚSTRIAS!F37</f>
        <v>117</v>
      </c>
      <c r="X35">
        <f>[1]INDÚSTRIAS!G37</f>
        <v>0</v>
      </c>
      <c r="Y35">
        <f>[1]INDÚSTRIAS!H37</f>
        <v>0</v>
      </c>
      <c r="Z35">
        <f t="shared" si="2"/>
        <v>117</v>
      </c>
      <c r="AA35" s="2">
        <f>'[1]PIB (UT$)'!B36</f>
        <v>8251022.435312544</v>
      </c>
      <c r="AB35" s="6">
        <f>[1]INDÚSTRIAS!AW37</f>
        <v>2901600</v>
      </c>
      <c r="AC35" s="6">
        <f>[1]INDÚSTRIAS!AX37</f>
        <v>0</v>
      </c>
      <c r="AD35" s="6">
        <f>[1]INDÚSTRIAS!AY37</f>
        <v>0</v>
      </c>
      <c r="AE35" s="6">
        <f>[1]INDÚSTRIAS!AZ37</f>
        <v>2901600</v>
      </c>
      <c r="AF35" s="3">
        <f>'[1]CAPITAL (UT$)'!AF37</f>
        <v>28.136892285889353</v>
      </c>
      <c r="AG35">
        <f>[1]SERVIÇOS!F37</f>
        <v>117</v>
      </c>
      <c r="AH35">
        <f>[1]SERVIÇOS!G37</f>
        <v>0</v>
      </c>
      <c r="AI35">
        <f>[1]SERVIÇOS!H37</f>
        <v>0</v>
      </c>
      <c r="AJ35">
        <f t="shared" si="3"/>
        <v>117</v>
      </c>
      <c r="AK35" s="2">
        <f>'[1]PIB (UT$)'!C36</f>
        <v>29667358.563956484</v>
      </c>
      <c r="AL35" s="6">
        <f>[1]SERVIÇOS!AW37</f>
        <v>926640</v>
      </c>
      <c r="AM35" s="6">
        <f>[1]SERVIÇOS!AX37</f>
        <v>0</v>
      </c>
      <c r="AN35" s="6">
        <f>[1]SERVIÇOS!AY37</f>
        <v>0</v>
      </c>
      <c r="AO35" s="6">
        <f>[1]SERVIÇOS!AZ37</f>
        <v>926640</v>
      </c>
      <c r="AP35" s="3">
        <f>'[1]CAPITAL (UT$)'!AG37</f>
        <v>0.81456718124879379</v>
      </c>
      <c r="AQ35">
        <f>[1]MINERAÇÃO!F37</f>
        <v>0</v>
      </c>
      <c r="AR35">
        <f>[1]MINERAÇÃO!G37</f>
        <v>0</v>
      </c>
      <c r="AS35">
        <f>[1]MINERAÇÃO!H37</f>
        <v>0</v>
      </c>
      <c r="AT35">
        <f t="shared" si="4"/>
        <v>0</v>
      </c>
      <c r="AU35" s="2">
        <f>'[1]PIB (UT$)'!D36</f>
        <v>0</v>
      </c>
      <c r="AV35" s="6">
        <f>[1]MINERAÇÃO!AW37</f>
        <v>0</v>
      </c>
      <c r="AW35" s="6">
        <f>[1]MINERAÇÃO!AX37</f>
        <v>0</v>
      </c>
      <c r="AX35" s="6">
        <f>[1]MINERAÇÃO!AY37</f>
        <v>0</v>
      </c>
      <c r="AY35" s="6">
        <f>[1]MINERAÇÃO!AZ37</f>
        <v>0</v>
      </c>
      <c r="AZ35" s="3">
        <f>'[1]CAPITAL (UT$)'!AH37</f>
        <v>0</v>
      </c>
      <c r="BA35">
        <f>[1]AGROPECUÁRIA!F37</f>
        <v>5</v>
      </c>
      <c r="BB35">
        <f>[1]AGROPECUÁRIA!G37</f>
        <v>0</v>
      </c>
      <c r="BC35">
        <f>[1]AGROPECUÁRIA!H37</f>
        <v>0</v>
      </c>
      <c r="BD35">
        <f t="shared" si="5"/>
        <v>5</v>
      </c>
      <c r="BE35" s="2">
        <f>'[1]PIB (UT$)'!E36</f>
        <v>63044.445794968131</v>
      </c>
      <c r="BF35" s="6">
        <f>[1]AGROPECUÁRIA!AW37</f>
        <v>27750</v>
      </c>
      <c r="BG35" s="6">
        <f>[1]AGROPECUÁRIA!AX37</f>
        <v>0</v>
      </c>
      <c r="BH35" s="6">
        <f>[1]AGROPECUÁRIA!AY37</f>
        <v>0</v>
      </c>
      <c r="BI35" s="6">
        <f>[1]AGROPECUÁRIA!AZ37</f>
        <v>27750</v>
      </c>
      <c r="BJ35" s="3">
        <f>'[1]CAPITAL (UT$)'!AI37</f>
        <v>87.660982451438414</v>
      </c>
      <c r="BK35" s="6">
        <f t="shared" si="6"/>
        <v>3855990</v>
      </c>
      <c r="BL35" s="6">
        <f t="shared" si="6"/>
        <v>0</v>
      </c>
      <c r="BM35" s="6">
        <f t="shared" si="6"/>
        <v>0</v>
      </c>
      <c r="BN35" s="6">
        <f t="shared" si="7"/>
        <v>3855990</v>
      </c>
      <c r="BO35" s="3">
        <f t="shared" si="8"/>
        <v>116.61244191857656</v>
      </c>
      <c r="BP35" s="7">
        <f t="shared" si="9"/>
        <v>373691690</v>
      </c>
      <c r="BQ35" s="2">
        <f>(BO35+V35)*[1]GLOBAL!$C$41</f>
        <v>72.765425908906295</v>
      </c>
      <c r="BR35" s="2">
        <f t="shared" si="10"/>
        <v>315.31684560526065</v>
      </c>
    </row>
    <row r="36" spans="1:70">
      <c r="A36">
        <f t="shared" si="11"/>
        <v>2009</v>
      </c>
      <c r="B36" s="1">
        <f>'[1]POPULAÇÃO (HAB)'!D37</f>
        <v>221505</v>
      </c>
      <c r="C36" s="2">
        <f>'[1]PIB (UT$)'!F37</f>
        <v>39471752.431726724</v>
      </c>
      <c r="D36" s="3">
        <f>'[1]PIB (UT$)'!G37</f>
        <v>178.19802005248968</v>
      </c>
      <c r="E36" s="1">
        <f>'[1]POPULAÇÃO (HAB)'!E37</f>
        <v>132903</v>
      </c>
      <c r="F36" s="4">
        <f>[1]IDH!B37</f>
        <v>0.77706570049477353</v>
      </c>
      <c r="G36" s="4">
        <f>[1]IDH!C37</f>
        <v>0.79644758562477025</v>
      </c>
      <c r="H36" s="4">
        <f>[1]IDH!D37</f>
        <v>0.99999999999998179</v>
      </c>
      <c r="I36" s="4">
        <f>[1]IDH!E37</f>
        <v>0.85219368820806152</v>
      </c>
      <c r="J36" s="5">
        <f>[1]EDUCAÇÃO!B37</f>
        <v>11.946713784371553</v>
      </c>
      <c r="K36">
        <f>'[1]CLASSES SOCIAIS'!T38</f>
        <v>27930</v>
      </c>
      <c r="L36">
        <f>'[1]CLASSES SOCIAIS'!U38</f>
        <v>56663</v>
      </c>
      <c r="M36">
        <f>'[1]CLASSES SOCIAIS'!V38</f>
        <v>19902</v>
      </c>
      <c r="N36">
        <f t="shared" si="0"/>
        <v>104495</v>
      </c>
      <c r="O36" s="6">
        <f>'[1]CONSUMO RESIDENCIAL (kWh)'!B38</f>
        <v>209475000</v>
      </c>
      <c r="P36" s="6">
        <f>'[1]CONSUMO RESIDENCIAL (kWh)'!C38</f>
        <v>141657500</v>
      </c>
      <c r="Q36" s="6">
        <f>'[1]CONSUMO RESIDENCIAL (kWh)'!D38</f>
        <v>23882400</v>
      </c>
      <c r="R36" s="6">
        <f t="shared" si="1"/>
        <v>375014900</v>
      </c>
      <c r="S36" s="2">
        <f>'[1]CLASSES SOCIAIS'!AL38</f>
        <v>98.674999999999997</v>
      </c>
      <c r="T36" s="2">
        <f>'[1]CLASSES SOCIAIS'!AM38</f>
        <v>26.691555555555556</v>
      </c>
      <c r="U36" s="2">
        <f>'[1]CLASSES SOCIAIS'!AN38</f>
        <v>2.8124666666666664</v>
      </c>
      <c r="V36" s="2">
        <f>'[1]CLASSES SOCIAIS'!AO38</f>
        <v>128.17902222222222</v>
      </c>
      <c r="W36">
        <f>[1]INDÚSTRIAS!F38</f>
        <v>120</v>
      </c>
      <c r="X36">
        <f>[1]INDÚSTRIAS!G38</f>
        <v>0</v>
      </c>
      <c r="Y36">
        <f>[1]INDÚSTRIAS!H38</f>
        <v>0</v>
      </c>
      <c r="Z36">
        <f t="shared" si="2"/>
        <v>120</v>
      </c>
      <c r="AA36" s="2">
        <f>'[1]PIB (UT$)'!B37</f>
        <v>8489112.4244335368</v>
      </c>
      <c r="AB36" s="6">
        <f>[1]INDÚSTRIAS!AW38</f>
        <v>2964000</v>
      </c>
      <c r="AC36" s="6">
        <f>[1]INDÚSTRIAS!AX38</f>
        <v>0</v>
      </c>
      <c r="AD36" s="6">
        <f>[1]INDÚSTRIAS!AY38</f>
        <v>0</v>
      </c>
      <c r="AE36" s="6">
        <f>[1]INDÚSTRIAS!AZ38</f>
        <v>2964000</v>
      </c>
      <c r="AF36" s="3">
        <f>'[1]CAPITAL (UT$)'!AF38</f>
        <v>29.487192784341108</v>
      </c>
      <c r="AG36">
        <f>[1]SERVIÇOS!F38</f>
        <v>120</v>
      </c>
      <c r="AH36">
        <f>[1]SERVIÇOS!G38</f>
        <v>0</v>
      </c>
      <c r="AI36">
        <f>[1]SERVIÇOS!H38</f>
        <v>0</v>
      </c>
      <c r="AJ36">
        <f t="shared" si="3"/>
        <v>120</v>
      </c>
      <c r="AK36" s="2">
        <f>'[1]PIB (UT$)'!C37</f>
        <v>30921570.684690382</v>
      </c>
      <c r="AL36" s="6">
        <f>[1]SERVIÇOS!AW38</f>
        <v>940800</v>
      </c>
      <c r="AM36" s="6">
        <f>[1]SERVIÇOS!AX38</f>
        <v>0</v>
      </c>
      <c r="AN36" s="6">
        <f>[1]SERVIÇOS!AY38</f>
        <v>0</v>
      </c>
      <c r="AO36" s="6">
        <f>[1]SERVIÇOS!AZ38</f>
        <v>940800</v>
      </c>
      <c r="AP36" s="3">
        <f>'[1]CAPITAL (UT$)'!AG38</f>
        <v>0.85343254155310333</v>
      </c>
      <c r="AQ36">
        <f>[1]MINERAÇÃO!F38</f>
        <v>0</v>
      </c>
      <c r="AR36">
        <f>[1]MINERAÇÃO!G38</f>
        <v>0</v>
      </c>
      <c r="AS36">
        <f>[1]MINERAÇÃO!H38</f>
        <v>0</v>
      </c>
      <c r="AT36">
        <f t="shared" si="4"/>
        <v>0</v>
      </c>
      <c r="AU36" s="2">
        <f>'[1]PIB (UT$)'!D37</f>
        <v>0</v>
      </c>
      <c r="AV36" s="6">
        <f>[1]MINERAÇÃO!AW38</f>
        <v>0</v>
      </c>
      <c r="AW36" s="6">
        <f>[1]MINERAÇÃO!AX38</f>
        <v>0</v>
      </c>
      <c r="AX36" s="6">
        <f>[1]MINERAÇÃO!AY38</f>
        <v>0</v>
      </c>
      <c r="AY36" s="6">
        <f>[1]MINERAÇÃO!AZ38</f>
        <v>0</v>
      </c>
      <c r="AZ36" s="3">
        <f>'[1]CAPITAL (UT$)'!AH38</f>
        <v>0</v>
      </c>
      <c r="BA36">
        <f>[1]AGROPECUÁRIA!F38</f>
        <v>5</v>
      </c>
      <c r="BB36">
        <f>[1]AGROPECUÁRIA!G38</f>
        <v>0</v>
      </c>
      <c r="BC36">
        <f>[1]AGROPECUÁRIA!H38</f>
        <v>0</v>
      </c>
      <c r="BD36">
        <f t="shared" si="5"/>
        <v>5</v>
      </c>
      <c r="BE36" s="2">
        <f>'[1]PIB (UT$)'!E37</f>
        <v>61069.32260280598</v>
      </c>
      <c r="BF36" s="6">
        <f>[1]AGROPECUÁRIA!AW38</f>
        <v>28200</v>
      </c>
      <c r="BG36" s="6">
        <f>[1]AGROPECUÁRIA!AX38</f>
        <v>0</v>
      </c>
      <c r="BH36" s="6">
        <f>[1]AGROPECUÁRIA!AY38</f>
        <v>0</v>
      </c>
      <c r="BI36" s="6">
        <f>[1]AGROPECUÁRIA!AZ38</f>
        <v>28200</v>
      </c>
      <c r="BJ36" s="3">
        <f>'[1]CAPITAL (UT$)'!AI38</f>
        <v>91.555359354649255</v>
      </c>
      <c r="BK36" s="6">
        <f t="shared" si="6"/>
        <v>3933000</v>
      </c>
      <c r="BL36" s="6">
        <f t="shared" si="6"/>
        <v>0</v>
      </c>
      <c r="BM36" s="6">
        <f t="shared" si="6"/>
        <v>0</v>
      </c>
      <c r="BN36" s="6">
        <f t="shared" si="7"/>
        <v>3933000</v>
      </c>
      <c r="BO36" s="3">
        <f t="shared" si="8"/>
        <v>121.89598468054346</v>
      </c>
      <c r="BP36" s="7">
        <f t="shared" si="9"/>
        <v>378947900</v>
      </c>
      <c r="BQ36" s="2">
        <f>(BO36+V36)*[1]GLOBAL!$C$41</f>
        <v>75.022502070829702</v>
      </c>
      <c r="BR36" s="2">
        <f t="shared" si="10"/>
        <v>325.09750897359538</v>
      </c>
    </row>
    <row r="37" spans="1:70">
      <c r="A37">
        <f t="shared" si="11"/>
        <v>2010</v>
      </c>
      <c r="B37" s="1">
        <f>'[1]POPULAÇÃO (HAB)'!D38</f>
        <v>222280</v>
      </c>
      <c r="C37" s="2">
        <f>'[1]PIB (UT$)'!F38</f>
        <v>41000888.512376316</v>
      </c>
      <c r="D37" s="3">
        <f>'[1]PIB (UT$)'!G38</f>
        <v>184.45603973536222</v>
      </c>
      <c r="E37" s="1">
        <f>'[1]POPULAÇÃO (HAB)'!E38</f>
        <v>133368</v>
      </c>
      <c r="F37" s="4">
        <f>[1]IDH!B38</f>
        <v>0.78169689414374854</v>
      </c>
      <c r="G37" s="4">
        <f>[1]IDH!C38</f>
        <v>0.80181495256447666</v>
      </c>
      <c r="H37" s="4">
        <f>[1]IDH!D38</f>
        <v>0.99999999999999489</v>
      </c>
      <c r="I37" s="4">
        <f>[1]IDH!E38</f>
        <v>0.8557971695390002</v>
      </c>
      <c r="J37" s="5">
        <f>[1]EDUCAÇÃO!B38</f>
        <v>12.027224288467149</v>
      </c>
      <c r="K37">
        <f>'[1]CLASSES SOCIAIS'!T39</f>
        <v>28589</v>
      </c>
      <c r="L37">
        <f>'[1]CLASSES SOCIAIS'!U39</f>
        <v>56887</v>
      </c>
      <c r="M37">
        <f>'[1]CLASSES SOCIAIS'!V39</f>
        <v>19525</v>
      </c>
      <c r="N37">
        <f t="shared" si="0"/>
        <v>105001</v>
      </c>
      <c r="O37" s="6">
        <f>'[1]CONSUMO RESIDENCIAL (kWh)'!B39</f>
        <v>214417500</v>
      </c>
      <c r="P37" s="6">
        <f>'[1]CONSUMO RESIDENCIAL (kWh)'!C39</f>
        <v>142217500</v>
      </c>
      <c r="Q37" s="6">
        <f>'[1]CONSUMO RESIDENCIAL (kWh)'!D39</f>
        <v>23430000</v>
      </c>
      <c r="R37" s="6">
        <f t="shared" si="1"/>
        <v>380065000</v>
      </c>
      <c r="S37" s="2">
        <f>'[1]CLASSES SOCIAIS'!AL39</f>
        <v>100.86666666666666</v>
      </c>
      <c r="T37" s="2">
        <f>'[1]CLASSES SOCIAIS'!AM39</f>
        <v>26.761111111111113</v>
      </c>
      <c r="U37" s="2">
        <f>'[1]CLASSES SOCIAIS'!AN39</f>
        <v>2.7555333333333332</v>
      </c>
      <c r="V37" s="2">
        <f>'[1]CLASSES SOCIAIS'!AO39</f>
        <v>130.38331111111111</v>
      </c>
      <c r="W37">
        <f>[1]INDÚSTRIAS!F39</f>
        <v>122</v>
      </c>
      <c r="X37">
        <f>[1]INDÚSTRIAS!G39</f>
        <v>0</v>
      </c>
      <c r="Y37">
        <f>[1]INDÚSTRIAS!H39</f>
        <v>0</v>
      </c>
      <c r="Z37">
        <f t="shared" si="2"/>
        <v>122</v>
      </c>
      <c r="AA37" s="2">
        <f>'[1]PIB (UT$)'!B38</f>
        <v>8727744.5920259431</v>
      </c>
      <c r="AB37" s="6">
        <f>[1]INDÚSTRIAS!AW39</f>
        <v>3001200</v>
      </c>
      <c r="AC37" s="6">
        <f>[1]INDÚSTRIAS!AX39</f>
        <v>0</v>
      </c>
      <c r="AD37" s="6">
        <f>[1]INDÚSTRIAS!AY39</f>
        <v>0</v>
      </c>
      <c r="AE37" s="6">
        <f>[1]INDÚSTRIAS!AZ39</f>
        <v>3001200</v>
      </c>
      <c r="AF37" s="3">
        <f>'[1]CAPITAL (UT$)'!AF39</f>
        <v>30.875701411818778</v>
      </c>
      <c r="AG37">
        <f>[1]SERVIÇOS!F39</f>
        <v>122</v>
      </c>
      <c r="AH37">
        <f>[1]SERVIÇOS!G39</f>
        <v>0</v>
      </c>
      <c r="AI37">
        <f>[1]SERVIÇOS!H39</f>
        <v>0</v>
      </c>
      <c r="AJ37">
        <f t="shared" si="3"/>
        <v>122</v>
      </c>
      <c r="AK37" s="2">
        <f>'[1]PIB (UT$)'!C38</f>
        <v>32214141.627706945</v>
      </c>
      <c r="AL37" s="6">
        <f>[1]SERVIÇOS!AW39</f>
        <v>941840</v>
      </c>
      <c r="AM37" s="6">
        <f>[1]SERVIÇOS!AX39</f>
        <v>0</v>
      </c>
      <c r="AN37" s="6">
        <f>[1]SERVIÇOS!AY39</f>
        <v>0</v>
      </c>
      <c r="AO37" s="6">
        <f>[1]SERVIÇOS!AZ39</f>
        <v>941840</v>
      </c>
      <c r="AP37" s="3">
        <f>'[1]CAPITAL (UT$)'!AG39</f>
        <v>0.89361581935938805</v>
      </c>
      <c r="AQ37">
        <f>[1]MINERAÇÃO!F39</f>
        <v>0</v>
      </c>
      <c r="AR37">
        <f>[1]MINERAÇÃO!G39</f>
        <v>0</v>
      </c>
      <c r="AS37">
        <f>[1]MINERAÇÃO!H39</f>
        <v>0</v>
      </c>
      <c r="AT37">
        <f t="shared" si="4"/>
        <v>0</v>
      </c>
      <c r="AU37" s="2">
        <f>'[1]PIB (UT$)'!D38</f>
        <v>0</v>
      </c>
      <c r="AV37" s="6">
        <f>[1]MINERAÇÃO!AW39</f>
        <v>0</v>
      </c>
      <c r="AW37" s="6">
        <f>[1]MINERAÇÃO!AX39</f>
        <v>0</v>
      </c>
      <c r="AX37" s="6">
        <f>[1]MINERAÇÃO!AY39</f>
        <v>0</v>
      </c>
      <c r="AY37" s="6">
        <f>[1]MINERAÇÃO!AZ39</f>
        <v>0</v>
      </c>
      <c r="AZ37" s="3">
        <f>'[1]CAPITAL (UT$)'!AH39</f>
        <v>0</v>
      </c>
      <c r="BA37">
        <f>[1]AGROPECUÁRIA!F39</f>
        <v>5</v>
      </c>
      <c r="BB37">
        <f>[1]AGROPECUÁRIA!G39</f>
        <v>0</v>
      </c>
      <c r="BC37">
        <f>[1]AGROPECUÁRIA!H39</f>
        <v>0</v>
      </c>
      <c r="BD37">
        <f t="shared" si="5"/>
        <v>5</v>
      </c>
      <c r="BE37" s="2">
        <f>'[1]PIB (UT$)'!E38</f>
        <v>59002.29264342878</v>
      </c>
      <c r="BF37" s="6">
        <f>[1]AGROPECUÁRIA!AW39</f>
        <v>27975</v>
      </c>
      <c r="BG37" s="6">
        <f>[1]AGROPECUÁRIA!AX39</f>
        <v>0</v>
      </c>
      <c r="BH37" s="6">
        <f>[1]AGROPECUÁRIA!AY39</f>
        <v>0</v>
      </c>
      <c r="BI37" s="6">
        <f>[1]AGROPECUÁRIA!AZ39</f>
        <v>27975</v>
      </c>
      <c r="BJ37" s="3">
        <f>'[1]CAPITAL (UT$)'!AI39</f>
        <v>95.557074229759891</v>
      </c>
      <c r="BK37" s="6">
        <f t="shared" si="6"/>
        <v>3971015</v>
      </c>
      <c r="BL37" s="6">
        <f t="shared" si="6"/>
        <v>0</v>
      </c>
      <c r="BM37" s="6">
        <f t="shared" si="6"/>
        <v>0</v>
      </c>
      <c r="BN37" s="6">
        <f t="shared" si="7"/>
        <v>3971015</v>
      </c>
      <c r="BO37" s="3">
        <f t="shared" si="8"/>
        <v>127.32639146093805</v>
      </c>
      <c r="BP37" s="7">
        <f t="shared" si="9"/>
        <v>384036015</v>
      </c>
      <c r="BQ37" s="2">
        <f>(BO37+V37)*[1]GLOBAL!$C$41</f>
        <v>77.312910771614753</v>
      </c>
      <c r="BR37" s="2">
        <f t="shared" si="10"/>
        <v>335.02261334366392</v>
      </c>
    </row>
    <row r="38" spans="1:70">
      <c r="A38">
        <f t="shared" si="11"/>
        <v>2011</v>
      </c>
      <c r="B38" s="1">
        <f>'[1]POPULAÇÃO (HAB)'!D39</f>
        <v>223057</v>
      </c>
      <c r="C38" s="2">
        <f>'[1]PIB (UT$)'!F39</f>
        <v>42569572.068660878</v>
      </c>
      <c r="D38" s="3">
        <f>'[1]PIB (UT$)'!G39</f>
        <v>190.84616070628081</v>
      </c>
      <c r="E38" s="1">
        <f>'[1]POPULAÇÃO (HAB)'!E39</f>
        <v>133834</v>
      </c>
      <c r="F38" s="4">
        <f>[1]IDH!B39</f>
        <v>0.78606307846641976</v>
      </c>
      <c r="G38" s="4">
        <f>[1]IDH!C39</f>
        <v>0.80697186203620175</v>
      </c>
      <c r="H38" s="4">
        <f>[1]IDH!D39</f>
        <v>0.99999999999999856</v>
      </c>
      <c r="I38" s="4">
        <f>[1]IDH!E39</f>
        <v>0.85922175227688746</v>
      </c>
      <c r="J38" s="5">
        <f>[1]EDUCAÇÃO!B39</f>
        <v>12.104577930543027</v>
      </c>
      <c r="K38">
        <f>'[1]CLASSES SOCIAIS'!T40</f>
        <v>29226</v>
      </c>
      <c r="L38">
        <f>'[1]CLASSES SOCIAIS'!U40</f>
        <v>57096</v>
      </c>
      <c r="M38">
        <f>'[1]CLASSES SOCIAIS'!V40</f>
        <v>19171</v>
      </c>
      <c r="N38">
        <f t="shared" si="0"/>
        <v>105493</v>
      </c>
      <c r="O38" s="6">
        <f>'[1]CONSUMO RESIDENCIAL (kWh)'!B40</f>
        <v>219195000</v>
      </c>
      <c r="P38" s="6">
        <f>'[1]CONSUMO RESIDENCIAL (kWh)'!C40</f>
        <v>142740000</v>
      </c>
      <c r="Q38" s="6">
        <f>'[1]CONSUMO RESIDENCIAL (kWh)'!D40</f>
        <v>23005200</v>
      </c>
      <c r="R38" s="6">
        <f t="shared" si="1"/>
        <v>384940200</v>
      </c>
      <c r="S38" s="2">
        <f>'[1]CLASSES SOCIAIS'!AL40</f>
        <v>102.995</v>
      </c>
      <c r="T38" s="2">
        <f>'[1]CLASSES SOCIAIS'!AM40</f>
        <v>26.827555555555556</v>
      </c>
      <c r="U38" s="2">
        <f>'[1]CLASSES SOCIAIS'!AN40</f>
        <v>2.7023333333333333</v>
      </c>
      <c r="V38" s="2">
        <f>'[1]CLASSES SOCIAIS'!AO40</f>
        <v>132.52488888888891</v>
      </c>
      <c r="W38">
        <f>[1]INDÚSTRIAS!F40</f>
        <v>124</v>
      </c>
      <c r="X38">
        <f>[1]INDÚSTRIAS!G40</f>
        <v>0</v>
      </c>
      <c r="Y38">
        <f>[1]INDÚSTRIAS!H40</f>
        <v>0</v>
      </c>
      <c r="Z38">
        <f t="shared" si="2"/>
        <v>124</v>
      </c>
      <c r="AA38" s="2">
        <f>'[1]PIB (UT$)'!B39</f>
        <v>8966781.9200996403</v>
      </c>
      <c r="AB38" s="6">
        <f>[1]INDÚSTRIAS!AW40</f>
        <v>3050400</v>
      </c>
      <c r="AC38" s="6">
        <f>[1]INDÚSTRIAS!AX40</f>
        <v>0</v>
      </c>
      <c r="AD38" s="6">
        <f>[1]INDÚSTRIAS!AY40</f>
        <v>0</v>
      </c>
      <c r="AE38" s="6">
        <f>[1]INDÚSTRIAS!AZ40</f>
        <v>3050400</v>
      </c>
      <c r="AF38" s="3">
        <f>'[1]CAPITAL (UT$)'!AF40</f>
        <v>32.303230408099758</v>
      </c>
      <c r="AG38">
        <f>[1]SERVIÇOS!F40</f>
        <v>124</v>
      </c>
      <c r="AH38">
        <f>[1]SERVIÇOS!G40</f>
        <v>0</v>
      </c>
      <c r="AI38">
        <f>[1]SERVIÇOS!H40</f>
        <v>0</v>
      </c>
      <c r="AJ38">
        <f t="shared" si="3"/>
        <v>124</v>
      </c>
      <c r="AK38" s="2">
        <f>'[1]PIB (UT$)'!C39</f>
        <v>33545947.355518993</v>
      </c>
      <c r="AL38" s="6">
        <f>[1]SERVIÇOS!AW40</f>
        <v>982080</v>
      </c>
      <c r="AM38" s="6">
        <f>[1]SERVIÇOS!AX40</f>
        <v>0</v>
      </c>
      <c r="AN38" s="6">
        <f>[1]SERVIÇOS!AY40</f>
        <v>0</v>
      </c>
      <c r="AO38" s="6">
        <f>[1]SERVIÇOS!AZ40</f>
        <v>982080</v>
      </c>
      <c r="AP38" s="3">
        <f>'[1]CAPITAL (UT$)'!AG40</f>
        <v>0.93514215896590025</v>
      </c>
      <c r="AQ38">
        <f>[1]MINERAÇÃO!F40</f>
        <v>0</v>
      </c>
      <c r="AR38">
        <f>[1]MINERAÇÃO!G40</f>
        <v>0</v>
      </c>
      <c r="AS38">
        <f>[1]MINERAÇÃO!H40</f>
        <v>0</v>
      </c>
      <c r="AT38">
        <f t="shared" si="4"/>
        <v>0</v>
      </c>
      <c r="AU38" s="2">
        <f>'[1]PIB (UT$)'!D39</f>
        <v>0</v>
      </c>
      <c r="AV38" s="6">
        <f>[1]MINERAÇÃO!AW40</f>
        <v>0</v>
      </c>
      <c r="AW38" s="6">
        <f>[1]MINERAÇÃO!AX40</f>
        <v>0</v>
      </c>
      <c r="AX38" s="6">
        <f>[1]MINERAÇÃO!AY40</f>
        <v>0</v>
      </c>
      <c r="AY38" s="6">
        <f>[1]MINERAÇÃO!AZ40</f>
        <v>0</v>
      </c>
      <c r="AZ38" s="3">
        <f>'[1]CAPITAL (UT$)'!AH40</f>
        <v>0</v>
      </c>
      <c r="BA38">
        <f>[1]AGROPECUÁRIA!F40</f>
        <v>5</v>
      </c>
      <c r="BB38">
        <f>[1]AGROPECUÁRIA!G40</f>
        <v>0</v>
      </c>
      <c r="BC38">
        <f>[1]AGROPECUÁRIA!H40</f>
        <v>0</v>
      </c>
      <c r="BD38">
        <f t="shared" si="5"/>
        <v>5</v>
      </c>
      <c r="BE38" s="2">
        <f>'[1]PIB (UT$)'!E39</f>
        <v>56842.793042241632</v>
      </c>
      <c r="BF38" s="6">
        <f>[1]AGROPECUÁRIA!AW40</f>
        <v>27975</v>
      </c>
      <c r="BG38" s="6">
        <f>[1]AGROPECUÁRIA!AX40</f>
        <v>0</v>
      </c>
      <c r="BH38" s="6">
        <f>[1]AGROPECUÁRIA!AY40</f>
        <v>0</v>
      </c>
      <c r="BI38" s="6">
        <f>[1]AGROPECUÁRIA!AZ40</f>
        <v>27975</v>
      </c>
      <c r="BJ38" s="3">
        <f>'[1]CAPITAL (UT$)'!AI40</f>
        <v>99.668329644242689</v>
      </c>
      <c r="BK38" s="6">
        <f t="shared" si="6"/>
        <v>4060455</v>
      </c>
      <c r="BL38" s="6">
        <f t="shared" si="6"/>
        <v>0</v>
      </c>
      <c r="BM38" s="6">
        <f t="shared" si="6"/>
        <v>0</v>
      </c>
      <c r="BN38" s="6">
        <f t="shared" si="7"/>
        <v>4060455</v>
      </c>
      <c r="BO38" s="3">
        <f t="shared" si="8"/>
        <v>132.90670221130836</v>
      </c>
      <c r="BP38" s="7">
        <f t="shared" si="9"/>
        <v>389000655</v>
      </c>
      <c r="BQ38" s="2">
        <f>(BO38+V38)*[1]GLOBAL!$C$41</f>
        <v>79.629477330059174</v>
      </c>
      <c r="BR38" s="2">
        <f t="shared" si="10"/>
        <v>345.0610684302564</v>
      </c>
    </row>
    <row r="39" spans="1:70">
      <c r="A39">
        <f t="shared" si="11"/>
        <v>2012</v>
      </c>
      <c r="B39" s="1">
        <f>'[1]POPULAÇÃO (HAB)'!D40</f>
        <v>223837</v>
      </c>
      <c r="C39" s="2">
        <f>'[1]PIB (UT$)'!F40</f>
        <v>44178779.30145216</v>
      </c>
      <c r="D39" s="3">
        <f>'[1]PIB (UT$)'!G40</f>
        <v>197.37031545925007</v>
      </c>
      <c r="E39" s="1">
        <f>'[1]POPULAÇÃO (HAB)'!E40</f>
        <v>134302</v>
      </c>
      <c r="F39" s="4">
        <f>[1]IDH!B40</f>
        <v>0.79034067075181269</v>
      </c>
      <c r="G39" s="4">
        <f>[1]IDH!C40</f>
        <v>0.8119265661952999</v>
      </c>
      <c r="H39" s="4">
        <f>[1]IDH!D40</f>
        <v>0.99999999999999956</v>
      </c>
      <c r="I39" s="4">
        <f>[1]IDH!E40</f>
        <v>0.86253559723830731</v>
      </c>
      <c r="J39" s="5">
        <f>[1]EDUCAÇÃO!B40</f>
        <v>12.178898492929498</v>
      </c>
      <c r="K39">
        <f>'[1]CLASSES SOCIAIS'!T41</f>
        <v>29851</v>
      </c>
      <c r="L39">
        <f>'[1]CLASSES SOCIAIS'!U41</f>
        <v>57296</v>
      </c>
      <c r="M39">
        <f>'[1]CLASSES SOCIAIS'!V41</f>
        <v>18824</v>
      </c>
      <c r="N39">
        <f t="shared" si="0"/>
        <v>105971</v>
      </c>
      <c r="O39" s="6">
        <f>'[1]CONSUMO RESIDENCIAL (kWh)'!B41</f>
        <v>223882500</v>
      </c>
      <c r="P39" s="6">
        <f>'[1]CONSUMO RESIDENCIAL (kWh)'!C41</f>
        <v>143240000</v>
      </c>
      <c r="Q39" s="6">
        <f>'[1]CONSUMO RESIDENCIAL (kWh)'!D41</f>
        <v>22588800</v>
      </c>
      <c r="R39" s="6">
        <f t="shared" si="1"/>
        <v>389711300</v>
      </c>
      <c r="S39" s="2">
        <f>'[1]CLASSES SOCIAIS'!AL41</f>
        <v>105.09</v>
      </c>
      <c r="T39" s="2">
        <f>'[1]CLASSES SOCIAIS'!AM41</f>
        <v>26.893777777777778</v>
      </c>
      <c r="U39" s="2">
        <f>'[1]CLASSES SOCIAIS'!AN41</f>
        <v>2.6506666666666665</v>
      </c>
      <c r="V39" s="2">
        <f>'[1]CLASSES SOCIAIS'!AO41</f>
        <v>134.63444444444445</v>
      </c>
      <c r="W39">
        <f>[1]INDÚSTRIAS!F41</f>
        <v>127</v>
      </c>
      <c r="X39">
        <f>[1]INDÚSTRIAS!G41</f>
        <v>0</v>
      </c>
      <c r="Y39">
        <f>[1]INDÚSTRIAS!H41</f>
        <v>0</v>
      </c>
      <c r="Z39">
        <f t="shared" si="2"/>
        <v>127</v>
      </c>
      <c r="AA39" s="2">
        <f>'[1]PIB (UT$)'!B40</f>
        <v>9206116.039919043</v>
      </c>
      <c r="AB39" s="6">
        <f>[1]INDÚSTRIAS!AW41</f>
        <v>3111500</v>
      </c>
      <c r="AC39" s="6">
        <f>[1]INDÚSTRIAS!AX41</f>
        <v>0</v>
      </c>
      <c r="AD39" s="6">
        <f>[1]INDÚSTRIAS!AY41</f>
        <v>0</v>
      </c>
      <c r="AE39" s="6">
        <f>[1]INDÚSTRIAS!AZ41</f>
        <v>3111500</v>
      </c>
      <c r="AF39" s="3">
        <f>'[1]CAPITAL (UT$)'!AF41</f>
        <v>33.770602349106639</v>
      </c>
      <c r="AG39">
        <f>[1]SERVIÇOS!F41</f>
        <v>127</v>
      </c>
      <c r="AH39">
        <f>[1]SERVIÇOS!G41</f>
        <v>0</v>
      </c>
      <c r="AI39">
        <f>[1]SERVIÇOS!H41</f>
        <v>0</v>
      </c>
      <c r="AJ39">
        <f t="shared" si="3"/>
        <v>127</v>
      </c>
      <c r="AK39" s="2">
        <f>'[1]PIB (UT$)'!C40</f>
        <v>34918072.811093599</v>
      </c>
      <c r="AL39" s="6">
        <f>[1]SERVIÇOS!AW41</f>
        <v>995680</v>
      </c>
      <c r="AM39" s="6">
        <f>[1]SERVIÇOS!AX41</f>
        <v>0</v>
      </c>
      <c r="AN39" s="6">
        <f>[1]SERVIÇOS!AY41</f>
        <v>0</v>
      </c>
      <c r="AO39" s="6">
        <f>[1]SERVIÇOS!AZ41</f>
        <v>995680</v>
      </c>
      <c r="AP39" s="3">
        <f>'[1]CAPITAL (UT$)'!AG41</f>
        <v>0.97803718097802461</v>
      </c>
      <c r="AQ39">
        <f>[1]MINERAÇÃO!F41</f>
        <v>0</v>
      </c>
      <c r="AR39">
        <f>[1]MINERAÇÃO!G41</f>
        <v>0</v>
      </c>
      <c r="AS39">
        <f>[1]MINERAÇÃO!H41</f>
        <v>0</v>
      </c>
      <c r="AT39">
        <f t="shared" si="4"/>
        <v>0</v>
      </c>
      <c r="AU39" s="2">
        <f>'[1]PIB (UT$)'!D40</f>
        <v>0</v>
      </c>
      <c r="AV39" s="6">
        <f>[1]MINERAÇÃO!AW41</f>
        <v>0</v>
      </c>
      <c r="AW39" s="6">
        <f>[1]MINERAÇÃO!AX41</f>
        <v>0</v>
      </c>
      <c r="AX39" s="6">
        <f>[1]MINERAÇÃO!AY41</f>
        <v>0</v>
      </c>
      <c r="AY39" s="6">
        <f>[1]MINERAÇÃO!AZ41</f>
        <v>0</v>
      </c>
      <c r="AZ39" s="3">
        <f>'[1]CAPITAL (UT$)'!AH41</f>
        <v>0</v>
      </c>
      <c r="BA39">
        <f>[1]AGROPECUÁRIA!F41</f>
        <v>4</v>
      </c>
      <c r="BB39">
        <f>[1]AGROPECUÁRIA!G41</f>
        <v>0</v>
      </c>
      <c r="BC39">
        <f>[1]AGROPECUÁRIA!H41</f>
        <v>0</v>
      </c>
      <c r="BD39">
        <f t="shared" si="5"/>
        <v>4</v>
      </c>
      <c r="BE39" s="2">
        <f>'[1]PIB (UT$)'!E40</f>
        <v>54590.450439518543</v>
      </c>
      <c r="BF39" s="6">
        <f>[1]AGROPECUÁRIA!AW41</f>
        <v>23460</v>
      </c>
      <c r="BG39" s="6">
        <f>[1]AGROPECUÁRIA!AX41</f>
        <v>0</v>
      </c>
      <c r="BH39" s="6">
        <f>[1]AGROPECUÁRIA!AY41</f>
        <v>0</v>
      </c>
      <c r="BI39" s="6">
        <f>[1]AGROPECUÁRIA!AZ41</f>
        <v>23460</v>
      </c>
      <c r="BJ39" s="3">
        <f>'[1]CAPITAL (UT$)'!AI41</f>
        <v>103.89135403603872</v>
      </c>
      <c r="BK39" s="6">
        <f t="shared" si="6"/>
        <v>4130640</v>
      </c>
      <c r="BL39" s="6">
        <f t="shared" si="6"/>
        <v>0</v>
      </c>
      <c r="BM39" s="6">
        <f t="shared" si="6"/>
        <v>0</v>
      </c>
      <c r="BN39" s="6">
        <f t="shared" si="7"/>
        <v>4130640</v>
      </c>
      <c r="BO39" s="3">
        <f t="shared" si="8"/>
        <v>138.63999356612339</v>
      </c>
      <c r="BP39" s="7">
        <f t="shared" si="9"/>
        <v>393841940</v>
      </c>
      <c r="BQ39" s="2">
        <f>(BO39+V39)*[1]GLOBAL!$C$41</f>
        <v>81.982331403170349</v>
      </c>
      <c r="BR39" s="2">
        <f t="shared" si="10"/>
        <v>355.2567694137382</v>
      </c>
    </row>
    <row r="40" spans="1:70">
      <c r="A40">
        <f t="shared" si="11"/>
        <v>2013</v>
      </c>
      <c r="B40" s="1">
        <f>'[1]POPULAÇÃO (HAB)'!D41</f>
        <v>224620</v>
      </c>
      <c r="C40" s="2">
        <f>'[1]PIB (UT$)'!F41</f>
        <v>45829313.102067359</v>
      </c>
      <c r="D40" s="3">
        <f>'[1]PIB (UT$)'!G41</f>
        <v>204.03042071973715</v>
      </c>
      <c r="E40" s="1">
        <f>'[1]POPULAÇÃO (HAB)'!E41</f>
        <v>134772</v>
      </c>
      <c r="F40" s="4">
        <f>[1]IDH!B41</f>
        <v>0.79453063581647465</v>
      </c>
      <c r="G40" s="4">
        <f>[1]IDH!C41</f>
        <v>0.81668699362548547</v>
      </c>
      <c r="H40" s="4">
        <f>[1]IDH!D41</f>
        <v>1</v>
      </c>
      <c r="I40" s="4">
        <f>[1]IDH!E41</f>
        <v>0.86574254850801247</v>
      </c>
      <c r="J40" s="5">
        <f>[1]EDUCAÇÃO!B41</f>
        <v>12.250304904382283</v>
      </c>
      <c r="K40">
        <f>'[1]CLASSES SOCIAIS'!T42</f>
        <v>30464</v>
      </c>
      <c r="L40">
        <f>'[1]CLASSES SOCIAIS'!U42</f>
        <v>57487</v>
      </c>
      <c r="M40">
        <f>'[1]CLASSES SOCIAIS'!V42</f>
        <v>18484</v>
      </c>
      <c r="N40">
        <f t="shared" si="0"/>
        <v>106435</v>
      </c>
      <c r="O40" s="6">
        <f>'[1]CONSUMO RESIDENCIAL (kWh)'!B42</f>
        <v>228480000</v>
      </c>
      <c r="P40" s="6">
        <f>'[1]CONSUMO RESIDENCIAL (kWh)'!C42</f>
        <v>143717500</v>
      </c>
      <c r="Q40" s="6">
        <f>'[1]CONSUMO RESIDENCIAL (kWh)'!D42</f>
        <v>22180800</v>
      </c>
      <c r="R40" s="6">
        <f t="shared" si="1"/>
        <v>394378300</v>
      </c>
      <c r="S40" s="2">
        <f>'[1]CLASSES SOCIAIS'!AL42</f>
        <v>107.15166666666667</v>
      </c>
      <c r="T40" s="2">
        <f>'[1]CLASSES SOCIAIS'!AM42</f>
        <v>26.959777777777777</v>
      </c>
      <c r="U40" s="2">
        <f>'[1]CLASSES SOCIAIS'!AN42</f>
        <v>2.6005333333333334</v>
      </c>
      <c r="V40" s="2">
        <f>'[1]CLASSES SOCIAIS'!AO42</f>
        <v>136.7119777777778</v>
      </c>
      <c r="W40">
        <f>[1]INDÚSTRIAS!F42</f>
        <v>129</v>
      </c>
      <c r="X40">
        <f>[1]INDÚSTRIAS!G42</f>
        <v>0</v>
      </c>
      <c r="Y40">
        <f>[1]INDÚSTRIAS!H42</f>
        <v>0</v>
      </c>
      <c r="Z40">
        <f t="shared" si="2"/>
        <v>129</v>
      </c>
      <c r="AA40" s="2">
        <f>'[1]PIB (UT$)'!B41</f>
        <v>9445596.2135739438</v>
      </c>
      <c r="AB40" s="6">
        <f>[1]INDÚSTRIAS!AW42</f>
        <v>3096000</v>
      </c>
      <c r="AC40" s="6">
        <f>[1]INDÚSTRIAS!AX42</f>
        <v>0</v>
      </c>
      <c r="AD40" s="6">
        <f>[1]INDÚSTRIAS!AY42</f>
        <v>0</v>
      </c>
      <c r="AE40" s="6">
        <f>[1]INDÚSTRIAS!AZ42</f>
        <v>3096000</v>
      </c>
      <c r="AF40" s="3">
        <f>'[1]CAPITAL (UT$)'!AF42</f>
        <v>35.278668552276415</v>
      </c>
      <c r="AG40">
        <f>[1]SERVIÇOS!F42</f>
        <v>129</v>
      </c>
      <c r="AH40">
        <f>[1]SERVIÇOS!G42</f>
        <v>0</v>
      </c>
      <c r="AI40">
        <f>[1]SERVIÇOS!H42</f>
        <v>0</v>
      </c>
      <c r="AJ40">
        <f t="shared" si="3"/>
        <v>129</v>
      </c>
      <c r="AK40" s="2">
        <f>'[1]PIB (UT$)'!C41</f>
        <v>36331472.612179324</v>
      </c>
      <c r="AL40" s="6">
        <f>[1]SERVIÇOS!AW42</f>
        <v>1016520</v>
      </c>
      <c r="AM40" s="6">
        <f>[1]SERVIÇOS!AX42</f>
        <v>0</v>
      </c>
      <c r="AN40" s="6">
        <f>[1]SERVIÇOS!AY42</f>
        <v>0</v>
      </c>
      <c r="AO40" s="6">
        <f>[1]SERVIÇOS!AZ42</f>
        <v>1016520</v>
      </c>
      <c r="AP40" s="3">
        <f>'[1]CAPITAL (UT$)'!AG42</f>
        <v>1.0223273643844375</v>
      </c>
      <c r="AQ40">
        <f>[1]MINERAÇÃO!F42</f>
        <v>0</v>
      </c>
      <c r="AR40">
        <f>[1]MINERAÇÃO!G42</f>
        <v>0</v>
      </c>
      <c r="AS40">
        <f>[1]MINERAÇÃO!H42</f>
        <v>0</v>
      </c>
      <c r="AT40">
        <f t="shared" si="4"/>
        <v>0</v>
      </c>
      <c r="AU40" s="2">
        <f>'[1]PIB (UT$)'!D41</f>
        <v>0</v>
      </c>
      <c r="AV40" s="6">
        <f>[1]MINERAÇÃO!AW42</f>
        <v>0</v>
      </c>
      <c r="AW40" s="6">
        <f>[1]MINERAÇÃO!AX42</f>
        <v>0</v>
      </c>
      <c r="AX40" s="6">
        <f>[1]MINERAÇÃO!AY42</f>
        <v>0</v>
      </c>
      <c r="AY40" s="6">
        <f>[1]MINERAÇÃO!AZ42</f>
        <v>0</v>
      </c>
      <c r="AZ40" s="3">
        <f>'[1]CAPITAL (UT$)'!AH42</f>
        <v>0</v>
      </c>
      <c r="BA40">
        <f>[1]AGROPECUÁRIA!F42</f>
        <v>4</v>
      </c>
      <c r="BB40">
        <f>[1]AGROPECUÁRIA!G42</f>
        <v>0</v>
      </c>
      <c r="BC40">
        <f>[1]AGROPECUÁRIA!H42</f>
        <v>0</v>
      </c>
      <c r="BD40">
        <f t="shared" si="5"/>
        <v>4</v>
      </c>
      <c r="BE40" s="2">
        <f>'[1]PIB (UT$)'!E41</f>
        <v>52244.276314088696</v>
      </c>
      <c r="BF40" s="6">
        <f>[1]AGROPECUÁRIA!AW42</f>
        <v>22380</v>
      </c>
      <c r="BG40" s="6">
        <f>[1]AGROPECUÁRIA!AX42</f>
        <v>0</v>
      </c>
      <c r="BH40" s="6">
        <f>[1]AGROPECUÁRIA!AY42</f>
        <v>0</v>
      </c>
      <c r="BI40" s="6">
        <f>[1]AGROPECUÁRIA!AZ42</f>
        <v>22380</v>
      </c>
      <c r="BJ40" s="3">
        <f>'[1]CAPITAL (UT$)'!AI42</f>
        <v>108.22847839958555</v>
      </c>
      <c r="BK40" s="6">
        <f t="shared" si="6"/>
        <v>4134900</v>
      </c>
      <c r="BL40" s="6">
        <f t="shared" si="6"/>
        <v>0</v>
      </c>
      <c r="BM40" s="6">
        <f t="shared" si="6"/>
        <v>0</v>
      </c>
      <c r="BN40" s="6">
        <f t="shared" si="7"/>
        <v>4134900</v>
      </c>
      <c r="BO40" s="3">
        <f t="shared" si="8"/>
        <v>144.52947431624642</v>
      </c>
      <c r="BP40" s="7">
        <f t="shared" si="9"/>
        <v>398513200</v>
      </c>
      <c r="BQ40" s="2">
        <f>(BO40+V40)*[1]GLOBAL!$C$41</f>
        <v>84.37243562820727</v>
      </c>
      <c r="BR40" s="2">
        <f t="shared" si="10"/>
        <v>365.61388772223148</v>
      </c>
    </row>
    <row r="41" spans="1:70">
      <c r="A41">
        <f t="shared" si="11"/>
        <v>2014</v>
      </c>
      <c r="B41" s="1">
        <f>'[1]POPULAÇÃO (HAB)'!D42</f>
        <v>225406</v>
      </c>
      <c r="C41" s="2">
        <f>'[1]PIB (UT$)'!F42</f>
        <v>47521760.765406139</v>
      </c>
      <c r="D41" s="3">
        <f>'[1]PIB (UT$)'!G42</f>
        <v>210.82739929463341</v>
      </c>
      <c r="E41" s="1">
        <f>'[1]POPULAÇÃO (HAB)'!E42</f>
        <v>135243</v>
      </c>
      <c r="F41" s="4">
        <f>[1]IDH!B42</f>
        <v>0.79863317533693112</v>
      </c>
      <c r="G41" s="4">
        <f>[1]IDH!C42</f>
        <v>0.82126076202625886</v>
      </c>
      <c r="H41" s="4">
        <f>[1]IDH!D42</f>
        <v>1</v>
      </c>
      <c r="I41" s="4">
        <f>[1]IDH!E42</f>
        <v>0.86884600164027548</v>
      </c>
      <c r="J41" s="5">
        <f>[1]EDUCAÇÃO!B42</f>
        <v>12.318911430393882</v>
      </c>
      <c r="K41">
        <f>'[1]CLASSES SOCIAIS'!T43</f>
        <v>31065</v>
      </c>
      <c r="L41">
        <f>'[1]CLASSES SOCIAIS'!U43</f>
        <v>57672</v>
      </c>
      <c r="M41">
        <f>'[1]CLASSES SOCIAIS'!V43</f>
        <v>18152</v>
      </c>
      <c r="N41">
        <f t="shared" si="0"/>
        <v>106889</v>
      </c>
      <c r="O41" s="6">
        <f>'[1]CONSUMO RESIDENCIAL (kWh)'!B43</f>
        <v>232987500</v>
      </c>
      <c r="P41" s="6">
        <f>'[1]CONSUMO RESIDENCIAL (kWh)'!C43</f>
        <v>144180000</v>
      </c>
      <c r="Q41" s="6">
        <f>'[1]CONSUMO RESIDENCIAL (kWh)'!D43</f>
        <v>21782400</v>
      </c>
      <c r="R41" s="6">
        <f t="shared" si="1"/>
        <v>398949900</v>
      </c>
      <c r="S41" s="2">
        <f>'[1]CLASSES SOCIAIS'!AL43</f>
        <v>109.18166666666667</v>
      </c>
      <c r="T41" s="2">
        <f>'[1]CLASSES SOCIAIS'!AM43</f>
        <v>27.026</v>
      </c>
      <c r="U41" s="2">
        <f>'[1]CLASSES SOCIAIS'!AN43</f>
        <v>2.5518666666666667</v>
      </c>
      <c r="V41" s="2">
        <f>'[1]CLASSES SOCIAIS'!AO43</f>
        <v>138.75953333333334</v>
      </c>
      <c r="W41">
        <f>[1]INDÚSTRIAS!F43</f>
        <v>132</v>
      </c>
      <c r="X41">
        <f>[1]INDÚSTRIAS!G43</f>
        <v>0</v>
      </c>
      <c r="Y41">
        <f>[1]INDÚSTRIAS!H43</f>
        <v>0</v>
      </c>
      <c r="Z41">
        <f t="shared" si="2"/>
        <v>132</v>
      </c>
      <c r="AA41" s="2">
        <f>'[1]PIB (UT$)'!B42</f>
        <v>9685022.6106134746</v>
      </c>
      <c r="AB41" s="6">
        <f>[1]INDÚSTRIAS!AW43</f>
        <v>3168000</v>
      </c>
      <c r="AC41" s="6">
        <f>[1]INDÚSTRIAS!AX43</f>
        <v>0</v>
      </c>
      <c r="AD41" s="6">
        <f>[1]INDÚSTRIAS!AY43</f>
        <v>0</v>
      </c>
      <c r="AE41" s="6">
        <f>[1]INDÚSTRIAS!AZ43</f>
        <v>3168000</v>
      </c>
      <c r="AF41" s="3">
        <f>'[1]CAPITAL (UT$)'!AF43</f>
        <v>36.82829348730521</v>
      </c>
      <c r="AG41">
        <f>[1]SERVIÇOS!F43</f>
        <v>132</v>
      </c>
      <c r="AH41">
        <f>[1]SERVIÇOS!G43</f>
        <v>0</v>
      </c>
      <c r="AI41">
        <f>[1]SERVIÇOS!H43</f>
        <v>0</v>
      </c>
      <c r="AJ41">
        <f t="shared" si="3"/>
        <v>132</v>
      </c>
      <c r="AK41" s="2">
        <f>'[1]PIB (UT$)'!C42</f>
        <v>37786935.442984425</v>
      </c>
      <c r="AL41" s="6">
        <f>[1]SERVIÇOS!AW43</f>
        <v>1034880</v>
      </c>
      <c r="AM41" s="6">
        <f>[1]SERVIÇOS!AX43</f>
        <v>0</v>
      </c>
      <c r="AN41" s="6">
        <f>[1]SERVIÇOS!AY43</f>
        <v>0</v>
      </c>
      <c r="AO41" s="6">
        <f>[1]SERVIÇOS!AZ43</f>
        <v>1034880</v>
      </c>
      <c r="AP41" s="3">
        <f>'[1]CAPITAL (UT$)'!AG43</f>
        <v>1.0680397319563499</v>
      </c>
      <c r="AQ41">
        <f>[1]MINERAÇÃO!F43</f>
        <v>0</v>
      </c>
      <c r="AR41">
        <f>[1]MINERAÇÃO!G43</f>
        <v>0</v>
      </c>
      <c r="AS41">
        <f>[1]MINERAÇÃO!H43</f>
        <v>0</v>
      </c>
      <c r="AT41">
        <f t="shared" si="4"/>
        <v>0</v>
      </c>
      <c r="AU41" s="2">
        <f>'[1]PIB (UT$)'!D42</f>
        <v>0</v>
      </c>
      <c r="AV41" s="6">
        <f>[1]MINERAÇÃO!AW43</f>
        <v>0</v>
      </c>
      <c r="AW41" s="6">
        <f>[1]MINERAÇÃO!AX43</f>
        <v>0</v>
      </c>
      <c r="AX41" s="6">
        <f>[1]MINERAÇÃO!AY43</f>
        <v>0</v>
      </c>
      <c r="AY41" s="6">
        <f>[1]MINERAÇÃO!AZ43</f>
        <v>0</v>
      </c>
      <c r="AZ41" s="3">
        <f>'[1]CAPITAL (UT$)'!AH43</f>
        <v>0</v>
      </c>
      <c r="BA41">
        <f>[1]AGROPECUÁRIA!F43</f>
        <v>4</v>
      </c>
      <c r="BB41">
        <f>[1]AGROPECUÁRIA!G43</f>
        <v>0</v>
      </c>
      <c r="BC41">
        <f>[1]AGROPECUÁRIA!H43</f>
        <v>0</v>
      </c>
      <c r="BD41">
        <f t="shared" si="5"/>
        <v>4</v>
      </c>
      <c r="BE41" s="2">
        <f>'[1]PIB (UT$)'!E42</f>
        <v>49802.711808244778</v>
      </c>
      <c r="BF41" s="6">
        <f>[1]AGROPECUÁRIA!AW43</f>
        <v>23640</v>
      </c>
      <c r="BG41" s="6">
        <f>[1]AGROPECUÁRIA!AX43</f>
        <v>0</v>
      </c>
      <c r="BH41" s="6">
        <f>[1]AGROPECUÁRIA!AY43</f>
        <v>0</v>
      </c>
      <c r="BI41" s="6">
        <f>[1]AGROPECUÁRIA!AZ43</f>
        <v>23640</v>
      </c>
      <c r="BJ41" s="3">
        <f>'[1]CAPITAL (UT$)'!AI43</f>
        <v>112.68206826031613</v>
      </c>
      <c r="BK41" s="6">
        <f t="shared" si="6"/>
        <v>4226520</v>
      </c>
      <c r="BL41" s="6">
        <f t="shared" si="6"/>
        <v>0</v>
      </c>
      <c r="BM41" s="6">
        <f t="shared" si="6"/>
        <v>0</v>
      </c>
      <c r="BN41" s="6">
        <f t="shared" si="7"/>
        <v>4226520</v>
      </c>
      <c r="BO41" s="3">
        <f t="shared" si="8"/>
        <v>150.57840147957768</v>
      </c>
      <c r="BP41" s="7">
        <f t="shared" si="9"/>
        <v>403176420</v>
      </c>
      <c r="BQ41" s="2">
        <f>(BO41+V41)*[1]GLOBAL!$C$41</f>
        <v>86.801380443873313</v>
      </c>
      <c r="BR41" s="2">
        <f t="shared" si="10"/>
        <v>376.13931525678436</v>
      </c>
    </row>
    <row r="42" spans="1:70">
      <c r="A42">
        <f t="shared" si="11"/>
        <v>2015</v>
      </c>
      <c r="B42" s="1">
        <f>'[1]POPULAÇÃO (HAB)'!D43</f>
        <v>226194</v>
      </c>
      <c r="C42" s="2">
        <f>'[1]PIB (UT$)'!F43</f>
        <v>49257178.09390945</v>
      </c>
      <c r="D42" s="3">
        <f>'[1]PIB (UT$)'!G43</f>
        <v>217.76518428388661</v>
      </c>
      <c r="E42" s="1">
        <f>'[1]POPULAÇÃO (HAB)'!E43</f>
        <v>135716</v>
      </c>
      <c r="F42" s="4">
        <f>[1]IDH!B43</f>
        <v>0.80265068044302024</v>
      </c>
      <c r="G42" s="4">
        <f>[1]IDH!C43</f>
        <v>0.8256551904028504</v>
      </c>
      <c r="H42" s="4">
        <f>[1]IDH!D43</f>
        <v>1</v>
      </c>
      <c r="I42" s="4">
        <f>[1]IDH!E43</f>
        <v>0.87184998523550716</v>
      </c>
      <c r="J42" s="5">
        <f>[1]EDUCAÇÃO!B43</f>
        <v>12.384827856042756</v>
      </c>
      <c r="K42">
        <f>'[1]CLASSES SOCIAIS'!T44</f>
        <v>31655</v>
      </c>
      <c r="L42">
        <f>'[1]CLASSES SOCIAIS'!U44</f>
        <v>57852</v>
      </c>
      <c r="M42">
        <f>'[1]CLASSES SOCIAIS'!V44</f>
        <v>17828</v>
      </c>
      <c r="N42">
        <f t="shared" si="0"/>
        <v>107335</v>
      </c>
      <c r="O42" s="6">
        <f>'[1]CONSUMO RESIDENCIAL (kWh)'!B44</f>
        <v>237412500</v>
      </c>
      <c r="P42" s="6">
        <f>'[1]CONSUMO RESIDENCIAL (kWh)'!C44</f>
        <v>144630000</v>
      </c>
      <c r="Q42" s="6">
        <f>'[1]CONSUMO RESIDENCIAL (kWh)'!D44</f>
        <v>21393600</v>
      </c>
      <c r="R42" s="6">
        <f t="shared" si="1"/>
        <v>403436100</v>
      </c>
      <c r="S42" s="2">
        <f>'[1]CLASSES SOCIAIS'!AL44</f>
        <v>111.18</v>
      </c>
      <c r="T42" s="2">
        <f>'[1]CLASSES SOCIAIS'!AM44</f>
        <v>27.092222222222222</v>
      </c>
      <c r="U42" s="2">
        <f>'[1]CLASSES SOCIAIS'!AN44</f>
        <v>2.5046666666666666</v>
      </c>
      <c r="V42" s="2">
        <f>'[1]CLASSES SOCIAIS'!AO44</f>
        <v>140.77688888888892</v>
      </c>
      <c r="W42">
        <f>[1]INDÚSTRIAS!F44</f>
        <v>134</v>
      </c>
      <c r="X42">
        <f>[1]INDÚSTRIAS!G44</f>
        <v>0</v>
      </c>
      <c r="Y42">
        <f>[1]INDÚSTRIAS!H44</f>
        <v>0</v>
      </c>
      <c r="Z42">
        <f t="shared" si="2"/>
        <v>134</v>
      </c>
      <c r="AA42" s="2">
        <f>'[1]PIB (UT$)'!B43</f>
        <v>9924260.2105182242</v>
      </c>
      <c r="AB42" s="6">
        <f>[1]INDÚSTRIAS!AW44</f>
        <v>3283000</v>
      </c>
      <c r="AC42" s="6">
        <f>[1]INDÚSTRIAS!AX44</f>
        <v>0</v>
      </c>
      <c r="AD42" s="6">
        <f>[1]INDÚSTRIAS!AY44</f>
        <v>0</v>
      </c>
      <c r="AE42" s="6">
        <f>[1]INDÚSTRIAS!AZ44</f>
        <v>3283000</v>
      </c>
      <c r="AF42" s="3">
        <f>'[1]CAPITAL (UT$)'!AF44</f>
        <v>38.420336739299387</v>
      </c>
      <c r="AG42">
        <f>[1]SERVIÇOS!F44</f>
        <v>134</v>
      </c>
      <c r="AH42">
        <f>[1]SERVIÇOS!G44</f>
        <v>0</v>
      </c>
      <c r="AI42">
        <f>[1]SERVIÇOS!H44</f>
        <v>0</v>
      </c>
      <c r="AJ42">
        <f t="shared" si="3"/>
        <v>134</v>
      </c>
      <c r="AK42" s="2">
        <f>'[1]PIB (UT$)'!C43</f>
        <v>39285653.270432606</v>
      </c>
      <c r="AL42" s="6">
        <f>[1]SERVIÇOS!AW44</f>
        <v>1018400</v>
      </c>
      <c r="AM42" s="6">
        <f>[1]SERVIÇOS!AX44</f>
        <v>0</v>
      </c>
      <c r="AN42" s="6">
        <f>[1]SERVIÇOS!AY44</f>
        <v>0</v>
      </c>
      <c r="AO42" s="6">
        <f>[1]SERVIÇOS!AZ44</f>
        <v>1018400</v>
      </c>
      <c r="AP42" s="3">
        <f>'[1]CAPITAL (UT$)'!AG44</f>
        <v>1.1152014746066696</v>
      </c>
      <c r="AQ42">
        <f>[1]MINERAÇÃO!F44</f>
        <v>0</v>
      </c>
      <c r="AR42">
        <f>[1]MINERAÇÃO!G44</f>
        <v>0</v>
      </c>
      <c r="AS42">
        <f>[1]MINERAÇÃO!H44</f>
        <v>0</v>
      </c>
      <c r="AT42">
        <f t="shared" si="4"/>
        <v>0</v>
      </c>
      <c r="AU42" s="2">
        <f>'[1]PIB (UT$)'!D43</f>
        <v>0</v>
      </c>
      <c r="AV42" s="6">
        <f>[1]MINERAÇÃO!AW44</f>
        <v>0</v>
      </c>
      <c r="AW42" s="6">
        <f>[1]MINERAÇÃO!AX44</f>
        <v>0</v>
      </c>
      <c r="AX42" s="6">
        <f>[1]MINERAÇÃO!AY44</f>
        <v>0</v>
      </c>
      <c r="AY42" s="6">
        <f>[1]MINERAÇÃO!AZ44</f>
        <v>0</v>
      </c>
      <c r="AZ42" s="3">
        <f>'[1]CAPITAL (UT$)'!AH44</f>
        <v>0</v>
      </c>
      <c r="BA42">
        <f>[1]AGROPECUÁRIA!F44</f>
        <v>4</v>
      </c>
      <c r="BB42">
        <f>[1]AGROPECUÁRIA!G44</f>
        <v>0</v>
      </c>
      <c r="BC42">
        <f>[1]AGROPECUÁRIA!H44</f>
        <v>0</v>
      </c>
      <c r="BD42">
        <f t="shared" si="5"/>
        <v>4</v>
      </c>
      <c r="BE42" s="2">
        <f>'[1]PIB (UT$)'!E43</f>
        <v>47264.612958617909</v>
      </c>
      <c r="BF42" s="6">
        <f>[1]AGROPECUÁRIA!AW44</f>
        <v>22200</v>
      </c>
      <c r="BG42" s="6">
        <f>[1]AGROPECUÁRIA!AX44</f>
        <v>0</v>
      </c>
      <c r="BH42" s="6">
        <f>[1]AGROPECUÁRIA!AY44</f>
        <v>0</v>
      </c>
      <c r="BI42" s="6">
        <f>[1]AGROPECUÁRIA!AZ44</f>
        <v>22200</v>
      </c>
      <c r="BJ42" s="3">
        <f>'[1]CAPITAL (UT$)'!AI44</f>
        <v>117.25444835608656</v>
      </c>
      <c r="BK42" s="6">
        <f t="shared" si="6"/>
        <v>4323600</v>
      </c>
      <c r="BL42" s="6">
        <f t="shared" si="6"/>
        <v>0</v>
      </c>
      <c r="BM42" s="6">
        <f t="shared" si="6"/>
        <v>0</v>
      </c>
      <c r="BN42" s="6">
        <f t="shared" si="7"/>
        <v>4323600</v>
      </c>
      <c r="BO42" s="3">
        <f t="shared" si="8"/>
        <v>156.78998656999261</v>
      </c>
      <c r="BP42" s="7">
        <f t="shared" si="9"/>
        <v>407759700</v>
      </c>
      <c r="BQ42" s="2">
        <f>(BO42+V42)*[1]GLOBAL!$C$41</f>
        <v>89.270062637664466</v>
      </c>
      <c r="BR42" s="2">
        <f t="shared" si="10"/>
        <v>386.83693809654602</v>
      </c>
    </row>
    <row r="43" spans="1:70">
      <c r="A43">
        <f t="shared" si="11"/>
        <v>2016</v>
      </c>
      <c r="B43" s="1">
        <f>'[1]POPULAÇÃO (HAB)'!D44</f>
        <v>226985</v>
      </c>
      <c r="C43" s="2">
        <f>'[1]PIB (UT$)'!F44</f>
        <v>51036427.163815871</v>
      </c>
      <c r="D43" s="3">
        <f>'[1]PIB (UT$)'!G44</f>
        <v>224.84493320622892</v>
      </c>
      <c r="E43" s="1">
        <f>'[1]POPULAÇÃO (HAB)'!E44</f>
        <v>136191</v>
      </c>
      <c r="F43" s="4">
        <f>[1]IDH!B44</f>
        <v>0.80660888645320894</v>
      </c>
      <c r="G43" s="4">
        <f>[1]IDH!C44</f>
        <v>0.82987731077819094</v>
      </c>
      <c r="H43" s="4">
        <f>[1]IDH!D44</f>
        <v>1</v>
      </c>
      <c r="I43" s="4">
        <f>[1]IDH!E44</f>
        <v>0.87476681178266358</v>
      </c>
      <c r="J43" s="5">
        <f>[1]EDUCAÇÃO!B44</f>
        <v>12.448159661672864</v>
      </c>
      <c r="K43">
        <f>'[1]CLASSES SOCIAIS'!T45</f>
        <v>32234</v>
      </c>
      <c r="L43">
        <f>'[1]CLASSES SOCIAIS'!U45</f>
        <v>58027</v>
      </c>
      <c r="M43">
        <f>'[1]CLASSES SOCIAIS'!V45</f>
        <v>17509</v>
      </c>
      <c r="N43">
        <f t="shared" si="0"/>
        <v>107770</v>
      </c>
      <c r="O43" s="6">
        <f>'[1]CONSUMO RESIDENCIAL (kWh)'!B45</f>
        <v>241755000</v>
      </c>
      <c r="P43" s="6">
        <f>'[1]CONSUMO RESIDENCIAL (kWh)'!C45</f>
        <v>145067500</v>
      </c>
      <c r="Q43" s="6">
        <f>'[1]CONSUMO RESIDENCIAL (kWh)'!D45</f>
        <v>21010800</v>
      </c>
      <c r="R43" s="6">
        <f t="shared" si="1"/>
        <v>407833300</v>
      </c>
      <c r="S43" s="2">
        <f>'[1]CLASSES SOCIAIS'!AL45</f>
        <v>113.15166666666667</v>
      </c>
      <c r="T43" s="2">
        <f>'[1]CLASSES SOCIAIS'!AM45</f>
        <v>27.158888888888889</v>
      </c>
      <c r="U43" s="2">
        <f>'[1]CLASSES SOCIAIS'!AN45</f>
        <v>2.4585333333333335</v>
      </c>
      <c r="V43" s="2">
        <f>'[1]CLASSES SOCIAIS'!AO45</f>
        <v>142.76908888888889</v>
      </c>
      <c r="W43">
        <f>[1]INDÚSTRIAS!F45</f>
        <v>137</v>
      </c>
      <c r="X43">
        <f>[1]INDÚSTRIAS!G45</f>
        <v>1</v>
      </c>
      <c r="Y43">
        <f>[1]INDÚSTRIAS!H45</f>
        <v>0</v>
      </c>
      <c r="Z43">
        <f t="shared" si="2"/>
        <v>138</v>
      </c>
      <c r="AA43" s="2">
        <f>'[1]PIB (UT$)'!B44</f>
        <v>10163127.949314281</v>
      </c>
      <c r="AB43" s="6">
        <f>[1]INDÚSTRIAS!AW45</f>
        <v>3301700</v>
      </c>
      <c r="AC43" s="6">
        <f>[1]INDÚSTRIAS!AX45</f>
        <v>247000</v>
      </c>
      <c r="AD43" s="6">
        <f>[1]INDÚSTRIAS!AY45</f>
        <v>0</v>
      </c>
      <c r="AE43" s="6">
        <f>[1]INDÚSTRIAS!AZ45</f>
        <v>3548700</v>
      </c>
      <c r="AF43" s="3">
        <f>'[1]CAPITAL (UT$)'!AF45</f>
        <v>40.055690782454178</v>
      </c>
      <c r="AG43">
        <f>[1]SERVIÇOS!F45</f>
        <v>137</v>
      </c>
      <c r="AH43">
        <f>[1]SERVIÇOS!G45</f>
        <v>1</v>
      </c>
      <c r="AI43">
        <f>[1]SERVIÇOS!H45</f>
        <v>0</v>
      </c>
      <c r="AJ43">
        <f t="shared" si="3"/>
        <v>138</v>
      </c>
      <c r="AK43" s="2">
        <f>'[1]PIB (UT$)'!C44</f>
        <v>40828671.075757302</v>
      </c>
      <c r="AL43" s="6">
        <f>[1]SERVIÇOS!AW45</f>
        <v>1046680</v>
      </c>
      <c r="AM43" s="6">
        <f>[1]SERVIÇOS!AX45</f>
        <v>97000</v>
      </c>
      <c r="AN43" s="6">
        <f>[1]SERVIÇOS!AY45</f>
        <v>0</v>
      </c>
      <c r="AO43" s="6">
        <f>[1]SERVIÇOS!AZ45</f>
        <v>1143680</v>
      </c>
      <c r="AP43" s="3">
        <f>'[1]CAPITAL (UT$)'!AG45</f>
        <v>1.1638407271916518</v>
      </c>
      <c r="AQ43">
        <f>[1]MINERAÇÃO!F45</f>
        <v>0</v>
      </c>
      <c r="AR43">
        <f>[1]MINERAÇÃO!G45</f>
        <v>0</v>
      </c>
      <c r="AS43">
        <f>[1]MINERAÇÃO!H45</f>
        <v>0</v>
      </c>
      <c r="AT43">
        <f t="shared" si="4"/>
        <v>0</v>
      </c>
      <c r="AU43" s="2">
        <f>'[1]PIB (UT$)'!D44</f>
        <v>0</v>
      </c>
      <c r="AV43" s="6">
        <f>[1]MINERAÇÃO!AW45</f>
        <v>0</v>
      </c>
      <c r="AW43" s="6">
        <f>[1]MINERAÇÃO!AX45</f>
        <v>0</v>
      </c>
      <c r="AX43" s="6">
        <f>[1]MINERAÇÃO!AY45</f>
        <v>0</v>
      </c>
      <c r="AY43" s="6">
        <f>[1]MINERAÇÃO!AZ45</f>
        <v>0</v>
      </c>
      <c r="AZ43" s="3">
        <f>'[1]CAPITAL (UT$)'!AH45</f>
        <v>0</v>
      </c>
      <c r="BA43">
        <f>[1]AGROPECUÁRIA!F45</f>
        <v>4</v>
      </c>
      <c r="BB43">
        <f>[1]AGROPECUÁRIA!G45</f>
        <v>0</v>
      </c>
      <c r="BC43">
        <f>[1]AGROPECUÁRIA!H45</f>
        <v>0</v>
      </c>
      <c r="BD43">
        <f t="shared" si="5"/>
        <v>4</v>
      </c>
      <c r="BE43" s="2">
        <f>'[1]PIB (UT$)'!E44</f>
        <v>44628.13874428672</v>
      </c>
      <c r="BF43" s="6">
        <f>[1]AGROPECUÁRIA!AW45</f>
        <v>22740</v>
      </c>
      <c r="BG43" s="6">
        <f>[1]AGROPECUÁRIA!AX45</f>
        <v>0</v>
      </c>
      <c r="BH43" s="6">
        <f>[1]AGROPECUÁRIA!AY45</f>
        <v>0</v>
      </c>
      <c r="BI43" s="6">
        <f>[1]AGROPECUÁRIA!AZ45</f>
        <v>22740</v>
      </c>
      <c r="BJ43" s="3">
        <f>'[1]CAPITAL (UT$)'!AI45</f>
        <v>121.9480628851144</v>
      </c>
      <c r="BK43" s="6">
        <f t="shared" si="6"/>
        <v>4371120</v>
      </c>
      <c r="BL43" s="6">
        <f t="shared" si="6"/>
        <v>344000</v>
      </c>
      <c r="BM43" s="6">
        <f t="shared" si="6"/>
        <v>0</v>
      </c>
      <c r="BN43" s="6">
        <f t="shared" si="7"/>
        <v>4715120</v>
      </c>
      <c r="BO43" s="3">
        <f t="shared" si="8"/>
        <v>163.16759439476021</v>
      </c>
      <c r="BP43" s="7">
        <f t="shared" si="9"/>
        <v>412548420</v>
      </c>
      <c r="BQ43" s="2">
        <f>(BO43+V43)*[1]GLOBAL!$C$41</f>
        <v>91.781004985094739</v>
      </c>
      <c r="BR43" s="2">
        <f t="shared" si="10"/>
        <v>397.71768826874387</v>
      </c>
    </row>
    <row r="44" spans="1:70">
      <c r="A44">
        <f t="shared" si="11"/>
        <v>2017</v>
      </c>
      <c r="B44" s="1">
        <f>'[1]POPULAÇÃO (HAB)'!D45</f>
        <v>227779</v>
      </c>
      <c r="C44" s="2">
        <f>'[1]PIB (UT$)'!F45</f>
        <v>52860130.962268993</v>
      </c>
      <c r="D44" s="3">
        <f>'[1]PIB (UT$)'!G45</f>
        <v>232.06762239832906</v>
      </c>
      <c r="E44" s="1">
        <f>'[1]POPULAÇÃO (HAB)'!E45</f>
        <v>136667</v>
      </c>
      <c r="F44" s="4">
        <f>[1]IDH!B45</f>
        <v>0.81048479546204821</v>
      </c>
      <c r="G44" s="4">
        <f>[1]IDH!C45</f>
        <v>0.83393387944564812</v>
      </c>
      <c r="H44" s="4">
        <f>[1]IDH!D45</f>
        <v>1</v>
      </c>
      <c r="I44" s="4">
        <f>[1]IDH!E45</f>
        <v>0.8775910051199538</v>
      </c>
      <c r="J44" s="5">
        <f>[1]EDUCAÇÃO!B45</f>
        <v>12.509008191684721</v>
      </c>
      <c r="K44">
        <f>'[1]CLASSES SOCIAIS'!T46</f>
        <v>32803</v>
      </c>
      <c r="L44">
        <f>'[1]CLASSES SOCIAIS'!U46</f>
        <v>58198</v>
      </c>
      <c r="M44">
        <f>'[1]CLASSES SOCIAIS'!V46</f>
        <v>17198</v>
      </c>
      <c r="N44">
        <f t="shared" si="0"/>
        <v>108199</v>
      </c>
      <c r="O44" s="6">
        <f>'[1]CONSUMO RESIDENCIAL (kWh)'!B46</f>
        <v>246022500</v>
      </c>
      <c r="P44" s="6">
        <f>'[1]CONSUMO RESIDENCIAL (kWh)'!C46</f>
        <v>145495000</v>
      </c>
      <c r="Q44" s="6">
        <f>'[1]CONSUMO RESIDENCIAL (kWh)'!D46</f>
        <v>20637600</v>
      </c>
      <c r="R44" s="6">
        <f t="shared" si="1"/>
        <v>412155100</v>
      </c>
      <c r="S44" s="2">
        <f>'[1]CLASSES SOCIAIS'!AL46</f>
        <v>115.09333333333333</v>
      </c>
      <c r="T44" s="2">
        <f>'[1]CLASSES SOCIAIS'!AM46</f>
        <v>27.225777777777779</v>
      </c>
      <c r="U44" s="2">
        <f>'[1]CLASSES SOCIAIS'!AN46</f>
        <v>2.4137333333333335</v>
      </c>
      <c r="V44" s="2">
        <f>'[1]CLASSES SOCIAIS'!AO46</f>
        <v>144.73284444444445</v>
      </c>
      <c r="W44">
        <f>[1]INDÚSTRIAS!F46</f>
        <v>140</v>
      </c>
      <c r="X44">
        <f>[1]INDÚSTRIAS!G46</f>
        <v>1</v>
      </c>
      <c r="Y44">
        <f>[1]INDÚSTRIAS!H46</f>
        <v>0</v>
      </c>
      <c r="Z44">
        <f t="shared" si="2"/>
        <v>141</v>
      </c>
      <c r="AA44" s="2">
        <f>'[1]PIB (UT$)'!B45</f>
        <v>10401391.80063111</v>
      </c>
      <c r="AB44" s="6">
        <f>[1]INDÚSTRIAS!AW46</f>
        <v>3444000</v>
      </c>
      <c r="AC44" s="6">
        <f>[1]INDÚSTRIAS!AX46</f>
        <v>243000</v>
      </c>
      <c r="AD44" s="6">
        <f>[1]INDÚSTRIAS!AY46</f>
        <v>0</v>
      </c>
      <c r="AE44" s="6">
        <f>[1]INDÚSTRIAS!AZ46</f>
        <v>3687000</v>
      </c>
      <c r="AF44" s="3">
        <f>'[1]CAPITAL (UT$)'!AF46</f>
        <v>41.735263508612199</v>
      </c>
      <c r="AG44">
        <f>[1]SERVIÇOS!F46</f>
        <v>140</v>
      </c>
      <c r="AH44">
        <f>[1]SERVIÇOS!G46</f>
        <v>1</v>
      </c>
      <c r="AI44">
        <f>[1]SERVIÇOS!H46</f>
        <v>0</v>
      </c>
      <c r="AJ44">
        <f t="shared" si="3"/>
        <v>141</v>
      </c>
      <c r="AK44" s="2">
        <f>'[1]PIB (UT$)'!C45</f>
        <v>42416848.397036128</v>
      </c>
      <c r="AL44" s="6">
        <f>[1]SERVIÇOS!AW46</f>
        <v>1092000</v>
      </c>
      <c r="AM44" s="6">
        <f>[1]SERVIÇOS!AX46</f>
        <v>97000</v>
      </c>
      <c r="AN44" s="6">
        <f>[1]SERVIÇOS!AY46</f>
        <v>0</v>
      </c>
      <c r="AO44" s="6">
        <f>[1]SERVIÇOS!AZ46</f>
        <v>1189000</v>
      </c>
      <c r="AP44" s="3">
        <f>'[1]CAPITAL (UT$)'!AG46</f>
        <v>1.2139862173155953</v>
      </c>
      <c r="AQ44">
        <f>[1]MINERAÇÃO!F46</f>
        <v>0</v>
      </c>
      <c r="AR44">
        <f>[1]MINERAÇÃO!G46</f>
        <v>0</v>
      </c>
      <c r="AS44">
        <f>[1]MINERAÇÃO!H46</f>
        <v>0</v>
      </c>
      <c r="AT44">
        <f t="shared" si="4"/>
        <v>0</v>
      </c>
      <c r="AU44" s="2">
        <f>'[1]PIB (UT$)'!D45</f>
        <v>0</v>
      </c>
      <c r="AV44" s="6">
        <f>[1]MINERAÇÃO!AW46</f>
        <v>0</v>
      </c>
      <c r="AW44" s="6">
        <f>[1]MINERAÇÃO!AX46</f>
        <v>0</v>
      </c>
      <c r="AX44" s="6">
        <f>[1]MINERAÇÃO!AY46</f>
        <v>0</v>
      </c>
      <c r="AY44" s="6">
        <f>[1]MINERAÇÃO!AZ46</f>
        <v>0</v>
      </c>
      <c r="AZ44" s="3">
        <f>'[1]CAPITAL (UT$)'!AH46</f>
        <v>0</v>
      </c>
      <c r="BA44">
        <f>[1]AGROPECUÁRIA!F46</f>
        <v>3</v>
      </c>
      <c r="BB44">
        <f>[1]AGROPECUÁRIA!G46</f>
        <v>0</v>
      </c>
      <c r="BC44">
        <f>[1]AGROPECUÁRIA!H46</f>
        <v>0</v>
      </c>
      <c r="BD44">
        <f t="shared" si="5"/>
        <v>3</v>
      </c>
      <c r="BE44" s="2">
        <f>'[1]PIB (UT$)'!E45</f>
        <v>41890.764601754294</v>
      </c>
      <c r="BF44" s="6">
        <f>[1]AGROPECUÁRIA!AW46</f>
        <v>17325</v>
      </c>
      <c r="BG44" s="6">
        <f>[1]AGROPECUÁRIA!AX46</f>
        <v>0</v>
      </c>
      <c r="BH44" s="6">
        <f>[1]AGROPECUÁRIA!AY46</f>
        <v>0</v>
      </c>
      <c r="BI44" s="6">
        <f>[1]AGROPECUÁRIA!AZ46</f>
        <v>17325</v>
      </c>
      <c r="BJ44" s="3">
        <f>'[1]CAPITAL (UT$)'!AI46</f>
        <v>126.76539898454159</v>
      </c>
      <c r="BK44" s="6">
        <f t="shared" si="6"/>
        <v>4553325</v>
      </c>
      <c r="BL44" s="6">
        <f t="shared" si="6"/>
        <v>340000</v>
      </c>
      <c r="BM44" s="6">
        <f t="shared" si="6"/>
        <v>0</v>
      </c>
      <c r="BN44" s="6">
        <f t="shared" si="7"/>
        <v>4893325</v>
      </c>
      <c r="BO44" s="3">
        <f t="shared" si="8"/>
        <v>169.71464871046939</v>
      </c>
      <c r="BP44" s="7">
        <f t="shared" si="9"/>
        <v>417048425</v>
      </c>
      <c r="BQ44" s="2">
        <f>(BO44+V44)*[1]GLOBAL!$C$41</f>
        <v>94.33424794647415</v>
      </c>
      <c r="BR44" s="2">
        <f t="shared" si="10"/>
        <v>408.78174110138798</v>
      </c>
    </row>
    <row r="45" spans="1:70">
      <c r="A45">
        <f t="shared" si="11"/>
        <v>2018</v>
      </c>
      <c r="B45" s="1">
        <f>'[1]POPULAÇÃO (HAB)'!D46</f>
        <v>228576</v>
      </c>
      <c r="C45" s="2">
        <f>'[1]PIB (UT$)'!F46</f>
        <v>54729428.070814341</v>
      </c>
      <c r="D45" s="3">
        <f>'[1]PIB (UT$)'!G46</f>
        <v>239.43645908063112</v>
      </c>
      <c r="E45" s="1">
        <f>'[1]POPULAÇÃO (HAB)'!E46</f>
        <v>137145</v>
      </c>
      <c r="F45" s="4">
        <f>[1]IDH!B46</f>
        <v>0.81428047661822522</v>
      </c>
      <c r="G45" s="4">
        <f>[1]IDH!C46</f>
        <v>0.8378313877805369</v>
      </c>
      <c r="H45" s="4">
        <f>[1]IDH!D46</f>
        <v>1</v>
      </c>
      <c r="I45" s="4">
        <f>[1]IDH!E46</f>
        <v>0.88032604213662691</v>
      </c>
      <c r="J45" s="5">
        <f>[1]EDUCAÇÃO!B46</f>
        <v>12.567470816708054</v>
      </c>
      <c r="K45">
        <f>'[1]CLASSES SOCIAIS'!T47</f>
        <v>33362</v>
      </c>
      <c r="L45">
        <f>'[1]CLASSES SOCIAIS'!U47</f>
        <v>58366</v>
      </c>
      <c r="M45">
        <f>'[1]CLASSES SOCIAIS'!V47</f>
        <v>16896</v>
      </c>
      <c r="N45">
        <f t="shared" si="0"/>
        <v>108624</v>
      </c>
      <c r="O45" s="6">
        <f>'[1]CONSUMO RESIDENCIAL (kWh)'!B47</f>
        <v>250215000</v>
      </c>
      <c r="P45" s="6">
        <f>'[1]CONSUMO RESIDENCIAL (kWh)'!C47</f>
        <v>145915000</v>
      </c>
      <c r="Q45" s="6">
        <f>'[1]CONSUMO RESIDENCIAL (kWh)'!D47</f>
        <v>20275200</v>
      </c>
      <c r="R45" s="6">
        <f t="shared" si="1"/>
        <v>416405200</v>
      </c>
      <c r="S45" s="2">
        <f>'[1]CLASSES SOCIAIS'!AL47</f>
        <v>117.00333333333333</v>
      </c>
      <c r="T45" s="2">
        <f>'[1]CLASSES SOCIAIS'!AM47</f>
        <v>27.293111111111113</v>
      </c>
      <c r="U45" s="2">
        <f>'[1]CLASSES SOCIAIS'!AN47</f>
        <v>2.3702000000000001</v>
      </c>
      <c r="V45" s="2">
        <f>'[1]CLASSES SOCIAIS'!AO47</f>
        <v>146.66664444444444</v>
      </c>
      <c r="W45">
        <f>[1]INDÚSTRIAS!F47</f>
        <v>142</v>
      </c>
      <c r="X45">
        <f>[1]INDÚSTRIAS!G47</f>
        <v>1</v>
      </c>
      <c r="Y45">
        <f>[1]INDÚSTRIAS!H47</f>
        <v>0</v>
      </c>
      <c r="Z45">
        <f t="shared" si="2"/>
        <v>143</v>
      </c>
      <c r="AA45" s="2">
        <f>'[1]PIB (UT$)'!B46</f>
        <v>10638885.861903127</v>
      </c>
      <c r="AB45" s="6">
        <f>[1]INDÚSTRIAS!AW47</f>
        <v>3464800</v>
      </c>
      <c r="AC45" s="6">
        <f>[1]INDÚSTRIAS!AX47</f>
        <v>248000</v>
      </c>
      <c r="AD45" s="6">
        <f>[1]INDÚSTRIAS!AY47</f>
        <v>0</v>
      </c>
      <c r="AE45" s="6">
        <f>[1]INDÚSTRIAS!AZ47</f>
        <v>3712800</v>
      </c>
      <c r="AF45" s="3">
        <f>'[1]CAPITAL (UT$)'!AF47</f>
        <v>43.459958175076984</v>
      </c>
      <c r="AG45">
        <f>[1]SERVIÇOS!F47</f>
        <v>142</v>
      </c>
      <c r="AH45">
        <f>[1]SERVIÇOS!G47</f>
        <v>1</v>
      </c>
      <c r="AI45">
        <f>[1]SERVIÇOS!H47</f>
        <v>0</v>
      </c>
      <c r="AJ45">
        <f t="shared" si="3"/>
        <v>143</v>
      </c>
      <c r="AK45" s="2">
        <f>'[1]PIB (UT$)'!C46</f>
        <v>44051492.160060115</v>
      </c>
      <c r="AL45" s="6">
        <f>[1]SERVIÇOS!AW47</f>
        <v>1101920</v>
      </c>
      <c r="AM45" s="6">
        <f>[1]SERVIÇOS!AX47</f>
        <v>97000</v>
      </c>
      <c r="AN45" s="6">
        <f>[1]SERVIÇOS!AY47</f>
        <v>0</v>
      </c>
      <c r="AO45" s="6">
        <f>[1]SERVIÇOS!AZ47</f>
        <v>1198920</v>
      </c>
      <c r="AP45" s="3">
        <f>'[1]CAPITAL (UT$)'!AG47</f>
        <v>1.2656668490665759</v>
      </c>
      <c r="AQ45">
        <f>[1]MINERAÇÃO!F47</f>
        <v>0</v>
      </c>
      <c r="AR45">
        <f>[1]MINERAÇÃO!G47</f>
        <v>0</v>
      </c>
      <c r="AS45">
        <f>[1]MINERAÇÃO!H47</f>
        <v>0</v>
      </c>
      <c r="AT45">
        <f t="shared" si="4"/>
        <v>0</v>
      </c>
      <c r="AU45" s="2">
        <f>'[1]PIB (UT$)'!D46</f>
        <v>0</v>
      </c>
      <c r="AV45" s="6">
        <f>[1]MINERAÇÃO!AW47</f>
        <v>0</v>
      </c>
      <c r="AW45" s="6">
        <f>[1]MINERAÇÃO!AX47</f>
        <v>0</v>
      </c>
      <c r="AX45" s="6">
        <f>[1]MINERAÇÃO!AY47</f>
        <v>0</v>
      </c>
      <c r="AY45" s="6">
        <f>[1]MINERAÇÃO!AZ47</f>
        <v>0</v>
      </c>
      <c r="AZ45" s="3">
        <f>'[1]CAPITAL (UT$)'!AH47</f>
        <v>0</v>
      </c>
      <c r="BA45">
        <f>[1]AGROPECUÁRIA!F47</f>
        <v>3</v>
      </c>
      <c r="BB45">
        <f>[1]AGROPECUÁRIA!G47</f>
        <v>0</v>
      </c>
      <c r="BC45">
        <f>[1]AGROPECUÁRIA!H47</f>
        <v>0</v>
      </c>
      <c r="BD45">
        <f t="shared" si="5"/>
        <v>3</v>
      </c>
      <c r="BE45" s="2">
        <f>'[1]PIB (UT$)'!E46</f>
        <v>39050.048851102256</v>
      </c>
      <c r="BF45" s="6">
        <f>[1]AGROPECUÁRIA!AW47</f>
        <v>16650</v>
      </c>
      <c r="BG45" s="6">
        <f>[1]AGROPECUÁRIA!AX47</f>
        <v>0</v>
      </c>
      <c r="BH45" s="6">
        <f>[1]AGROPECUÁRIA!AY47</f>
        <v>0</v>
      </c>
      <c r="BI45" s="6">
        <f>[1]AGROPECUÁRIA!AZ47</f>
        <v>16650</v>
      </c>
      <c r="BJ45" s="3">
        <f>'[1]CAPITAL (UT$)'!AI47</f>
        <v>131.70890274017711</v>
      </c>
      <c r="BK45" s="6">
        <f t="shared" si="6"/>
        <v>4583370</v>
      </c>
      <c r="BL45" s="6">
        <f t="shared" si="6"/>
        <v>345000</v>
      </c>
      <c r="BM45" s="6">
        <f t="shared" si="6"/>
        <v>0</v>
      </c>
      <c r="BN45" s="6">
        <f t="shared" si="7"/>
        <v>4928370</v>
      </c>
      <c r="BO45" s="3">
        <f t="shared" si="8"/>
        <v>176.43452776432068</v>
      </c>
      <c r="BP45" s="7">
        <f t="shared" si="9"/>
        <v>421333570</v>
      </c>
      <c r="BQ45" s="2">
        <f>(BO45+V45)*[1]GLOBAL!$C$41</f>
        <v>96.930351662629519</v>
      </c>
      <c r="BR45" s="2">
        <f t="shared" si="10"/>
        <v>420.0315238713946</v>
      </c>
    </row>
    <row r="46" spans="1:70">
      <c r="A46">
        <f t="shared" si="11"/>
        <v>2019</v>
      </c>
      <c r="B46" s="1">
        <f>'[1]POPULAÇÃO (HAB)'!D47</f>
        <v>229376</v>
      </c>
      <c r="C46" s="2">
        <f>'[1]PIB (UT$)'!F47</f>
        <v>56645240.856385626</v>
      </c>
      <c r="D46" s="3">
        <f>'[1]PIB (UT$)'!G47</f>
        <v>246.95365189202718</v>
      </c>
      <c r="E46" s="1">
        <f>'[1]POPULAÇÃO (HAB)'!E47</f>
        <v>137625</v>
      </c>
      <c r="F46" s="4">
        <f>[1]IDH!B47</f>
        <v>0.81799736421372793</v>
      </c>
      <c r="G46" s="4">
        <f>[1]IDH!C47</f>
        <v>0.8415760726277064</v>
      </c>
      <c r="H46" s="4">
        <f>[1]IDH!D47</f>
        <v>1</v>
      </c>
      <c r="I46" s="4">
        <f>[1]IDH!E47</f>
        <v>0.88297504156345064</v>
      </c>
      <c r="J46" s="5">
        <f>[1]EDUCAÇÃO!B47</f>
        <v>12.623641089415596</v>
      </c>
      <c r="K46">
        <f>'[1]CLASSES SOCIAIS'!T48</f>
        <v>33910</v>
      </c>
      <c r="L46">
        <f>'[1]CLASSES SOCIAIS'!U48</f>
        <v>58531</v>
      </c>
      <c r="M46">
        <f>'[1]CLASSES SOCIAIS'!V48</f>
        <v>16600</v>
      </c>
      <c r="N46">
        <f t="shared" si="0"/>
        <v>109041</v>
      </c>
      <c r="O46" s="6">
        <f>'[1]CONSUMO RESIDENCIAL (kWh)'!B48</f>
        <v>254325000</v>
      </c>
      <c r="P46" s="6">
        <f>'[1]CONSUMO RESIDENCIAL (kWh)'!C48</f>
        <v>146327500</v>
      </c>
      <c r="Q46" s="6">
        <f>'[1]CONSUMO RESIDENCIAL (kWh)'!D48</f>
        <v>19920000</v>
      </c>
      <c r="R46" s="6">
        <f t="shared" si="1"/>
        <v>420572500</v>
      </c>
      <c r="S46" s="2">
        <f>'[1]CLASSES SOCIAIS'!AL48</f>
        <v>118.88500000000001</v>
      </c>
      <c r="T46" s="2">
        <f>'[1]CLASSES SOCIAIS'!AM48</f>
        <v>27.360666666666667</v>
      </c>
      <c r="U46" s="2">
        <f>'[1]CLASSES SOCIAIS'!AN48</f>
        <v>2.3279999999999998</v>
      </c>
      <c r="V46" s="2">
        <f>'[1]CLASSES SOCIAIS'!AO48</f>
        <v>148.57366666666667</v>
      </c>
      <c r="W46">
        <f>[1]INDÚSTRIAS!F48</f>
        <v>145</v>
      </c>
      <c r="X46">
        <f>[1]INDÚSTRIAS!G48</f>
        <v>1</v>
      </c>
      <c r="Y46">
        <f>[1]INDÚSTRIAS!H48</f>
        <v>0</v>
      </c>
      <c r="Z46">
        <f t="shared" si="2"/>
        <v>146</v>
      </c>
      <c r="AA46" s="2">
        <f>'[1]PIB (UT$)'!B47</f>
        <v>10875393.99949527</v>
      </c>
      <c r="AB46" s="6">
        <f>[1]INDÚSTRIAS!AW48</f>
        <v>3494500</v>
      </c>
      <c r="AC46" s="6">
        <f>[1]INDÚSTRIAS!AX48</f>
        <v>246000</v>
      </c>
      <c r="AD46" s="6">
        <f>[1]INDÚSTRIAS!AY48</f>
        <v>0</v>
      </c>
      <c r="AE46" s="6">
        <f>[1]INDÚSTRIAS!AZ48</f>
        <v>3740500</v>
      </c>
      <c r="AF46" s="3">
        <f>'[1]CAPITAL (UT$)'!AF48</f>
        <v>45.230714930237511</v>
      </c>
      <c r="AG46">
        <f>[1]SERVIÇOS!F48</f>
        <v>145</v>
      </c>
      <c r="AH46">
        <f>[1]SERVIÇOS!G48</f>
        <v>1</v>
      </c>
      <c r="AI46">
        <f>[1]SERVIÇOS!H48</f>
        <v>0</v>
      </c>
      <c r="AJ46">
        <f t="shared" si="3"/>
        <v>146</v>
      </c>
      <c r="AK46" s="2">
        <f>'[1]PIB (UT$)'!C47</f>
        <v>45733744.258122653</v>
      </c>
      <c r="AL46" s="6">
        <f>[1]SERVIÇOS!AW48</f>
        <v>1102000</v>
      </c>
      <c r="AM46" s="6">
        <f>[1]SERVIÇOS!AX48</f>
        <v>98000</v>
      </c>
      <c r="AN46" s="6">
        <f>[1]SERVIÇOS!AY48</f>
        <v>0</v>
      </c>
      <c r="AO46" s="6">
        <f>[1]SERVIÇOS!AZ48</f>
        <v>1200000</v>
      </c>
      <c r="AP46" s="3">
        <f>'[1]CAPITAL (UT$)'!AG48</f>
        <v>1.3189125570459359</v>
      </c>
      <c r="AQ46">
        <f>[1]MINERAÇÃO!F48</f>
        <v>0</v>
      </c>
      <c r="AR46">
        <f>[1]MINERAÇÃO!G48</f>
        <v>0</v>
      </c>
      <c r="AS46">
        <f>[1]MINERAÇÃO!H48</f>
        <v>0</v>
      </c>
      <c r="AT46">
        <f t="shared" si="4"/>
        <v>0</v>
      </c>
      <c r="AU46" s="2">
        <f>'[1]PIB (UT$)'!D47</f>
        <v>0</v>
      </c>
      <c r="AV46" s="6">
        <f>[1]MINERAÇÃO!AW48</f>
        <v>0</v>
      </c>
      <c r="AW46" s="6">
        <f>[1]MINERAÇÃO!AX48</f>
        <v>0</v>
      </c>
      <c r="AX46" s="6">
        <f>[1]MINERAÇÃO!AY48</f>
        <v>0</v>
      </c>
      <c r="AY46" s="6">
        <f>[1]MINERAÇÃO!AZ48</f>
        <v>0</v>
      </c>
      <c r="AZ46" s="3">
        <f>'[1]CAPITAL (UT$)'!AH48</f>
        <v>0</v>
      </c>
      <c r="BA46">
        <f>[1]AGROPECUÁRIA!F48</f>
        <v>3</v>
      </c>
      <c r="BB46">
        <f>[1]AGROPECUÁRIA!G48</f>
        <v>0</v>
      </c>
      <c r="BC46">
        <f>[1]AGROPECUÁRIA!H48</f>
        <v>0</v>
      </c>
      <c r="BD46">
        <f t="shared" si="5"/>
        <v>3</v>
      </c>
      <c r="BE46" s="2">
        <f>'[1]PIB (UT$)'!E47</f>
        <v>36102.59876770687</v>
      </c>
      <c r="BF46" s="6">
        <f>[1]AGROPECUÁRIA!AW48</f>
        <v>17055</v>
      </c>
      <c r="BG46" s="6">
        <f>[1]AGROPECUÁRIA!AX48</f>
        <v>0</v>
      </c>
      <c r="BH46" s="6">
        <f>[1]AGROPECUÁRIA!AY48</f>
        <v>0</v>
      </c>
      <c r="BI46" s="6">
        <f>[1]AGROPECUÁRIA!AZ48</f>
        <v>17055</v>
      </c>
      <c r="BJ46" s="3">
        <f>'[1]CAPITAL (UT$)'!AI48</f>
        <v>136.78115515643086</v>
      </c>
      <c r="BK46" s="6">
        <f t="shared" si="6"/>
        <v>4613555</v>
      </c>
      <c r="BL46" s="6">
        <f t="shared" si="6"/>
        <v>344000</v>
      </c>
      <c r="BM46" s="6">
        <f t="shared" si="6"/>
        <v>0</v>
      </c>
      <c r="BN46" s="6">
        <f t="shared" si="7"/>
        <v>4957555</v>
      </c>
      <c r="BO46" s="3">
        <f t="shared" si="8"/>
        <v>183.33078264371431</v>
      </c>
      <c r="BP46" s="7">
        <f t="shared" si="9"/>
        <v>425530055</v>
      </c>
      <c r="BQ46" s="2">
        <f>(BO46+V46)*[1]GLOBAL!$C$41</f>
        <v>99.571334793114289</v>
      </c>
      <c r="BR46" s="2">
        <f t="shared" si="10"/>
        <v>431.47578410349524</v>
      </c>
    </row>
    <row r="47" spans="1:70">
      <c r="A47">
        <f t="shared" si="11"/>
        <v>2020</v>
      </c>
      <c r="B47" s="1">
        <f>'[1]POPULAÇÃO (HAB)'!D48</f>
        <v>230178</v>
      </c>
      <c r="C47" s="2">
        <f>'[1]PIB (UT$)'!F48</f>
        <v>58608226.798684202</v>
      </c>
      <c r="D47" s="3">
        <f>'[1]PIB (UT$)'!G48</f>
        <v>254.62132262285797</v>
      </c>
      <c r="E47" s="1">
        <f>'[1]POPULAÇÃO (HAB)'!E48</f>
        <v>138106</v>
      </c>
      <c r="F47" s="4">
        <f>[1]IDH!B48</f>
        <v>0.82163700086813929</v>
      </c>
      <c r="G47" s="4">
        <f>[1]IDH!C48</f>
        <v>0.84517392628182053</v>
      </c>
      <c r="H47" s="4">
        <f>[1]IDH!D48</f>
        <v>1</v>
      </c>
      <c r="I47" s="4">
        <f>[1]IDH!E48</f>
        <v>0.8855410397869552</v>
      </c>
      <c r="J47" s="5">
        <f>[1]EDUCAÇÃO!B48</f>
        <v>12.677608894227308</v>
      </c>
      <c r="K47">
        <f>'[1]CLASSES SOCIAIS'!T49</f>
        <v>34448</v>
      </c>
      <c r="L47">
        <f>'[1]CLASSES SOCIAIS'!U49</f>
        <v>58694</v>
      </c>
      <c r="M47">
        <f>'[1]CLASSES SOCIAIS'!V49</f>
        <v>16313</v>
      </c>
      <c r="N47">
        <f t="shared" si="0"/>
        <v>109455</v>
      </c>
      <c r="O47" s="6">
        <f>'[1]CONSUMO RESIDENCIAL (kWh)'!B49</f>
        <v>258360000</v>
      </c>
      <c r="P47" s="6">
        <f>'[1]CONSUMO RESIDENCIAL (kWh)'!C49</f>
        <v>146735000</v>
      </c>
      <c r="Q47" s="6">
        <f>'[1]CONSUMO RESIDENCIAL (kWh)'!D49</f>
        <v>19575600</v>
      </c>
      <c r="R47" s="6">
        <f t="shared" si="1"/>
        <v>424670600</v>
      </c>
      <c r="S47" s="2">
        <f>'[1]CLASSES SOCIAIS'!AL49</f>
        <v>120.73666666666666</v>
      </c>
      <c r="T47" s="2">
        <f>'[1]CLASSES SOCIAIS'!AM49</f>
        <v>27.428666666666668</v>
      </c>
      <c r="U47" s="2">
        <f>'[1]CLASSES SOCIAIS'!AN49</f>
        <v>2.2869999999999999</v>
      </c>
      <c r="V47" s="2">
        <f>'[1]CLASSES SOCIAIS'!AO49</f>
        <v>150.45233333333334</v>
      </c>
      <c r="W47">
        <f>[1]INDÚSTRIAS!F49</f>
        <v>148</v>
      </c>
      <c r="X47">
        <f>[1]INDÚSTRIAS!G49</f>
        <v>1</v>
      </c>
      <c r="Y47">
        <f>[1]INDÚSTRIAS!H49</f>
        <v>0</v>
      </c>
      <c r="Z47">
        <f t="shared" si="2"/>
        <v>149</v>
      </c>
      <c r="AA47" s="2">
        <f>'[1]PIB (UT$)'!B48</f>
        <v>11110642.752073186</v>
      </c>
      <c r="AB47" s="6">
        <f>[1]INDÚSTRIAS!AW49</f>
        <v>3566800</v>
      </c>
      <c r="AC47" s="6">
        <f>[1]INDÚSTRIAS!AX49</f>
        <v>243000</v>
      </c>
      <c r="AD47" s="6">
        <f>[1]INDÚSTRIAS!AY49</f>
        <v>0</v>
      </c>
      <c r="AE47" s="6">
        <f>[1]INDÚSTRIAS!AZ49</f>
        <v>3809800</v>
      </c>
      <c r="AF47" s="3">
        <f>'[1]CAPITAL (UT$)'!AF49</f>
        <v>47.048491302934103</v>
      </c>
      <c r="AG47">
        <f>[1]SERVIÇOS!F49</f>
        <v>148</v>
      </c>
      <c r="AH47">
        <f>[1]SERVIÇOS!G49</f>
        <v>1</v>
      </c>
      <c r="AI47">
        <f>[1]SERVIÇOS!H49</f>
        <v>0</v>
      </c>
      <c r="AJ47">
        <f t="shared" si="3"/>
        <v>149</v>
      </c>
      <c r="AK47" s="2">
        <f>'[1]PIB (UT$)'!C48</f>
        <v>47464540.074965432</v>
      </c>
      <c r="AL47" s="6">
        <f>[1]SERVIÇOS!AW49</f>
        <v>1160320</v>
      </c>
      <c r="AM47" s="6">
        <f>[1]SERVIÇOS!AX49</f>
        <v>96500</v>
      </c>
      <c r="AN47" s="6">
        <f>[1]SERVIÇOS!AY49</f>
        <v>0</v>
      </c>
      <c r="AO47" s="6">
        <f>[1]SERVIÇOS!AZ49</f>
        <v>1256820</v>
      </c>
      <c r="AP47" s="3">
        <f>'[1]CAPITAL (UT$)'!AG49</f>
        <v>1.3737539150952007</v>
      </c>
      <c r="AQ47">
        <f>[1]MINERAÇÃO!F49</f>
        <v>0</v>
      </c>
      <c r="AR47">
        <f>[1]MINERAÇÃO!G49</f>
        <v>0</v>
      </c>
      <c r="AS47">
        <f>[1]MINERAÇÃO!H49</f>
        <v>0</v>
      </c>
      <c r="AT47">
        <f t="shared" si="4"/>
        <v>0</v>
      </c>
      <c r="AU47" s="2">
        <f>'[1]PIB (UT$)'!D48</f>
        <v>0</v>
      </c>
      <c r="AV47" s="6">
        <f>[1]MINERAÇÃO!AW49</f>
        <v>0</v>
      </c>
      <c r="AW47" s="6">
        <f>[1]MINERAÇÃO!AX49</f>
        <v>0</v>
      </c>
      <c r="AX47" s="6">
        <f>[1]MINERAÇÃO!AY49</f>
        <v>0</v>
      </c>
      <c r="AY47" s="6">
        <f>[1]MINERAÇÃO!AZ49</f>
        <v>0</v>
      </c>
      <c r="AZ47" s="3">
        <f>'[1]CAPITAL (UT$)'!AH49</f>
        <v>0</v>
      </c>
      <c r="BA47">
        <f>[1]AGROPECUÁRIA!F49</f>
        <v>3</v>
      </c>
      <c r="BB47">
        <f>[1]AGROPECUÁRIA!G49</f>
        <v>0</v>
      </c>
      <c r="BC47">
        <f>[1]AGROPECUÁRIA!H49</f>
        <v>0</v>
      </c>
      <c r="BD47">
        <f t="shared" si="5"/>
        <v>3</v>
      </c>
      <c r="BE47" s="2">
        <f>'[1]PIB (UT$)'!E48</f>
        <v>33043.971645584359</v>
      </c>
      <c r="BF47" s="6">
        <f>[1]AGROPECUÁRIA!AW49</f>
        <v>17190</v>
      </c>
      <c r="BG47" s="6">
        <f>[1]AGROPECUÁRIA!AX49</f>
        <v>0</v>
      </c>
      <c r="BH47" s="6">
        <f>[1]AGROPECUÁRIA!AY49</f>
        <v>0</v>
      </c>
      <c r="BI47" s="6">
        <f>[1]AGROPECUÁRIA!AZ49</f>
        <v>17190</v>
      </c>
      <c r="BJ47" s="3">
        <f>'[1]CAPITAL (UT$)'!AI49</f>
        <v>141.98478659291629</v>
      </c>
      <c r="BK47" s="6">
        <f t="shared" si="6"/>
        <v>4744310</v>
      </c>
      <c r="BL47" s="6">
        <f t="shared" si="6"/>
        <v>339500</v>
      </c>
      <c r="BM47" s="6">
        <f t="shared" si="6"/>
        <v>0</v>
      </c>
      <c r="BN47" s="6">
        <f t="shared" si="7"/>
        <v>5083810</v>
      </c>
      <c r="BO47" s="3">
        <f t="shared" si="8"/>
        <v>190.4070318109456</v>
      </c>
      <c r="BP47" s="7">
        <f t="shared" si="9"/>
        <v>429754410</v>
      </c>
      <c r="BQ47" s="2">
        <f>(BO47+V47)*[1]GLOBAL!$C$41</f>
        <v>102.25780954328368</v>
      </c>
      <c r="BR47" s="2">
        <f t="shared" si="10"/>
        <v>443.11717468756262</v>
      </c>
    </row>
    <row r="48" spans="1:70">
      <c r="A48">
        <f t="shared" si="11"/>
        <v>2021</v>
      </c>
      <c r="B48" s="1">
        <f>'[1]POPULAÇÃO (HAB)'!D49</f>
        <v>230983</v>
      </c>
      <c r="C48" s="2">
        <f>'[1]PIB (UT$)'!F49</f>
        <v>60619608.191674955</v>
      </c>
      <c r="D48" s="3">
        <f>'[1]PIB (UT$)'!G49</f>
        <v>262.44186018743784</v>
      </c>
      <c r="E48" s="1">
        <f>'[1]POPULAÇÃO (HAB)'!E49</f>
        <v>138589</v>
      </c>
      <c r="F48" s="4">
        <f>[1]IDH!B49</f>
        <v>0.82520127089507933</v>
      </c>
      <c r="G48" s="4">
        <f>[1]IDH!C49</f>
        <v>0.84863070607630897</v>
      </c>
      <c r="H48" s="4">
        <f>[1]IDH!D49</f>
        <v>1</v>
      </c>
      <c r="I48" s="4">
        <f>[1]IDH!E49</f>
        <v>0.88802708080590764</v>
      </c>
      <c r="J48" s="5">
        <f>[1]EDUCAÇÃO!B49</f>
        <v>12.729460591144635</v>
      </c>
      <c r="K48">
        <f>'[1]CLASSES SOCIAIS'!T50</f>
        <v>34977</v>
      </c>
      <c r="L48">
        <f>'[1]CLASSES SOCIAIS'!U50</f>
        <v>58855</v>
      </c>
      <c r="M48">
        <f>'[1]CLASSES SOCIAIS'!V50</f>
        <v>16033</v>
      </c>
      <c r="N48">
        <f t="shared" si="0"/>
        <v>109865</v>
      </c>
      <c r="O48" s="6">
        <f>'[1]CONSUMO RESIDENCIAL (kWh)'!B50</f>
        <v>262327500</v>
      </c>
      <c r="P48" s="6">
        <f>'[1]CONSUMO RESIDENCIAL (kWh)'!C50</f>
        <v>147137500</v>
      </c>
      <c r="Q48" s="6">
        <f>'[1]CONSUMO RESIDENCIAL (kWh)'!D50</f>
        <v>19239600</v>
      </c>
      <c r="R48" s="6">
        <f t="shared" si="1"/>
        <v>428704600</v>
      </c>
      <c r="S48" s="2">
        <f>'[1]CLASSES SOCIAIS'!AL50</f>
        <v>122.56</v>
      </c>
      <c r="T48" s="2">
        <f>'[1]CLASSES SOCIAIS'!AM50</f>
        <v>27.497333333333334</v>
      </c>
      <c r="U48" s="2">
        <f>'[1]CLASSES SOCIAIS'!AN50</f>
        <v>2.2471999999999999</v>
      </c>
      <c r="V48" s="2">
        <f>'[1]CLASSES SOCIAIS'!AO50</f>
        <v>152.30453333333332</v>
      </c>
      <c r="W48">
        <f>[1]INDÚSTRIAS!F50</f>
        <v>150</v>
      </c>
      <c r="X48">
        <f>[1]INDÚSTRIAS!G50</f>
        <v>1</v>
      </c>
      <c r="Y48">
        <f>[1]INDÚSTRIAS!H50</f>
        <v>0</v>
      </c>
      <c r="Z48">
        <f t="shared" si="2"/>
        <v>151</v>
      </c>
      <c r="AA48" s="2">
        <f>'[1]PIB (UT$)'!B49</f>
        <v>11344429.34388984</v>
      </c>
      <c r="AB48" s="6">
        <f>[1]INDÚSTRIAS!AW50</f>
        <v>3675000</v>
      </c>
      <c r="AC48" s="6">
        <f>[1]INDÚSTRIAS!AX50</f>
        <v>246000</v>
      </c>
      <c r="AD48" s="6">
        <f>[1]INDÚSTRIAS!AY50</f>
        <v>0</v>
      </c>
      <c r="AE48" s="6">
        <f>[1]INDÚSTRIAS!AZ50</f>
        <v>3921000</v>
      </c>
      <c r="AF48" s="3">
        <f>'[1]CAPITAL (UT$)'!AF50</f>
        <v>48.914239968652794</v>
      </c>
      <c r="AG48">
        <f>[1]SERVIÇOS!F50</f>
        <v>150</v>
      </c>
      <c r="AH48">
        <f>[1]SERVIÇOS!G50</f>
        <v>1</v>
      </c>
      <c r="AI48">
        <f>[1]SERVIÇOS!H50</f>
        <v>0</v>
      </c>
      <c r="AJ48">
        <f t="shared" si="3"/>
        <v>151</v>
      </c>
      <c r="AK48" s="2">
        <f>'[1]PIB (UT$)'!C49</f>
        <v>49245309.772212684</v>
      </c>
      <c r="AL48" s="6">
        <f>[1]SERVIÇOS!AW50</f>
        <v>1182000</v>
      </c>
      <c r="AM48" s="6">
        <f>[1]SERVIÇOS!AX50</f>
        <v>96500</v>
      </c>
      <c r="AN48" s="6">
        <f>[1]SERVIÇOS!AY50</f>
        <v>0</v>
      </c>
      <c r="AO48" s="6">
        <f>[1]SERVIÇOS!AZ50</f>
        <v>1278500</v>
      </c>
      <c r="AP48" s="3">
        <f>'[1]CAPITAL (UT$)'!AG50</f>
        <v>1.4302216756401513</v>
      </c>
      <c r="AQ48">
        <f>[1]MINERAÇÃO!F50</f>
        <v>0</v>
      </c>
      <c r="AR48">
        <f>[1]MINERAÇÃO!G50</f>
        <v>0</v>
      </c>
      <c r="AS48">
        <f>[1]MINERAÇÃO!H50</f>
        <v>0</v>
      </c>
      <c r="AT48">
        <f t="shared" si="4"/>
        <v>0</v>
      </c>
      <c r="AU48" s="2">
        <f>'[1]PIB (UT$)'!D49</f>
        <v>0</v>
      </c>
      <c r="AV48" s="6">
        <f>[1]MINERAÇÃO!AW50</f>
        <v>0</v>
      </c>
      <c r="AW48" s="6">
        <f>[1]MINERAÇÃO!AX50</f>
        <v>0</v>
      </c>
      <c r="AX48" s="6">
        <f>[1]MINERAÇÃO!AY50</f>
        <v>0</v>
      </c>
      <c r="AY48" s="6">
        <f>[1]MINERAÇÃO!AZ50</f>
        <v>0</v>
      </c>
      <c r="AZ48" s="3">
        <f>'[1]CAPITAL (UT$)'!AH50</f>
        <v>0</v>
      </c>
      <c r="BA48">
        <f>[1]AGROPECUÁRIA!F50</f>
        <v>3</v>
      </c>
      <c r="BB48">
        <f>[1]AGROPECUÁRIA!G50</f>
        <v>0</v>
      </c>
      <c r="BC48">
        <f>[1]AGROPECUÁRIA!H50</f>
        <v>0</v>
      </c>
      <c r="BD48">
        <f t="shared" si="5"/>
        <v>3</v>
      </c>
      <c r="BE48" s="2">
        <f>'[1]PIB (UT$)'!E49</f>
        <v>29869.075572434682</v>
      </c>
      <c r="BF48" s="6">
        <f>[1]AGROPECUÁRIA!AW50</f>
        <v>17460</v>
      </c>
      <c r="BG48" s="6">
        <f>[1]AGROPECUÁRIA!AX50</f>
        <v>0</v>
      </c>
      <c r="BH48" s="6">
        <f>[1]AGROPECUÁRIA!AY50</f>
        <v>0</v>
      </c>
      <c r="BI48" s="6">
        <f>[1]AGROPECUÁRIA!AZ50</f>
        <v>17460</v>
      </c>
      <c r="BJ48" s="3">
        <f>'[1]CAPITAL (UT$)'!AI50</f>
        <v>147.3223835331861</v>
      </c>
      <c r="BK48" s="6">
        <f t="shared" si="6"/>
        <v>4874460</v>
      </c>
      <c r="BL48" s="6">
        <f t="shared" si="6"/>
        <v>342500</v>
      </c>
      <c r="BM48" s="6">
        <f t="shared" si="6"/>
        <v>0</v>
      </c>
      <c r="BN48" s="6">
        <f t="shared" si="7"/>
        <v>5216960</v>
      </c>
      <c r="BO48" s="3">
        <f t="shared" si="8"/>
        <v>197.66684517747905</v>
      </c>
      <c r="BP48" s="7">
        <f t="shared" si="9"/>
        <v>433921560</v>
      </c>
      <c r="BQ48" s="2">
        <f>(BO48+V48)*[1]GLOBAL!$C$41</f>
        <v>104.9914135532437</v>
      </c>
      <c r="BR48" s="2">
        <f t="shared" si="10"/>
        <v>454.96279206405609</v>
      </c>
    </row>
    <row r="49" spans="1:70">
      <c r="A49">
        <f t="shared" si="11"/>
        <v>2022</v>
      </c>
      <c r="B49" s="1">
        <f>'[1]POPULAÇÃO (HAB)'!D50</f>
        <v>231791</v>
      </c>
      <c r="C49" s="2">
        <f>'[1]PIB (UT$)'!F50</f>
        <v>62680365.968751229</v>
      </c>
      <c r="D49" s="3">
        <f>'[1]PIB (UT$)'!G50</f>
        <v>270.41760020342133</v>
      </c>
      <c r="E49" s="1">
        <f>'[1]POPULAÇÃO (HAB)'!E50</f>
        <v>139074</v>
      </c>
      <c r="F49" s="4">
        <f>[1]IDH!B50</f>
        <v>0.82869217245051419</v>
      </c>
      <c r="G49" s="4">
        <f>[1]IDH!C50</f>
        <v>0.85195194359632853</v>
      </c>
      <c r="H49" s="4">
        <f>[1]IDH!D50</f>
        <v>1</v>
      </c>
      <c r="I49" s="4">
        <f>[1]IDH!E50</f>
        <v>0.89043613979609759</v>
      </c>
      <c r="J49" s="5">
        <f>[1]EDUCAÇÃO!B50</f>
        <v>12.779279153944929</v>
      </c>
      <c r="K49">
        <f>'[1]CLASSES SOCIAIS'!T51</f>
        <v>35496</v>
      </c>
      <c r="L49">
        <f>'[1]CLASSES SOCIAIS'!U51</f>
        <v>59015</v>
      </c>
      <c r="M49">
        <f>'[1]CLASSES SOCIAIS'!V51</f>
        <v>15760</v>
      </c>
      <c r="N49">
        <f t="shared" si="0"/>
        <v>110271</v>
      </c>
      <c r="O49" s="6">
        <f>'[1]CONSUMO RESIDENCIAL (kWh)'!B51</f>
        <v>266220000</v>
      </c>
      <c r="P49" s="6">
        <f>'[1]CONSUMO RESIDENCIAL (kWh)'!C51</f>
        <v>147537500</v>
      </c>
      <c r="Q49" s="6">
        <f>'[1]CONSUMO RESIDENCIAL (kWh)'!D51</f>
        <v>18912000</v>
      </c>
      <c r="R49" s="6">
        <f t="shared" si="1"/>
        <v>432669500</v>
      </c>
      <c r="S49" s="2">
        <f>'[1]CLASSES SOCIAIS'!AL51</f>
        <v>124.355</v>
      </c>
      <c r="T49" s="2">
        <f>'[1]CLASSES SOCIAIS'!AM51</f>
        <v>27.566444444444443</v>
      </c>
      <c r="U49" s="2">
        <f>'[1]CLASSES SOCIAIS'!AN51</f>
        <v>2.2085333333333335</v>
      </c>
      <c r="V49" s="2">
        <f>'[1]CLASSES SOCIAIS'!AO51</f>
        <v>154.12997777777775</v>
      </c>
      <c r="W49">
        <f>[1]INDÚSTRIAS!F51</f>
        <v>153</v>
      </c>
      <c r="X49">
        <f>[1]INDÚSTRIAS!G51</f>
        <v>1</v>
      </c>
      <c r="Y49">
        <f>[1]INDÚSTRIAS!H51</f>
        <v>0</v>
      </c>
      <c r="Z49">
        <f t="shared" si="2"/>
        <v>154</v>
      </c>
      <c r="AA49" s="2">
        <f>'[1]PIB (UT$)'!B50</f>
        <v>11576496.015814111</v>
      </c>
      <c r="AB49" s="6">
        <f>[1]INDÚSTRIAS!AW51</f>
        <v>3687300</v>
      </c>
      <c r="AC49" s="6">
        <f>[1]INDÚSTRIAS!AX51</f>
        <v>245000</v>
      </c>
      <c r="AD49" s="6">
        <f>[1]INDÚSTRIAS!AY51</f>
        <v>0</v>
      </c>
      <c r="AE49" s="6">
        <f>[1]INDÚSTRIAS!AZ51</f>
        <v>3932300</v>
      </c>
      <c r="AF49" s="3">
        <f>'[1]CAPITAL (UT$)'!AF51</f>
        <v>50.828954225867619</v>
      </c>
      <c r="AG49">
        <f>[1]SERVIÇOS!F51</f>
        <v>153</v>
      </c>
      <c r="AH49">
        <f>[1]SERVIÇOS!G51</f>
        <v>1</v>
      </c>
      <c r="AI49">
        <f>[1]SERVIÇOS!H51</f>
        <v>0</v>
      </c>
      <c r="AJ49">
        <f t="shared" si="3"/>
        <v>154</v>
      </c>
      <c r="AK49" s="2">
        <f>'[1]PIB (UT$)'!C50</f>
        <v>51077298.949849203</v>
      </c>
      <c r="AL49" s="6">
        <f>[1]SERVIÇOS!AW51</f>
        <v>1211760</v>
      </c>
      <c r="AM49" s="6">
        <f>[1]SERVIÇOS!AX51</f>
        <v>97000</v>
      </c>
      <c r="AN49" s="6">
        <f>[1]SERVIÇOS!AY51</f>
        <v>0</v>
      </c>
      <c r="AO49" s="6">
        <f>[1]SERVIÇOS!AZ51</f>
        <v>1308760</v>
      </c>
      <c r="AP49" s="3">
        <f>'[1]CAPITAL (UT$)'!AG51</f>
        <v>1.4883477056904051</v>
      </c>
      <c r="AQ49">
        <f>[1]MINERAÇÃO!F51</f>
        <v>0</v>
      </c>
      <c r="AR49">
        <f>[1]MINERAÇÃO!G51</f>
        <v>0</v>
      </c>
      <c r="AS49">
        <f>[1]MINERAÇÃO!H51</f>
        <v>0</v>
      </c>
      <c r="AT49">
        <f t="shared" si="4"/>
        <v>0</v>
      </c>
      <c r="AU49" s="2">
        <f>'[1]PIB (UT$)'!D50</f>
        <v>0</v>
      </c>
      <c r="AV49" s="6">
        <f>[1]MINERAÇÃO!AW51</f>
        <v>0</v>
      </c>
      <c r="AW49" s="6">
        <f>[1]MINERAÇÃO!AX51</f>
        <v>0</v>
      </c>
      <c r="AX49" s="6">
        <f>[1]MINERAÇÃO!AY51</f>
        <v>0</v>
      </c>
      <c r="AY49" s="6">
        <f>[1]MINERAÇÃO!AZ51</f>
        <v>0</v>
      </c>
      <c r="AZ49" s="3">
        <f>'[1]CAPITAL (UT$)'!AH51</f>
        <v>0</v>
      </c>
      <c r="BA49">
        <f>[1]AGROPECUÁRIA!F51</f>
        <v>2</v>
      </c>
      <c r="BB49">
        <f>[1]AGROPECUÁRIA!G51</f>
        <v>0</v>
      </c>
      <c r="BC49">
        <f>[1]AGROPECUÁRIA!H51</f>
        <v>0</v>
      </c>
      <c r="BD49">
        <f t="shared" si="5"/>
        <v>2</v>
      </c>
      <c r="BE49" s="2">
        <f>'[1]PIB (UT$)'!E50</f>
        <v>26571.003087916666</v>
      </c>
      <c r="BF49" s="6">
        <f>[1]AGROPECUÁRIA!AW51</f>
        <v>11280</v>
      </c>
      <c r="BG49" s="6">
        <f>[1]AGROPECUÁRIA!AX51</f>
        <v>0</v>
      </c>
      <c r="BH49" s="6">
        <f>[1]AGROPECUÁRIA!AY51</f>
        <v>0</v>
      </c>
      <c r="BI49" s="6">
        <f>[1]AGROPECUÁRIA!AZ51</f>
        <v>11280</v>
      </c>
      <c r="BJ49" s="3">
        <f>'[1]CAPITAL (UT$)'!AI51</f>
        <v>152.79668124375914</v>
      </c>
      <c r="BK49" s="6">
        <f t="shared" si="6"/>
        <v>4910340</v>
      </c>
      <c r="BL49" s="6">
        <f t="shared" si="6"/>
        <v>342000</v>
      </c>
      <c r="BM49" s="6">
        <f t="shared" si="6"/>
        <v>0</v>
      </c>
      <c r="BN49" s="6">
        <f t="shared" si="7"/>
        <v>5252340</v>
      </c>
      <c r="BO49" s="3">
        <f t="shared" si="8"/>
        <v>205.11398317531717</v>
      </c>
      <c r="BP49" s="7">
        <f t="shared" si="9"/>
        <v>437921840</v>
      </c>
      <c r="BQ49" s="2">
        <f>(BO49+V49)*[1]GLOBAL!$C$41</f>
        <v>107.77318828592847</v>
      </c>
      <c r="BR49" s="2">
        <f t="shared" si="10"/>
        <v>467.01714923902341</v>
      </c>
    </row>
    <row r="50" spans="1:70">
      <c r="A50">
        <f t="shared" si="11"/>
        <v>2023</v>
      </c>
      <c r="B50" s="1">
        <f>'[1]POPULAÇÃO (HAB)'!D51</f>
        <v>232602</v>
      </c>
      <c r="C50" s="2">
        <f>'[1]PIB (UT$)'!F51</f>
        <v>64791499.443426572</v>
      </c>
      <c r="D50" s="3">
        <f>'[1]PIB (UT$)'!G51</f>
        <v>278.55091290456045</v>
      </c>
      <c r="E50" s="1">
        <f>'[1]POPULAÇÃO (HAB)'!E51</f>
        <v>139561</v>
      </c>
      <c r="F50" s="4">
        <f>[1]IDH!B51</f>
        <v>0.83211194694892177</v>
      </c>
      <c r="G50" s="4">
        <f>[1]IDH!C51</f>
        <v>0.85514295353047998</v>
      </c>
      <c r="H50" s="4">
        <f>[1]IDH!D51</f>
        <v>1</v>
      </c>
      <c r="I50" s="4">
        <f>[1]IDH!E51</f>
        <v>0.8927711747998246</v>
      </c>
      <c r="J50" s="5">
        <f>[1]EDUCAÇÃO!B51</f>
        <v>12.827144302957199</v>
      </c>
      <c r="K50">
        <f>'[1]CLASSES SOCIAIS'!T52</f>
        <v>36007</v>
      </c>
      <c r="L50">
        <f>'[1]CLASSES SOCIAIS'!U52</f>
        <v>59175</v>
      </c>
      <c r="M50">
        <f>'[1]CLASSES SOCIAIS'!V52</f>
        <v>15494</v>
      </c>
      <c r="N50">
        <f t="shared" si="0"/>
        <v>110676</v>
      </c>
      <c r="O50" s="6">
        <f>'[1]CONSUMO RESIDENCIAL (kWh)'!B52</f>
        <v>270052500</v>
      </c>
      <c r="P50" s="6">
        <f>'[1]CONSUMO RESIDENCIAL (kWh)'!C52</f>
        <v>147937500</v>
      </c>
      <c r="Q50" s="6">
        <f>'[1]CONSUMO RESIDENCIAL (kWh)'!D52</f>
        <v>18592800</v>
      </c>
      <c r="R50" s="6">
        <f t="shared" si="1"/>
        <v>436582800</v>
      </c>
      <c r="S50" s="2">
        <f>'[1]CLASSES SOCIAIS'!AL52</f>
        <v>126.12333333333333</v>
      </c>
      <c r="T50" s="2">
        <f>'[1]CLASSES SOCIAIS'!AM52</f>
        <v>27.635999999999999</v>
      </c>
      <c r="U50" s="2">
        <f>'[1]CLASSES SOCIAIS'!AN52</f>
        <v>2.1709333333333332</v>
      </c>
      <c r="V50" s="2">
        <f>'[1]CLASSES SOCIAIS'!AO52</f>
        <v>155.93026666666665</v>
      </c>
      <c r="W50">
        <f>[1]INDÚSTRIAS!F52</f>
        <v>156</v>
      </c>
      <c r="X50">
        <f>[1]INDÚSTRIAS!G52</f>
        <v>1</v>
      </c>
      <c r="Y50">
        <f>[1]INDÚSTRIAS!H52</f>
        <v>0</v>
      </c>
      <c r="Z50">
        <f t="shared" si="2"/>
        <v>157</v>
      </c>
      <c r="AA50" s="2">
        <f>'[1]PIB (UT$)'!B51</f>
        <v>11806569.280459804</v>
      </c>
      <c r="AB50" s="6">
        <f>[1]INDÚSTRIAS!AW52</f>
        <v>3853200</v>
      </c>
      <c r="AC50" s="6">
        <f>[1]INDÚSTRIAS!AX52</f>
        <v>247000</v>
      </c>
      <c r="AD50" s="6">
        <f>[1]INDÚSTRIAS!AY52</f>
        <v>0</v>
      </c>
      <c r="AE50" s="6">
        <f>[1]INDÚSTRIAS!AZ52</f>
        <v>4100200</v>
      </c>
      <c r="AF50" s="3">
        <f>'[1]CAPITAL (UT$)'!AF52</f>
        <v>52.793646249815652</v>
      </c>
      <c r="AG50">
        <f>[1]SERVIÇOS!F52</f>
        <v>156</v>
      </c>
      <c r="AH50">
        <f>[1]SERVIÇOS!G52</f>
        <v>1</v>
      </c>
      <c r="AI50">
        <f>[1]SERVIÇOS!H52</f>
        <v>0</v>
      </c>
      <c r="AJ50">
        <f t="shared" si="3"/>
        <v>157</v>
      </c>
      <c r="AK50" s="2">
        <f>'[1]PIB (UT$)'!C51</f>
        <v>52961789.597687028</v>
      </c>
      <c r="AL50" s="6">
        <f>[1]SERVIÇOS!AW52</f>
        <v>1210560</v>
      </c>
      <c r="AM50" s="6">
        <f>[1]SERVIÇOS!AX52</f>
        <v>96000</v>
      </c>
      <c r="AN50" s="6">
        <f>[1]SERVIÇOS!AY52</f>
        <v>0</v>
      </c>
      <c r="AO50" s="6">
        <f>[1]SERVIÇOS!AZ52</f>
        <v>1306560</v>
      </c>
      <c r="AP50" s="3">
        <f>'[1]CAPITAL (UT$)'!AG52</f>
        <v>1.5481645511342783</v>
      </c>
      <c r="AQ50">
        <f>[1]MINERAÇÃO!F52</f>
        <v>0</v>
      </c>
      <c r="AR50">
        <f>[1]MINERAÇÃO!G52</f>
        <v>0</v>
      </c>
      <c r="AS50">
        <f>[1]MINERAÇÃO!H52</f>
        <v>0</v>
      </c>
      <c r="AT50">
        <f t="shared" si="4"/>
        <v>0</v>
      </c>
      <c r="AU50" s="2">
        <f>'[1]PIB (UT$)'!D51</f>
        <v>0</v>
      </c>
      <c r="AV50" s="6">
        <f>[1]MINERAÇÃO!AW52</f>
        <v>0</v>
      </c>
      <c r="AW50" s="6">
        <f>[1]MINERAÇÃO!AX52</f>
        <v>0</v>
      </c>
      <c r="AX50" s="6">
        <f>[1]MINERAÇÃO!AY52</f>
        <v>0</v>
      </c>
      <c r="AY50" s="6">
        <f>[1]MINERAÇÃO!AZ52</f>
        <v>0</v>
      </c>
      <c r="AZ50" s="3">
        <f>'[1]CAPITAL (UT$)'!AH52</f>
        <v>0</v>
      </c>
      <c r="BA50">
        <f>[1]AGROPECUÁRIA!F52</f>
        <v>2</v>
      </c>
      <c r="BB50">
        <f>[1]AGROPECUÁRIA!G52</f>
        <v>0</v>
      </c>
      <c r="BC50">
        <f>[1]AGROPECUÁRIA!H52</f>
        <v>0</v>
      </c>
      <c r="BD50">
        <f t="shared" si="5"/>
        <v>2</v>
      </c>
      <c r="BE50" s="2">
        <f>'[1]PIB (UT$)'!E51</f>
        <v>23140.565279740655</v>
      </c>
      <c r="BF50" s="6">
        <f>[1]AGROPECUÁRIA!AW52</f>
        <v>11640</v>
      </c>
      <c r="BG50" s="6">
        <f>[1]AGROPECUÁRIA!AX52</f>
        <v>0</v>
      </c>
      <c r="BH50" s="6">
        <f>[1]AGROPECUÁRIA!AY52</f>
        <v>0</v>
      </c>
      <c r="BI50" s="6">
        <f>[1]AGROPECUÁRIA!AZ52</f>
        <v>11640</v>
      </c>
      <c r="BJ50" s="3">
        <f>'[1]CAPITAL (UT$)'!AI52</f>
        <v>158.4104684423003</v>
      </c>
      <c r="BK50" s="6">
        <f t="shared" si="6"/>
        <v>5075400</v>
      </c>
      <c r="BL50" s="6">
        <f t="shared" si="6"/>
        <v>343000</v>
      </c>
      <c r="BM50" s="6">
        <f t="shared" si="6"/>
        <v>0</v>
      </c>
      <c r="BN50" s="6">
        <f t="shared" si="7"/>
        <v>5418400</v>
      </c>
      <c r="BO50" s="3">
        <f t="shared" si="8"/>
        <v>212.75227924325023</v>
      </c>
      <c r="BP50" s="7">
        <f t="shared" si="9"/>
        <v>442001200</v>
      </c>
      <c r="BQ50" s="2">
        <f>(BO50+V50)*[1]GLOBAL!$C$41</f>
        <v>110.60476377297506</v>
      </c>
      <c r="BR50" s="2">
        <f t="shared" si="10"/>
        <v>479.28730968289193</v>
      </c>
    </row>
    <row r="51" spans="1:70">
      <c r="A51">
        <f t="shared" si="11"/>
        <v>2024</v>
      </c>
      <c r="B51" s="1">
        <f>'[1]POPULAÇÃO (HAB)'!D52</f>
        <v>233416</v>
      </c>
      <c r="C51" s="2">
        <f>'[1]PIB (UT$)'!F52</f>
        <v>66953702.9858483</v>
      </c>
      <c r="D51" s="3">
        <f>'[1]PIB (UT$)'!G52</f>
        <v>286.842817055593</v>
      </c>
      <c r="E51" s="1">
        <f>'[1]POPULAÇÃO (HAB)'!E52</f>
        <v>140049</v>
      </c>
      <c r="F51" s="4">
        <f>[1]IDH!B52</f>
        <v>0.83546234411157927</v>
      </c>
      <c r="G51" s="4">
        <f>[1]IDH!C52</f>
        <v>0.85820884217544269</v>
      </c>
      <c r="H51" s="4">
        <f>[1]IDH!D52</f>
        <v>1</v>
      </c>
      <c r="I51" s="4">
        <f>[1]IDH!E52</f>
        <v>0.89503486897270912</v>
      </c>
      <c r="J51" s="5">
        <f>[1]EDUCAÇÃO!B52</f>
        <v>12.87313263263164</v>
      </c>
      <c r="K51">
        <f>'[1]CLASSES SOCIAIS'!T53</f>
        <v>36510</v>
      </c>
      <c r="L51">
        <f>'[1]CLASSES SOCIAIS'!U53</f>
        <v>59334</v>
      </c>
      <c r="M51">
        <f>'[1]CLASSES SOCIAIS'!V53</f>
        <v>15236</v>
      </c>
      <c r="N51">
        <f t="shared" si="0"/>
        <v>111080</v>
      </c>
      <c r="O51" s="6">
        <f>'[1]CONSUMO RESIDENCIAL (kWh)'!B53</f>
        <v>273825000</v>
      </c>
      <c r="P51" s="6">
        <f>'[1]CONSUMO RESIDENCIAL (kWh)'!C53</f>
        <v>148335000</v>
      </c>
      <c r="Q51" s="6">
        <f>'[1]CONSUMO RESIDENCIAL (kWh)'!D53</f>
        <v>18283200</v>
      </c>
      <c r="R51" s="6">
        <f t="shared" si="1"/>
        <v>440443200</v>
      </c>
      <c r="S51" s="2">
        <f>'[1]CLASSES SOCIAIS'!AL53</f>
        <v>127.86499999999999</v>
      </c>
      <c r="T51" s="2">
        <f>'[1]CLASSES SOCIAIS'!AM53</f>
        <v>27.706444444444443</v>
      </c>
      <c r="U51" s="2">
        <f>'[1]CLASSES SOCIAIS'!AN53</f>
        <v>2.1343999999999999</v>
      </c>
      <c r="V51" s="2">
        <f>'[1]CLASSES SOCIAIS'!AO53</f>
        <v>157.70584444444444</v>
      </c>
      <c r="W51">
        <f>[1]INDÚSTRIAS!F53</f>
        <v>158</v>
      </c>
      <c r="X51">
        <f>[1]INDÚSTRIAS!G53</f>
        <v>1</v>
      </c>
      <c r="Y51">
        <f>[1]INDÚSTRIAS!H53</f>
        <v>0</v>
      </c>
      <c r="Z51">
        <f t="shared" si="2"/>
        <v>159</v>
      </c>
      <c r="AA51" s="2">
        <f>'[1]PIB (UT$)'!B52</f>
        <v>12034311.599976845</v>
      </c>
      <c r="AB51" s="6">
        <f>[1]INDÚSTRIAS!AW53</f>
        <v>3918400</v>
      </c>
      <c r="AC51" s="6">
        <f>[1]INDÚSTRIAS!AX53</f>
        <v>247000</v>
      </c>
      <c r="AD51" s="6">
        <f>[1]INDÚSTRIAS!AY53</f>
        <v>0</v>
      </c>
      <c r="AE51" s="6">
        <f>[1]INDÚSTRIAS!AZ53</f>
        <v>4165400</v>
      </c>
      <c r="AF51" s="3">
        <f>'[1]CAPITAL (UT$)'!AF53</f>
        <v>54.809347430300832</v>
      </c>
      <c r="AG51">
        <f>[1]SERVIÇOS!F53</f>
        <v>158</v>
      </c>
      <c r="AH51">
        <f>[1]SERVIÇOS!G53</f>
        <v>1</v>
      </c>
      <c r="AI51">
        <f>[1]SERVIÇOS!H53</f>
        <v>0</v>
      </c>
      <c r="AJ51">
        <f t="shared" si="3"/>
        <v>159</v>
      </c>
      <c r="AK51" s="2">
        <f>'[1]PIB (UT$)'!C52</f>
        <v>54899826.477237843</v>
      </c>
      <c r="AL51" s="6">
        <f>[1]SERVIÇOS!AW53</f>
        <v>1213440</v>
      </c>
      <c r="AM51" s="6">
        <f>[1]SERVIÇOS!AX53</f>
        <v>98000</v>
      </c>
      <c r="AN51" s="6">
        <f>[1]SERVIÇOS!AY53</f>
        <v>0</v>
      </c>
      <c r="AO51" s="6">
        <f>[1]SERVIÇOS!AZ53</f>
        <v>1311440</v>
      </c>
      <c r="AP51" s="3">
        <f>'[1]CAPITAL (UT$)'!AG53</f>
        <v>1.6097054470059609</v>
      </c>
      <c r="AQ51">
        <f>[1]MINERAÇÃO!F53</f>
        <v>0</v>
      </c>
      <c r="AR51">
        <f>[1]MINERAÇÃO!G53</f>
        <v>0</v>
      </c>
      <c r="AS51">
        <f>[1]MINERAÇÃO!H53</f>
        <v>0</v>
      </c>
      <c r="AT51">
        <f t="shared" si="4"/>
        <v>0</v>
      </c>
      <c r="AU51" s="2">
        <f>'[1]PIB (UT$)'!D52</f>
        <v>0</v>
      </c>
      <c r="AV51" s="6">
        <f>[1]MINERAÇÃO!AW53</f>
        <v>0</v>
      </c>
      <c r="AW51" s="6">
        <f>[1]MINERAÇÃO!AX53</f>
        <v>0</v>
      </c>
      <c r="AX51" s="6">
        <f>[1]MINERAÇÃO!AY53</f>
        <v>0</v>
      </c>
      <c r="AY51" s="6">
        <f>[1]MINERAÇÃO!AZ53</f>
        <v>0</v>
      </c>
      <c r="AZ51" s="3">
        <f>'[1]CAPITAL (UT$)'!AH53</f>
        <v>0</v>
      </c>
      <c r="BA51">
        <f>[1]AGROPECUÁRIA!F53</f>
        <v>2</v>
      </c>
      <c r="BB51">
        <f>[1]AGROPECUÁRIA!G53</f>
        <v>0</v>
      </c>
      <c r="BC51">
        <f>[1]AGROPECUÁRIA!H53</f>
        <v>0</v>
      </c>
      <c r="BD51">
        <f t="shared" si="5"/>
        <v>2</v>
      </c>
      <c r="BE51" s="2">
        <f>'[1]PIB (UT$)'!E52</f>
        <v>19564.908633611529</v>
      </c>
      <c r="BF51" s="6">
        <f>[1]AGROPECUÁRIA!AW53</f>
        <v>11460</v>
      </c>
      <c r="BG51" s="6">
        <f>[1]AGROPECUÁRIA!AX53</f>
        <v>0</v>
      </c>
      <c r="BH51" s="6">
        <f>[1]AGROPECUÁRIA!AY53</f>
        <v>0</v>
      </c>
      <c r="BI51" s="6">
        <f>[1]AGROPECUÁRIA!AZ53</f>
        <v>11460</v>
      </c>
      <c r="BJ51" s="3">
        <f>'[1]CAPITAL (UT$)'!AI53</f>
        <v>164.16658807921249</v>
      </c>
      <c r="BK51" s="6">
        <f t="shared" si="6"/>
        <v>5143300</v>
      </c>
      <c r="BL51" s="6">
        <f t="shared" si="6"/>
        <v>345000</v>
      </c>
      <c r="BM51" s="6">
        <f t="shared" si="6"/>
        <v>0</v>
      </c>
      <c r="BN51" s="6">
        <f t="shared" si="7"/>
        <v>5488300</v>
      </c>
      <c r="BO51" s="3">
        <f t="shared" si="8"/>
        <v>220.58564095651928</v>
      </c>
      <c r="BP51" s="7">
        <f t="shared" si="9"/>
        <v>445931500</v>
      </c>
      <c r="BQ51" s="2">
        <f>(BO51+V51)*[1]GLOBAL!$C$41</f>
        <v>113.48744562028911</v>
      </c>
      <c r="BR51" s="2">
        <f t="shared" si="10"/>
        <v>491.77893102125284</v>
      </c>
    </row>
    <row r="52" spans="1:70">
      <c r="A52">
        <f t="shared" si="11"/>
        <v>2025</v>
      </c>
      <c r="B52" s="1">
        <f>'[1]POPULAÇÃO (HAB)'!D53</f>
        <v>234232</v>
      </c>
      <c r="C52" s="2">
        <f>'[1]PIB (UT$)'!F53</f>
        <v>69168301.287758127</v>
      </c>
      <c r="D52" s="3">
        <f>'[1]PIB (UT$)'!G53</f>
        <v>295.29825680418611</v>
      </c>
      <c r="E52" s="1">
        <f>'[1]POPULAÇÃO (HAB)'!E53</f>
        <v>140539</v>
      </c>
      <c r="F52" s="4">
        <f>[1]IDH!B53</f>
        <v>0.83874735264288336</v>
      </c>
      <c r="G52" s="4">
        <f>[1]IDH!C53</f>
        <v>0.86115451560713985</v>
      </c>
      <c r="H52" s="4">
        <f>[1]IDH!D53</f>
        <v>1</v>
      </c>
      <c r="I52" s="4">
        <f>[1]IDH!E53</f>
        <v>0.89723061058599718</v>
      </c>
      <c r="J52" s="5">
        <f>[1]EDUCAÇÃO!B53</f>
        <v>12.917317734107097</v>
      </c>
      <c r="K52">
        <f>'[1]CLASSES SOCIAIS'!T54</f>
        <v>37005</v>
      </c>
      <c r="L52">
        <f>'[1]CLASSES SOCIAIS'!U54</f>
        <v>59493</v>
      </c>
      <c r="M52">
        <f>'[1]CLASSES SOCIAIS'!V54</f>
        <v>14984</v>
      </c>
      <c r="N52">
        <f t="shared" si="0"/>
        <v>111482</v>
      </c>
      <c r="O52" s="6">
        <f>'[1]CONSUMO RESIDENCIAL (kWh)'!B54</f>
        <v>277537500</v>
      </c>
      <c r="P52" s="6">
        <f>'[1]CONSUMO RESIDENCIAL (kWh)'!C54</f>
        <v>148732500</v>
      </c>
      <c r="Q52" s="6">
        <f>'[1]CONSUMO RESIDENCIAL (kWh)'!D54</f>
        <v>17980800</v>
      </c>
      <c r="R52" s="6">
        <f t="shared" si="1"/>
        <v>444250800</v>
      </c>
      <c r="S52" s="2">
        <f>'[1]CLASSES SOCIAIS'!AL54</f>
        <v>129.58166666666668</v>
      </c>
      <c r="T52" s="2">
        <f>'[1]CLASSES SOCIAIS'!AM54</f>
        <v>27.777333333333335</v>
      </c>
      <c r="U52" s="2">
        <f>'[1]CLASSES SOCIAIS'!AN54</f>
        <v>2.0988666666666669</v>
      </c>
      <c r="V52" s="2">
        <f>'[1]CLASSES SOCIAIS'!AO54</f>
        <v>159.45786666666669</v>
      </c>
      <c r="W52">
        <f>[1]INDÚSTRIAS!F54</f>
        <v>161</v>
      </c>
      <c r="X52">
        <f>[1]INDÚSTRIAS!G54</f>
        <v>1</v>
      </c>
      <c r="Y52">
        <f>[1]INDÚSTRIAS!H54</f>
        <v>0</v>
      </c>
      <c r="Z52">
        <f t="shared" si="2"/>
        <v>162</v>
      </c>
      <c r="AA52" s="2">
        <f>'[1]PIB (UT$)'!B53</f>
        <v>12259458.073168144</v>
      </c>
      <c r="AB52" s="6">
        <f>[1]INDÚSTRIAS!AW54</f>
        <v>3976700</v>
      </c>
      <c r="AC52" s="6">
        <f>[1]INDÚSTRIAS!AX54</f>
        <v>248000</v>
      </c>
      <c r="AD52" s="6">
        <f>[1]INDÚSTRIAS!AY54</f>
        <v>0</v>
      </c>
      <c r="AE52" s="6">
        <f>[1]INDÚSTRIAS!AZ54</f>
        <v>4224700</v>
      </c>
      <c r="AF52" s="3">
        <f>'[1]CAPITAL (UT$)'!AF54</f>
        <v>56.877082823350641</v>
      </c>
      <c r="AG52">
        <f>[1]SERVIÇOS!F54</f>
        <v>161</v>
      </c>
      <c r="AH52">
        <f>[1]SERVIÇOS!G54</f>
        <v>1</v>
      </c>
      <c r="AI52">
        <f>[1]SERVIÇOS!H54</f>
        <v>0</v>
      </c>
      <c r="AJ52">
        <f t="shared" si="3"/>
        <v>162</v>
      </c>
      <c r="AK52" s="2">
        <f>'[1]PIB (UT$)'!C53</f>
        <v>56893017.692165762</v>
      </c>
      <c r="AL52" s="6">
        <f>[1]SERVIÇOS!AW54</f>
        <v>1262240</v>
      </c>
      <c r="AM52" s="6">
        <f>[1]SERVIÇOS!AX54</f>
        <v>97500</v>
      </c>
      <c r="AN52" s="6">
        <f>[1]SERVIÇOS!AY54</f>
        <v>0</v>
      </c>
      <c r="AO52" s="6">
        <f>[1]SERVIÇOS!AZ54</f>
        <v>1359740</v>
      </c>
      <c r="AP52" s="3">
        <f>'[1]CAPITAL (UT$)'!AG54</f>
        <v>1.673003788572196</v>
      </c>
      <c r="AQ52">
        <f>[1]MINERAÇÃO!F54</f>
        <v>0</v>
      </c>
      <c r="AR52">
        <f>[1]MINERAÇÃO!G54</f>
        <v>0</v>
      </c>
      <c r="AS52">
        <f>[1]MINERAÇÃO!H54</f>
        <v>0</v>
      </c>
      <c r="AT52">
        <f t="shared" si="4"/>
        <v>0</v>
      </c>
      <c r="AU52" s="2">
        <f>'[1]PIB (UT$)'!D53</f>
        <v>0</v>
      </c>
      <c r="AV52" s="6">
        <f>[1]MINERAÇÃO!AW54</f>
        <v>0</v>
      </c>
      <c r="AW52" s="6">
        <f>[1]MINERAÇÃO!AX54</f>
        <v>0</v>
      </c>
      <c r="AX52" s="6">
        <f>[1]MINERAÇÃO!AY54</f>
        <v>0</v>
      </c>
      <c r="AY52" s="6">
        <f>[1]MINERAÇÃO!AZ54</f>
        <v>0</v>
      </c>
      <c r="AZ52" s="3">
        <f>'[1]CAPITAL (UT$)'!AH54</f>
        <v>0</v>
      </c>
      <c r="BA52">
        <f>[1]AGROPECUÁRIA!F54</f>
        <v>2</v>
      </c>
      <c r="BB52">
        <f>[1]AGROPECUÁRIA!G54</f>
        <v>0</v>
      </c>
      <c r="BC52">
        <f>[1]AGROPECUÁRIA!H54</f>
        <v>0</v>
      </c>
      <c r="BD52">
        <f t="shared" si="5"/>
        <v>2</v>
      </c>
      <c r="BE52" s="2">
        <f>'[1]PIB (UT$)'!E53</f>
        <v>15825.522424218118</v>
      </c>
      <c r="BF52" s="6">
        <f>[1]AGROPECUÁRIA!AW54</f>
        <v>11100</v>
      </c>
      <c r="BG52" s="6">
        <f>[1]AGROPECUÁRIA!AX54</f>
        <v>0</v>
      </c>
      <c r="BH52" s="6">
        <f>[1]AGROPECUÁRIA!AY54</f>
        <v>0</v>
      </c>
      <c r="BI52" s="6">
        <f>[1]AGROPECUÁRIA!AZ54</f>
        <v>11100</v>
      </c>
      <c r="BJ52" s="3">
        <f>'[1]CAPITAL (UT$)'!AI54</f>
        <v>170.06783026657402</v>
      </c>
      <c r="BK52" s="6">
        <f t="shared" si="6"/>
        <v>5250040</v>
      </c>
      <c r="BL52" s="6">
        <f t="shared" si="6"/>
        <v>345500</v>
      </c>
      <c r="BM52" s="6">
        <f t="shared" si="6"/>
        <v>0</v>
      </c>
      <c r="BN52" s="6">
        <f t="shared" si="7"/>
        <v>5595540</v>
      </c>
      <c r="BO52" s="3">
        <f t="shared" si="8"/>
        <v>228.61791687849686</v>
      </c>
      <c r="BP52" s="7">
        <f t="shared" si="9"/>
        <v>449846340</v>
      </c>
      <c r="BQ52" s="2">
        <f>(BO52+V52)*[1]GLOBAL!$C$41</f>
        <v>116.42273506354906</v>
      </c>
      <c r="BR52" s="2">
        <f t="shared" si="10"/>
        <v>504.49851860871257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65F93-7681-41CF-A3B4-BF777B578CC6}">
  <dimension ref="A1:BR52"/>
  <sheetViews>
    <sheetView topLeftCell="AF1" workbookViewId="0">
      <selection activeCell="R2" sqref="R2"/>
    </sheetView>
  </sheetViews>
  <sheetFormatPr defaultRowHeight="14.45"/>
  <cols>
    <col min="1" max="1" width="5" bestFit="1" customWidth="1"/>
    <col min="2" max="2" width="11.42578125" bestFit="1" customWidth="1"/>
    <col min="3" max="3" width="12.7109375" bestFit="1" customWidth="1"/>
    <col min="4" max="4" width="6.5703125" bestFit="1" customWidth="1"/>
    <col min="5" max="5" width="7.5703125" bestFit="1" customWidth="1"/>
    <col min="6" max="9" width="6.5703125" bestFit="1" customWidth="1"/>
    <col min="10" max="10" width="12.7109375" bestFit="1" customWidth="1"/>
    <col min="11" max="11" width="10.28515625" bestFit="1" customWidth="1"/>
    <col min="12" max="12" width="12" bestFit="1" customWidth="1"/>
    <col min="13" max="13" width="11.42578125" bestFit="1" customWidth="1"/>
    <col min="14" max="14" width="6.7109375" bestFit="1" customWidth="1"/>
    <col min="15" max="16" width="14.7109375" bestFit="1" customWidth="1"/>
    <col min="17" max="17" width="14.85546875" bestFit="1" customWidth="1"/>
    <col min="18" max="18" width="17.7109375" bestFit="1" customWidth="1"/>
    <col min="19" max="19" width="8.140625" bestFit="1" customWidth="1"/>
    <col min="20" max="20" width="8.42578125" bestFit="1" customWidth="1"/>
    <col min="21" max="21" width="8.140625" bestFit="1" customWidth="1"/>
    <col min="22" max="22" width="6.7109375" bestFit="1" customWidth="1"/>
    <col min="23" max="23" width="8.140625" bestFit="1" customWidth="1"/>
    <col min="24" max="24" width="8.42578125" bestFit="1" customWidth="1"/>
    <col min="25" max="25" width="8.28515625" bestFit="1" customWidth="1"/>
    <col min="26" max="26" width="6.7109375" bestFit="1" customWidth="1"/>
    <col min="27" max="27" width="12.7109375" bestFit="1" customWidth="1"/>
    <col min="28" max="28" width="13.7109375" bestFit="1" customWidth="1"/>
    <col min="29" max="29" width="12.7109375" bestFit="1" customWidth="1"/>
    <col min="30" max="31" width="13.7109375" bestFit="1" customWidth="1"/>
    <col min="32" max="32" width="6.5703125" bestFit="1" customWidth="1"/>
    <col min="33" max="33" width="8.28515625" bestFit="1" customWidth="1"/>
    <col min="34" max="34" width="8.5703125" bestFit="1" customWidth="1"/>
    <col min="35" max="35" width="8.42578125" bestFit="1" customWidth="1"/>
    <col min="36" max="36" width="6.7109375" bestFit="1" customWidth="1"/>
    <col min="37" max="40" width="12.7109375" bestFit="1" customWidth="1"/>
    <col min="41" max="41" width="13.7109375" bestFit="1" customWidth="1"/>
    <col min="42" max="42" width="6.7109375" bestFit="1" customWidth="1"/>
    <col min="43" max="43" width="8.28515625" bestFit="1" customWidth="1"/>
    <col min="44" max="44" width="8.7109375" bestFit="1" customWidth="1"/>
    <col min="45" max="45" width="8.5703125" bestFit="1" customWidth="1"/>
    <col min="46" max="46" width="6.85546875" bestFit="1" customWidth="1"/>
    <col min="47" max="47" width="7.28515625" bestFit="1" customWidth="1"/>
    <col min="48" max="48" width="8" bestFit="1" customWidth="1"/>
    <col min="49" max="50" width="8.28515625" bestFit="1" customWidth="1"/>
    <col min="51" max="51" width="6.5703125" bestFit="1" customWidth="1"/>
    <col min="52" max="52" width="6.7109375" bestFit="1" customWidth="1"/>
    <col min="53" max="53" width="8.7109375" bestFit="1" customWidth="1"/>
    <col min="54" max="54" width="9" bestFit="1" customWidth="1"/>
    <col min="56" max="56" width="7.28515625" bestFit="1" customWidth="1"/>
    <col min="57" max="57" width="9.140625" bestFit="1" customWidth="1"/>
    <col min="58" max="58" width="10.140625" bestFit="1" customWidth="1"/>
    <col min="59" max="59" width="8.7109375" bestFit="1" customWidth="1"/>
    <col min="60" max="60" width="8.5703125" bestFit="1" customWidth="1"/>
    <col min="61" max="61" width="10.140625" bestFit="1" customWidth="1"/>
    <col min="62" max="62" width="7.140625" bestFit="1" customWidth="1"/>
    <col min="63" max="63" width="13.7109375" bestFit="1" customWidth="1"/>
    <col min="64" max="64" width="12.7109375" bestFit="1" customWidth="1"/>
    <col min="65" max="66" width="13.7109375" bestFit="1" customWidth="1"/>
    <col min="67" max="67" width="7" bestFit="1" customWidth="1"/>
    <col min="68" max="68" width="13.7109375" bestFit="1" customWidth="1"/>
    <col min="69" max="69" width="7" bestFit="1" customWidth="1"/>
    <col min="70" max="70" width="8.7109375" bestFit="1" customWidth="1"/>
  </cols>
  <sheetData>
    <row r="1" spans="1:7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</row>
    <row r="2" spans="1:70">
      <c r="A2">
        <v>1975</v>
      </c>
      <c r="B2" s="1">
        <v>120000</v>
      </c>
      <c r="C2" s="2">
        <v>1936518.8292909656</v>
      </c>
      <c r="D2" s="3">
        <v>16.137656910758047</v>
      </c>
      <c r="E2" s="1">
        <v>72000</v>
      </c>
      <c r="F2" s="4">
        <v>0.4201094750348468</v>
      </c>
      <c r="G2" s="4">
        <v>0.26666666666666666</v>
      </c>
      <c r="H2" s="4">
        <v>0.16865050024790793</v>
      </c>
      <c r="I2" s="4">
        <v>0.26634197399764103</v>
      </c>
      <c r="J2" s="5">
        <v>4</v>
      </c>
      <c r="K2">
        <v>438</v>
      </c>
      <c r="L2">
        <v>14677</v>
      </c>
      <c r="M2">
        <v>22006</v>
      </c>
      <c r="N2">
        <v>37121</v>
      </c>
      <c r="O2" s="6">
        <v>3285000</v>
      </c>
      <c r="P2" s="6">
        <v>36692500</v>
      </c>
      <c r="Q2" s="6">
        <v>26407200</v>
      </c>
      <c r="R2" s="6">
        <f>Q2+P2+O2</f>
        <v>66384700</v>
      </c>
      <c r="S2" s="2">
        <v>2.3616666666666668</v>
      </c>
      <c r="T2" s="2">
        <v>10.543333333333333</v>
      </c>
      <c r="U2" s="2">
        <v>4.7424666666666671</v>
      </c>
      <c r="V2" s="2">
        <v>17.647466666666666</v>
      </c>
      <c r="W2">
        <v>14</v>
      </c>
      <c r="X2">
        <v>0</v>
      </c>
      <c r="Y2">
        <v>0</v>
      </c>
      <c r="Z2">
        <v>14</v>
      </c>
      <c r="AA2" s="2">
        <v>691790.97433032934</v>
      </c>
      <c r="AB2" s="6">
        <v>340200</v>
      </c>
      <c r="AC2" s="6">
        <v>0</v>
      </c>
      <c r="AD2" s="6">
        <v>0</v>
      </c>
      <c r="AE2" s="6">
        <v>340200</v>
      </c>
      <c r="AF2" s="3">
        <v>1.0968</v>
      </c>
      <c r="AG2">
        <v>14</v>
      </c>
      <c r="AH2">
        <v>0</v>
      </c>
      <c r="AI2">
        <v>0</v>
      </c>
      <c r="AJ2">
        <v>14</v>
      </c>
      <c r="AK2" s="2">
        <v>1206399.0178586715</v>
      </c>
      <c r="AL2" s="6">
        <v>106960</v>
      </c>
      <c r="AM2" s="6">
        <v>0</v>
      </c>
      <c r="AN2" s="6">
        <v>0</v>
      </c>
      <c r="AO2" s="6">
        <v>106960</v>
      </c>
      <c r="AP2" s="3">
        <v>2.2849999999999999E-2</v>
      </c>
      <c r="AQ2">
        <v>0</v>
      </c>
      <c r="AR2">
        <v>0</v>
      </c>
      <c r="AS2">
        <v>0</v>
      </c>
      <c r="AT2">
        <v>0</v>
      </c>
      <c r="AU2" s="2">
        <v>0</v>
      </c>
      <c r="AV2" s="6">
        <v>0</v>
      </c>
      <c r="AW2" s="6">
        <v>0</v>
      </c>
      <c r="AX2" s="6">
        <v>0</v>
      </c>
      <c r="AY2" s="6">
        <v>0</v>
      </c>
      <c r="AZ2" s="3">
        <v>0</v>
      </c>
      <c r="BA2">
        <v>4</v>
      </c>
      <c r="BB2">
        <v>0</v>
      </c>
      <c r="BC2">
        <v>0</v>
      </c>
      <c r="BD2">
        <v>4</v>
      </c>
      <c r="BE2" s="2">
        <v>38328.837101964862</v>
      </c>
      <c r="BF2" s="6">
        <v>22200</v>
      </c>
      <c r="BG2" s="6">
        <v>0</v>
      </c>
      <c r="BH2" s="6">
        <v>0</v>
      </c>
      <c r="BI2" s="6">
        <v>22200</v>
      </c>
      <c r="BJ2" s="3">
        <v>3.6560000000000001</v>
      </c>
      <c r="BK2" s="6">
        <v>469360</v>
      </c>
      <c r="BL2" s="6">
        <v>0</v>
      </c>
      <c r="BM2" s="6">
        <v>0</v>
      </c>
      <c r="BN2" s="6">
        <v>469360</v>
      </c>
      <c r="BO2" s="3">
        <v>4.7756500000000006</v>
      </c>
      <c r="BP2" s="7">
        <v>66854060</v>
      </c>
      <c r="BQ2" s="2">
        <v>6.7269349999999992</v>
      </c>
      <c r="BR2" s="2">
        <v>29.150051666666663</v>
      </c>
    </row>
    <row r="3" spans="1:70">
      <c r="A3">
        <v>1976</v>
      </c>
      <c r="B3" s="1">
        <v>122567</v>
      </c>
      <c r="C3" s="2">
        <v>2270646.2514292342</v>
      </c>
      <c r="D3" s="3">
        <v>18.525755312843049</v>
      </c>
      <c r="E3" s="1">
        <v>73540</v>
      </c>
      <c r="F3" s="4">
        <v>0.44057309061426314</v>
      </c>
      <c r="G3" s="4">
        <v>0.28942626856633347</v>
      </c>
      <c r="H3" s="4">
        <v>0.23769397717768653</v>
      </c>
      <c r="I3" s="4">
        <v>0.31178701935964459</v>
      </c>
      <c r="J3" s="5">
        <v>4.3413940284950021</v>
      </c>
      <c r="K3">
        <v>593</v>
      </c>
      <c r="L3">
        <v>16091</v>
      </c>
      <c r="M3">
        <v>22258</v>
      </c>
      <c r="N3">
        <v>38942</v>
      </c>
      <c r="O3" s="6">
        <v>4447500</v>
      </c>
      <c r="P3" s="6">
        <v>40227500</v>
      </c>
      <c r="Q3" s="6">
        <v>26709600</v>
      </c>
      <c r="R3" s="6">
        <f t="shared" ref="R3:R52" si="0">Q3+P3+O3</f>
        <v>71384600</v>
      </c>
      <c r="S3" s="2">
        <v>3.1150000000000002</v>
      </c>
      <c r="T3" s="2">
        <v>11.254222222222221</v>
      </c>
      <c r="U3" s="2">
        <v>4.6702000000000004</v>
      </c>
      <c r="V3" s="2">
        <v>19.039422222222221</v>
      </c>
      <c r="W3">
        <v>16</v>
      </c>
      <c r="X3">
        <v>0</v>
      </c>
      <c r="Y3">
        <v>0</v>
      </c>
      <c r="Z3">
        <v>16</v>
      </c>
      <c r="AA3" s="2">
        <v>840423.97512827732</v>
      </c>
      <c r="AB3" s="6">
        <v>388800</v>
      </c>
      <c r="AC3" s="6">
        <v>0</v>
      </c>
      <c r="AD3" s="6">
        <v>0</v>
      </c>
      <c r="AE3" s="6">
        <v>388800</v>
      </c>
      <c r="AF3" s="3">
        <v>1.4896319900687571</v>
      </c>
      <c r="AG3">
        <v>16</v>
      </c>
      <c r="AH3">
        <v>0</v>
      </c>
      <c r="AI3">
        <v>0</v>
      </c>
      <c r="AJ3">
        <v>16</v>
      </c>
      <c r="AK3" s="2">
        <v>1389697.7379198181</v>
      </c>
      <c r="AL3" s="6">
        <v>126080</v>
      </c>
      <c r="AM3" s="6">
        <v>0</v>
      </c>
      <c r="AN3" s="6">
        <v>0</v>
      </c>
      <c r="AO3" s="6">
        <v>126080</v>
      </c>
      <c r="AP3" s="3">
        <v>3.1719499793099105E-2</v>
      </c>
      <c r="AQ3">
        <v>0</v>
      </c>
      <c r="AR3">
        <v>0</v>
      </c>
      <c r="AS3">
        <v>0</v>
      </c>
      <c r="AT3">
        <v>0</v>
      </c>
      <c r="AU3" s="2">
        <v>0</v>
      </c>
      <c r="AV3" s="6">
        <v>0</v>
      </c>
      <c r="AW3" s="6">
        <v>0</v>
      </c>
      <c r="AX3" s="6">
        <v>0</v>
      </c>
      <c r="AY3" s="6">
        <v>0</v>
      </c>
      <c r="AZ3" s="3">
        <v>0</v>
      </c>
      <c r="BA3">
        <v>4</v>
      </c>
      <c r="BB3">
        <v>0</v>
      </c>
      <c r="BC3">
        <v>0</v>
      </c>
      <c r="BD3">
        <v>4</v>
      </c>
      <c r="BE3" s="2">
        <v>40524.538381139027</v>
      </c>
      <c r="BF3" s="6">
        <v>23640</v>
      </c>
      <c r="BG3" s="6">
        <v>0</v>
      </c>
      <c r="BH3" s="6">
        <v>0</v>
      </c>
      <c r="BI3" s="6">
        <v>23640</v>
      </c>
      <c r="BJ3" s="3">
        <v>5.2013999586198212</v>
      </c>
      <c r="BK3" s="6">
        <v>538520</v>
      </c>
      <c r="BL3" s="6">
        <v>0</v>
      </c>
      <c r="BM3" s="6">
        <v>0</v>
      </c>
      <c r="BN3" s="6">
        <v>538520</v>
      </c>
      <c r="BO3" s="3">
        <v>6.7227514484816773</v>
      </c>
      <c r="BP3" s="7">
        <v>71923120</v>
      </c>
      <c r="BQ3" s="2">
        <v>7.7286521012111695</v>
      </c>
      <c r="BR3" s="2">
        <v>33.49082577191507</v>
      </c>
    </row>
    <row r="4" spans="1:70">
      <c r="A4">
        <v>1977</v>
      </c>
      <c r="B4" s="1">
        <v>125269</v>
      </c>
      <c r="C4" s="2">
        <v>2614070.6345539237</v>
      </c>
      <c r="D4" s="3">
        <v>20.867657876680774</v>
      </c>
      <c r="E4" s="1">
        <v>75161</v>
      </c>
      <c r="F4" s="4">
        <v>0.45827862966356325</v>
      </c>
      <c r="G4" s="4">
        <v>0.31107587158321887</v>
      </c>
      <c r="H4" s="4">
        <v>0.32216903484254766</v>
      </c>
      <c r="I4" s="4">
        <v>0.3581183510739972</v>
      </c>
      <c r="J4" s="5">
        <v>4.6661380737482832</v>
      </c>
      <c r="K4">
        <v>774</v>
      </c>
      <c r="L4">
        <v>17474</v>
      </c>
      <c r="M4">
        <v>22562</v>
      </c>
      <c r="N4">
        <v>40810</v>
      </c>
      <c r="O4" s="6">
        <v>5805000</v>
      </c>
      <c r="P4" s="6">
        <v>43685000</v>
      </c>
      <c r="Q4" s="6">
        <v>27074400</v>
      </c>
      <c r="R4" s="6">
        <f t="shared" si="0"/>
        <v>76564400</v>
      </c>
      <c r="S4" s="2">
        <v>3.9633333333333334</v>
      </c>
      <c r="T4" s="2">
        <v>11.919111111111111</v>
      </c>
      <c r="U4" s="2">
        <v>4.6169333333333329</v>
      </c>
      <c r="V4" s="2">
        <v>20.499377777777777</v>
      </c>
      <c r="W4">
        <v>19</v>
      </c>
      <c r="X4">
        <v>0</v>
      </c>
      <c r="Y4">
        <v>0</v>
      </c>
      <c r="Z4">
        <v>19</v>
      </c>
      <c r="AA4" s="2">
        <v>997260.36552904954</v>
      </c>
      <c r="AB4" s="6">
        <v>459800</v>
      </c>
      <c r="AC4" s="6">
        <v>0</v>
      </c>
      <c r="AD4" s="6">
        <v>0</v>
      </c>
      <c r="AE4" s="6">
        <v>459800</v>
      </c>
      <c r="AF4" s="3">
        <v>1.920342904596704</v>
      </c>
      <c r="AG4">
        <v>19</v>
      </c>
      <c r="AH4">
        <v>0</v>
      </c>
      <c r="AI4">
        <v>0</v>
      </c>
      <c r="AJ4">
        <v>19</v>
      </c>
      <c r="AK4" s="2">
        <v>1574286.3962198731</v>
      </c>
      <c r="AL4" s="6">
        <v>144400</v>
      </c>
      <c r="AM4" s="6">
        <v>0</v>
      </c>
      <c r="AN4" s="6">
        <v>0</v>
      </c>
      <c r="AO4" s="6">
        <v>144400</v>
      </c>
      <c r="AP4" s="3">
        <v>4.1603098839557637E-2</v>
      </c>
      <c r="AQ4">
        <v>0</v>
      </c>
      <c r="AR4">
        <v>0</v>
      </c>
      <c r="AS4">
        <v>0</v>
      </c>
      <c r="AT4">
        <v>0</v>
      </c>
      <c r="AU4" s="2">
        <v>0</v>
      </c>
      <c r="AV4" s="6">
        <v>0</v>
      </c>
      <c r="AW4" s="6">
        <v>0</v>
      </c>
      <c r="AX4" s="6">
        <v>0</v>
      </c>
      <c r="AY4" s="6">
        <v>0</v>
      </c>
      <c r="AZ4" s="3">
        <v>0</v>
      </c>
      <c r="BA4">
        <v>5</v>
      </c>
      <c r="BB4">
        <v>0</v>
      </c>
      <c r="BC4">
        <v>0</v>
      </c>
      <c r="BD4">
        <v>5</v>
      </c>
      <c r="BE4" s="2">
        <v>42523.872805001112</v>
      </c>
      <c r="BF4" s="6">
        <v>28425</v>
      </c>
      <c r="BG4" s="6">
        <v>0</v>
      </c>
      <c r="BH4" s="6">
        <v>0</v>
      </c>
      <c r="BI4" s="6">
        <v>28425</v>
      </c>
      <c r="BJ4" s="3">
        <v>6.8482967708081413</v>
      </c>
      <c r="BK4" s="6">
        <v>632625</v>
      </c>
      <c r="BL4" s="6">
        <v>0</v>
      </c>
      <c r="BM4" s="6">
        <v>0</v>
      </c>
      <c r="BN4" s="6">
        <v>632625</v>
      </c>
      <c r="BO4" s="3">
        <v>8.8102427742444025</v>
      </c>
      <c r="BP4" s="7">
        <v>77197025</v>
      </c>
      <c r="BQ4" s="2">
        <v>8.7928861656066548</v>
      </c>
      <c r="BR4" s="2">
        <v>38.102506717628835</v>
      </c>
    </row>
    <row r="5" spans="1:70">
      <c r="A5">
        <v>1978</v>
      </c>
      <c r="B5" s="1">
        <v>128129</v>
      </c>
      <c r="C5" s="2">
        <v>2970168.2124395324</v>
      </c>
      <c r="D5" s="3">
        <v>23.181076980539398</v>
      </c>
      <c r="E5" s="1">
        <v>76877</v>
      </c>
      <c r="F5" s="4">
        <v>0.47394753904211623</v>
      </c>
      <c r="G5" s="4">
        <v>0.33166961100163966</v>
      </c>
      <c r="H5" s="4">
        <v>0.41887188191888058</v>
      </c>
      <c r="I5" s="4">
        <v>0.40380564633965038</v>
      </c>
      <c r="J5" s="5">
        <v>4.9750441650245953</v>
      </c>
      <c r="K5">
        <v>982</v>
      </c>
      <c r="L5">
        <v>18849</v>
      </c>
      <c r="M5">
        <v>22910</v>
      </c>
      <c r="N5">
        <v>42741</v>
      </c>
      <c r="O5" s="6">
        <v>7365000</v>
      </c>
      <c r="P5" s="6">
        <v>47122500</v>
      </c>
      <c r="Q5" s="6">
        <v>27492000</v>
      </c>
      <c r="R5" s="6">
        <f t="shared" si="0"/>
        <v>81979500</v>
      </c>
      <c r="S5" s="2">
        <v>4.9083333333333332</v>
      </c>
      <c r="T5" s="2">
        <v>12.556444444444445</v>
      </c>
      <c r="U5" s="2">
        <v>4.5785333333333336</v>
      </c>
      <c r="V5" s="2">
        <v>22.043311111111109</v>
      </c>
      <c r="W5">
        <v>21</v>
      </c>
      <c r="X5">
        <v>0</v>
      </c>
      <c r="Y5">
        <v>0</v>
      </c>
      <c r="Z5">
        <v>21</v>
      </c>
      <c r="AA5" s="2">
        <v>1163151.843647148</v>
      </c>
      <c r="AB5" s="6">
        <v>520800</v>
      </c>
      <c r="AC5" s="6">
        <v>0</v>
      </c>
      <c r="AD5" s="6">
        <v>0</v>
      </c>
      <c r="AE5" s="6">
        <v>520800</v>
      </c>
      <c r="AF5" s="3">
        <v>2.3813578488509117</v>
      </c>
      <c r="AG5">
        <v>21</v>
      </c>
      <c r="AH5">
        <v>0</v>
      </c>
      <c r="AI5">
        <v>0</v>
      </c>
      <c r="AJ5">
        <v>21</v>
      </c>
      <c r="AK5" s="2">
        <v>1762601.2630580761</v>
      </c>
      <c r="AL5" s="6">
        <v>163800</v>
      </c>
      <c r="AM5" s="6">
        <v>0</v>
      </c>
      <c r="AN5" s="6">
        <v>0</v>
      </c>
      <c r="AO5" s="6">
        <v>163800</v>
      </c>
      <c r="AP5" s="3">
        <v>5.235991251041279E-2</v>
      </c>
      <c r="AQ5">
        <v>0</v>
      </c>
      <c r="AR5">
        <v>0</v>
      </c>
      <c r="AS5">
        <v>0</v>
      </c>
      <c r="AT5">
        <v>0</v>
      </c>
      <c r="AU5" s="2">
        <v>0</v>
      </c>
      <c r="AV5" s="6">
        <v>0</v>
      </c>
      <c r="AW5" s="6">
        <v>0</v>
      </c>
      <c r="AX5" s="6">
        <v>0</v>
      </c>
      <c r="AY5" s="6">
        <v>0</v>
      </c>
      <c r="AZ5" s="3">
        <v>0</v>
      </c>
      <c r="BA5">
        <v>5</v>
      </c>
      <c r="BB5">
        <v>0</v>
      </c>
      <c r="BC5">
        <v>0</v>
      </c>
      <c r="BD5">
        <v>5</v>
      </c>
      <c r="BE5" s="2">
        <v>44415.105734308308</v>
      </c>
      <c r="BF5" s="6">
        <v>29100</v>
      </c>
      <c r="BG5" s="6">
        <v>0</v>
      </c>
      <c r="BH5" s="6">
        <v>0</v>
      </c>
      <c r="BI5" s="6">
        <v>29100</v>
      </c>
      <c r="BJ5" s="3">
        <v>8.5644484209357046</v>
      </c>
      <c r="BK5" s="6">
        <v>713700</v>
      </c>
      <c r="BL5" s="6">
        <v>0</v>
      </c>
      <c r="BM5" s="6">
        <v>0</v>
      </c>
      <c r="BN5" s="6">
        <v>713700</v>
      </c>
      <c r="BO5" s="3">
        <v>10.998166182297028</v>
      </c>
      <c r="BP5" s="7">
        <v>82693200</v>
      </c>
      <c r="BQ5" s="2">
        <v>9.91244318802244</v>
      </c>
      <c r="BR5" s="2">
        <v>42.953920481430572</v>
      </c>
    </row>
    <row r="6" spans="1:70">
      <c r="A6">
        <v>1979</v>
      </c>
      <c r="B6" s="1">
        <v>131163</v>
      </c>
      <c r="C6" s="2">
        <v>3343983.5373201589</v>
      </c>
      <c r="D6" s="3">
        <v>25.494869264351678</v>
      </c>
      <c r="E6" s="1">
        <v>78697</v>
      </c>
      <c r="F6" s="4">
        <v>0.48815286818176623</v>
      </c>
      <c r="G6" s="4">
        <v>0.35125898189694182</v>
      </c>
      <c r="H6" s="4">
        <v>0.52225440382703736</v>
      </c>
      <c r="I6" s="4">
        <v>0.44739225832787449</v>
      </c>
      <c r="J6" s="5">
        <v>5.2688847284541271</v>
      </c>
      <c r="K6">
        <v>1219</v>
      </c>
      <c r="L6">
        <v>20239</v>
      </c>
      <c r="M6">
        <v>23294</v>
      </c>
      <c r="N6">
        <v>44752</v>
      </c>
      <c r="O6" s="6">
        <v>9142500</v>
      </c>
      <c r="P6" s="6">
        <v>50597500</v>
      </c>
      <c r="Q6" s="6">
        <v>27952800</v>
      </c>
      <c r="R6" s="6">
        <f t="shared" si="0"/>
        <v>87692800</v>
      </c>
      <c r="S6" s="2">
        <v>5.9533333333333331</v>
      </c>
      <c r="T6" s="2">
        <v>13.181555555555555</v>
      </c>
      <c r="U6" s="2">
        <v>4.5514666666666663</v>
      </c>
      <c r="V6" s="2">
        <v>23.686355555555554</v>
      </c>
      <c r="W6">
        <v>24</v>
      </c>
      <c r="X6">
        <v>0</v>
      </c>
      <c r="Y6">
        <v>0</v>
      </c>
      <c r="Z6">
        <v>24</v>
      </c>
      <c r="AA6" s="2">
        <v>1340000.9682575495</v>
      </c>
      <c r="AB6" s="6">
        <v>578400</v>
      </c>
      <c r="AC6" s="6">
        <v>0</v>
      </c>
      <c r="AD6" s="6">
        <v>0</v>
      </c>
      <c r="AE6" s="6">
        <v>578400</v>
      </c>
      <c r="AF6" s="3">
        <v>2.8698206100901658</v>
      </c>
      <c r="AG6">
        <v>24</v>
      </c>
      <c r="AH6">
        <v>0</v>
      </c>
      <c r="AI6">
        <v>0</v>
      </c>
      <c r="AJ6">
        <v>24</v>
      </c>
      <c r="AK6" s="2">
        <v>1957719.6870850944</v>
      </c>
      <c r="AL6" s="6">
        <v>186240</v>
      </c>
      <c r="AM6" s="6">
        <v>0</v>
      </c>
      <c r="AN6" s="6">
        <v>0</v>
      </c>
      <c r="AO6" s="6">
        <v>186240</v>
      </c>
      <c r="AP6" s="3">
        <v>6.3942119971981848E-2</v>
      </c>
      <c r="AQ6">
        <v>0</v>
      </c>
      <c r="AR6">
        <v>0</v>
      </c>
      <c r="AS6">
        <v>0</v>
      </c>
      <c r="AT6">
        <v>0</v>
      </c>
      <c r="AU6" s="2">
        <v>0</v>
      </c>
      <c r="AV6" s="6">
        <v>0</v>
      </c>
      <c r="AW6" s="6">
        <v>0</v>
      </c>
      <c r="AX6" s="6">
        <v>0</v>
      </c>
      <c r="AY6" s="6">
        <v>0</v>
      </c>
      <c r="AZ6" s="3">
        <v>0</v>
      </c>
      <c r="BA6">
        <v>5</v>
      </c>
      <c r="BB6">
        <v>0</v>
      </c>
      <c r="BC6">
        <v>0</v>
      </c>
      <c r="BD6">
        <v>5</v>
      </c>
      <c r="BE6" s="2">
        <v>46262.881977514713</v>
      </c>
      <c r="BF6" s="6">
        <v>27975</v>
      </c>
      <c r="BG6" s="6">
        <v>0</v>
      </c>
      <c r="BH6" s="6">
        <v>0</v>
      </c>
      <c r="BI6" s="6">
        <v>27975</v>
      </c>
      <c r="BJ6" s="3">
        <v>10.338604546218424</v>
      </c>
      <c r="BK6" s="6">
        <v>792615</v>
      </c>
      <c r="BL6" s="6">
        <v>0</v>
      </c>
      <c r="BM6" s="6">
        <v>0</v>
      </c>
      <c r="BN6" s="6">
        <v>792615</v>
      </c>
      <c r="BO6" s="3">
        <v>13.272367276280571</v>
      </c>
      <c r="BP6" s="7">
        <v>88485415</v>
      </c>
      <c r="BQ6" s="2">
        <v>11.087616849550837</v>
      </c>
      <c r="BR6" s="2">
        <v>48.046339681386968</v>
      </c>
    </row>
    <row r="7" spans="1:70">
      <c r="A7">
        <v>1980</v>
      </c>
      <c r="B7" s="1">
        <v>134376</v>
      </c>
      <c r="C7" s="2">
        <v>3740886.1133222142</v>
      </c>
      <c r="D7" s="3">
        <v>27.838945297688682</v>
      </c>
      <c r="E7" s="1">
        <v>80625</v>
      </c>
      <c r="F7" s="4">
        <v>0.50130864277862963</v>
      </c>
      <c r="G7" s="4">
        <v>0.36989296790001103</v>
      </c>
      <c r="H7" s="4">
        <v>0.62504324817839219</v>
      </c>
      <c r="I7" s="4">
        <v>0.48756266822183608</v>
      </c>
      <c r="J7" s="5">
        <v>5.5483945185001655</v>
      </c>
      <c r="K7">
        <v>1485</v>
      </c>
      <c r="L7">
        <v>21663</v>
      </c>
      <c r="M7">
        <v>23710</v>
      </c>
      <c r="N7">
        <v>46858</v>
      </c>
      <c r="O7" s="6">
        <v>11137500</v>
      </c>
      <c r="P7" s="6">
        <v>54157500</v>
      </c>
      <c r="Q7" s="6">
        <v>28452000</v>
      </c>
      <c r="R7" s="6">
        <f t="shared" si="0"/>
        <v>93747000</v>
      </c>
      <c r="S7" s="2">
        <v>7.1</v>
      </c>
      <c r="T7" s="2">
        <v>13.804666666666666</v>
      </c>
      <c r="U7" s="2">
        <v>4.532866666666667</v>
      </c>
      <c r="V7" s="2">
        <v>25.437533333333331</v>
      </c>
      <c r="W7">
        <v>27</v>
      </c>
      <c r="X7">
        <v>0</v>
      </c>
      <c r="Y7">
        <v>0</v>
      </c>
      <c r="Z7">
        <v>27</v>
      </c>
      <c r="AA7" s="2">
        <v>1529994.8918173516</v>
      </c>
      <c r="AB7" s="6">
        <v>658800</v>
      </c>
      <c r="AC7" s="6">
        <v>0</v>
      </c>
      <c r="AD7" s="6">
        <v>0</v>
      </c>
      <c r="AE7" s="6">
        <v>658800</v>
      </c>
      <c r="AF7" s="3">
        <v>3.384099891990529</v>
      </c>
      <c r="AG7">
        <v>27</v>
      </c>
      <c r="AH7">
        <v>0</v>
      </c>
      <c r="AI7">
        <v>0</v>
      </c>
      <c r="AJ7">
        <v>27</v>
      </c>
      <c r="AK7" s="2">
        <v>2162775.7630421375</v>
      </c>
      <c r="AL7" s="6">
        <v>206280</v>
      </c>
      <c r="AM7" s="6">
        <v>0</v>
      </c>
      <c r="AN7" s="6">
        <v>0</v>
      </c>
      <c r="AO7" s="6">
        <v>206280</v>
      </c>
      <c r="AP7" s="3">
        <v>7.6325283841692654E-2</v>
      </c>
      <c r="AQ7">
        <v>0</v>
      </c>
      <c r="AR7">
        <v>0</v>
      </c>
      <c r="AS7">
        <v>0</v>
      </c>
      <c r="AT7">
        <v>0</v>
      </c>
      <c r="AU7" s="2">
        <v>0</v>
      </c>
      <c r="AV7" s="6">
        <v>0</v>
      </c>
      <c r="AW7" s="6">
        <v>0</v>
      </c>
      <c r="AX7" s="6">
        <v>0</v>
      </c>
      <c r="AY7" s="6">
        <v>0</v>
      </c>
      <c r="AZ7" s="3">
        <v>0</v>
      </c>
      <c r="BA7">
        <v>5</v>
      </c>
      <c r="BB7">
        <v>0</v>
      </c>
      <c r="BC7">
        <v>0</v>
      </c>
      <c r="BD7">
        <v>5</v>
      </c>
      <c r="BE7" s="2">
        <v>48115.458462725393</v>
      </c>
      <c r="BF7" s="6">
        <v>27975</v>
      </c>
      <c r="BG7" s="6">
        <v>0</v>
      </c>
      <c r="BH7" s="6">
        <v>0</v>
      </c>
      <c r="BI7" s="6">
        <v>27975</v>
      </c>
      <c r="BJ7" s="3">
        <v>12.165029585370636</v>
      </c>
      <c r="BK7" s="6">
        <v>893055</v>
      </c>
      <c r="BL7" s="6">
        <v>0</v>
      </c>
      <c r="BM7" s="6">
        <v>0</v>
      </c>
      <c r="BN7" s="6">
        <v>893055</v>
      </c>
      <c r="BO7" s="3">
        <v>15.625454761202857</v>
      </c>
      <c r="BP7" s="7">
        <v>94640055</v>
      </c>
      <c r="BQ7" s="2">
        <v>12.318896428360857</v>
      </c>
      <c r="BR7" s="2">
        <v>53.381884522897046</v>
      </c>
    </row>
    <row r="8" spans="1:70">
      <c r="A8">
        <v>1981</v>
      </c>
      <c r="B8" s="1">
        <v>137756</v>
      </c>
      <c r="C8" s="2">
        <v>4166622.9411864267</v>
      </c>
      <c r="D8" s="3">
        <v>30.24639900393759</v>
      </c>
      <c r="E8" s="1">
        <v>82653</v>
      </c>
      <c r="F8" s="4">
        <v>0.51373388625208849</v>
      </c>
      <c r="G8" s="4">
        <v>0.38761816368186502</v>
      </c>
      <c r="H8" s="4">
        <v>0.71997786617798709</v>
      </c>
      <c r="I8" s="4">
        <v>0.52338406114808267</v>
      </c>
      <c r="J8" s="5">
        <v>5.8142724552279752</v>
      </c>
      <c r="K8">
        <v>1785</v>
      </c>
      <c r="L8">
        <v>23136</v>
      </c>
      <c r="M8">
        <v>24150</v>
      </c>
      <c r="N8">
        <v>49071</v>
      </c>
      <c r="O8" s="6">
        <v>13387500</v>
      </c>
      <c r="P8" s="6">
        <v>57840000</v>
      </c>
      <c r="Q8" s="6">
        <v>28980000</v>
      </c>
      <c r="R8" s="6">
        <f t="shared" si="0"/>
        <v>100207500</v>
      </c>
      <c r="S8" s="2">
        <v>8.3550000000000004</v>
      </c>
      <c r="T8" s="2">
        <v>14.432666666666666</v>
      </c>
      <c r="U8" s="2">
        <v>4.5196666666666667</v>
      </c>
      <c r="V8" s="2">
        <v>27.307333333333332</v>
      </c>
      <c r="W8">
        <v>29</v>
      </c>
      <c r="X8">
        <v>0</v>
      </c>
      <c r="Y8">
        <v>0</v>
      </c>
      <c r="Z8">
        <v>29</v>
      </c>
      <c r="AA8" s="2">
        <v>1735564.4144742596</v>
      </c>
      <c r="AB8" s="6">
        <v>696000</v>
      </c>
      <c r="AC8" s="6">
        <v>0</v>
      </c>
      <c r="AD8" s="6">
        <v>0</v>
      </c>
      <c r="AE8" s="6">
        <v>696000</v>
      </c>
      <c r="AF8" s="3">
        <v>3.9230512526756018</v>
      </c>
      <c r="AG8">
        <v>29</v>
      </c>
      <c r="AH8">
        <v>0</v>
      </c>
      <c r="AI8">
        <v>0</v>
      </c>
      <c r="AJ8">
        <v>29</v>
      </c>
      <c r="AK8" s="2">
        <v>2381048.8099587485</v>
      </c>
      <c r="AL8" s="6">
        <v>222720</v>
      </c>
      <c r="AM8" s="6">
        <v>0</v>
      </c>
      <c r="AN8" s="6">
        <v>0</v>
      </c>
      <c r="AO8" s="6">
        <v>222720</v>
      </c>
      <c r="AP8" s="3">
        <v>8.9493803539035729E-2</v>
      </c>
      <c r="AQ8">
        <v>0</v>
      </c>
      <c r="AR8">
        <v>0</v>
      </c>
      <c r="AS8">
        <v>0</v>
      </c>
      <c r="AT8">
        <v>0</v>
      </c>
      <c r="AU8" s="2">
        <v>0</v>
      </c>
      <c r="AV8" s="6">
        <v>0</v>
      </c>
      <c r="AW8" s="6">
        <v>0</v>
      </c>
      <c r="AX8" s="6">
        <v>0</v>
      </c>
      <c r="AY8" s="6">
        <v>0</v>
      </c>
      <c r="AZ8" s="3">
        <v>0</v>
      </c>
      <c r="BA8">
        <v>5</v>
      </c>
      <c r="BB8">
        <v>0</v>
      </c>
      <c r="BC8">
        <v>0</v>
      </c>
      <c r="BD8">
        <v>5</v>
      </c>
      <c r="BE8" s="2">
        <v>50009.716753418739</v>
      </c>
      <c r="BF8" s="6">
        <v>27975</v>
      </c>
      <c r="BG8" s="6">
        <v>0</v>
      </c>
      <c r="BH8" s="6">
        <v>0</v>
      </c>
      <c r="BI8" s="6">
        <v>27975</v>
      </c>
      <c r="BJ8" s="3">
        <v>14.040182269352343</v>
      </c>
      <c r="BK8" s="6">
        <v>946695</v>
      </c>
      <c r="BL8" s="6">
        <v>0</v>
      </c>
      <c r="BM8" s="6">
        <v>0</v>
      </c>
      <c r="BN8" s="6">
        <v>946695</v>
      </c>
      <c r="BO8" s="3">
        <v>18.05272732556698</v>
      </c>
      <c r="BP8" s="7">
        <v>101154195</v>
      </c>
      <c r="BQ8" s="2">
        <v>13.608018197670093</v>
      </c>
      <c r="BR8" s="2">
        <v>58.968078856570401</v>
      </c>
    </row>
    <row r="9" spans="1:70">
      <c r="A9">
        <v>1982</v>
      </c>
      <c r="B9" s="1">
        <v>141268</v>
      </c>
      <c r="C9" s="2">
        <v>4627653.1088202009</v>
      </c>
      <c r="D9" s="3">
        <v>32.757971435995422</v>
      </c>
      <c r="E9" s="1">
        <v>84760</v>
      </c>
      <c r="F9" s="4">
        <v>0.52570111855780144</v>
      </c>
      <c r="G9" s="4">
        <v>0.40447889146460037</v>
      </c>
      <c r="H9" s="4">
        <v>0.80161754490359272</v>
      </c>
      <c r="I9" s="4">
        <v>0.55445630407541457</v>
      </c>
      <c r="J9" s="5">
        <v>6.0671833719690058</v>
      </c>
      <c r="K9">
        <v>2121</v>
      </c>
      <c r="L9">
        <v>24670</v>
      </c>
      <c r="M9">
        <v>24604</v>
      </c>
      <c r="N9">
        <v>51395</v>
      </c>
      <c r="O9" s="6">
        <v>15907500</v>
      </c>
      <c r="P9" s="6">
        <v>61675000</v>
      </c>
      <c r="Q9" s="6">
        <v>29524800</v>
      </c>
      <c r="R9" s="6">
        <f t="shared" si="0"/>
        <v>107107300</v>
      </c>
      <c r="S9" s="2">
        <v>9.7183333333333337</v>
      </c>
      <c r="T9" s="2">
        <v>15.068444444444445</v>
      </c>
      <c r="U9" s="2">
        <v>4.5084666666666671</v>
      </c>
      <c r="V9" s="2">
        <v>29.295244444444446</v>
      </c>
      <c r="W9">
        <v>32</v>
      </c>
      <c r="X9">
        <v>0</v>
      </c>
      <c r="Y9">
        <v>0</v>
      </c>
      <c r="Z9">
        <v>32</v>
      </c>
      <c r="AA9" s="2">
        <v>1959490.6867428117</v>
      </c>
      <c r="AB9" s="6">
        <v>787200</v>
      </c>
      <c r="AC9" s="6">
        <v>0</v>
      </c>
      <c r="AD9" s="6">
        <v>0</v>
      </c>
      <c r="AE9" s="6">
        <v>787200</v>
      </c>
      <c r="AF9" s="3">
        <v>4.485815993429914</v>
      </c>
      <c r="AG9">
        <v>32</v>
      </c>
      <c r="AH9">
        <v>0</v>
      </c>
      <c r="AI9">
        <v>0</v>
      </c>
      <c r="AJ9">
        <v>32</v>
      </c>
      <c r="AK9" s="2">
        <v>2616186.6087545631</v>
      </c>
      <c r="AL9" s="6">
        <v>244480</v>
      </c>
      <c r="AM9" s="6">
        <v>0</v>
      </c>
      <c r="AN9" s="6">
        <v>0</v>
      </c>
      <c r="AO9" s="6">
        <v>244480</v>
      </c>
      <c r="AP9" s="3">
        <v>0.10343706893109066</v>
      </c>
      <c r="AQ9">
        <v>0</v>
      </c>
      <c r="AR9">
        <v>0</v>
      </c>
      <c r="AS9">
        <v>0</v>
      </c>
      <c r="AT9">
        <v>0</v>
      </c>
      <c r="AU9" s="2">
        <v>0</v>
      </c>
      <c r="AV9" s="6">
        <v>0</v>
      </c>
      <c r="AW9" s="6">
        <v>0</v>
      </c>
      <c r="AX9" s="6">
        <v>0</v>
      </c>
      <c r="AY9" s="6">
        <v>0</v>
      </c>
      <c r="AZ9" s="3">
        <v>0</v>
      </c>
      <c r="BA9">
        <v>5</v>
      </c>
      <c r="BB9">
        <v>0</v>
      </c>
      <c r="BC9">
        <v>0</v>
      </c>
      <c r="BD9">
        <v>5</v>
      </c>
      <c r="BE9" s="2">
        <v>51975.813322826667</v>
      </c>
      <c r="BF9" s="6">
        <v>28425</v>
      </c>
      <c r="BG9" s="6">
        <v>0</v>
      </c>
      <c r="BH9" s="6">
        <v>0</v>
      </c>
      <c r="BI9" s="6">
        <v>28425</v>
      </c>
      <c r="BJ9" s="3">
        <v>15.961779942062311</v>
      </c>
      <c r="BK9" s="6">
        <v>1060105</v>
      </c>
      <c r="BL9" s="6">
        <v>0</v>
      </c>
      <c r="BM9" s="6">
        <v>0</v>
      </c>
      <c r="BN9" s="6">
        <v>1060105</v>
      </c>
      <c r="BO9" s="3">
        <v>20.551033004423317</v>
      </c>
      <c r="BP9" s="7">
        <v>108167405</v>
      </c>
      <c r="BQ9" s="2">
        <v>14.95388323466033</v>
      </c>
      <c r="BR9" s="2">
        <v>64.800160683528091</v>
      </c>
    </row>
    <row r="10" spans="1:70">
      <c r="A10">
        <v>1983</v>
      </c>
      <c r="B10" s="1">
        <v>144855</v>
      </c>
      <c r="C10" s="2">
        <v>5131537.7943015182</v>
      </c>
      <c r="D10" s="3">
        <v>35.425341163933027</v>
      </c>
      <c r="E10" s="1">
        <v>86913</v>
      </c>
      <c r="F10" s="4">
        <v>0.53745973050568518</v>
      </c>
      <c r="G10" s="4">
        <v>0.42051731185003499</v>
      </c>
      <c r="H10" s="4">
        <v>0.86721566337049594</v>
      </c>
      <c r="I10" s="4">
        <v>0.58087895301534964</v>
      </c>
      <c r="J10" s="5">
        <v>6.3077596777505249</v>
      </c>
      <c r="K10">
        <v>2497</v>
      </c>
      <c r="L10">
        <v>26275</v>
      </c>
      <c r="M10">
        <v>25056</v>
      </c>
      <c r="N10">
        <v>53828</v>
      </c>
      <c r="O10" s="6">
        <v>18727500</v>
      </c>
      <c r="P10" s="6">
        <v>65687500</v>
      </c>
      <c r="Q10" s="6">
        <v>30067200</v>
      </c>
      <c r="R10" s="6">
        <f t="shared" si="0"/>
        <v>114482200</v>
      </c>
      <c r="S10" s="2">
        <v>11.2</v>
      </c>
      <c r="T10" s="2">
        <v>15.712444444444445</v>
      </c>
      <c r="U10" s="2">
        <v>4.4951999999999996</v>
      </c>
      <c r="V10" s="2">
        <v>31.407644444444447</v>
      </c>
      <c r="W10">
        <v>35</v>
      </c>
      <c r="X10">
        <v>0</v>
      </c>
      <c r="Y10">
        <v>0</v>
      </c>
      <c r="Z10">
        <v>35</v>
      </c>
      <c r="AA10" s="2">
        <v>2205051.8964001732</v>
      </c>
      <c r="AB10" s="6">
        <v>861000</v>
      </c>
      <c r="AC10" s="6">
        <v>0</v>
      </c>
      <c r="AD10" s="6">
        <v>0</v>
      </c>
      <c r="AE10" s="6">
        <v>861000</v>
      </c>
      <c r="AF10" s="3">
        <v>5.071784740000127</v>
      </c>
      <c r="AG10">
        <v>35</v>
      </c>
      <c r="AH10">
        <v>0</v>
      </c>
      <c r="AI10">
        <v>0</v>
      </c>
      <c r="AJ10">
        <v>35</v>
      </c>
      <c r="AK10" s="2">
        <v>2872445.3156287372</v>
      </c>
      <c r="AL10" s="6">
        <v>271600</v>
      </c>
      <c r="AM10" s="6">
        <v>0</v>
      </c>
      <c r="AN10" s="6">
        <v>0</v>
      </c>
      <c r="AO10" s="6">
        <v>271600</v>
      </c>
      <c r="AP10" s="3">
        <v>0.1181489090751581</v>
      </c>
      <c r="AQ10">
        <v>0</v>
      </c>
      <c r="AR10">
        <v>0</v>
      </c>
      <c r="AS10">
        <v>0</v>
      </c>
      <c r="AT10">
        <v>0</v>
      </c>
      <c r="AU10" s="2">
        <v>0</v>
      </c>
      <c r="AV10" s="6">
        <v>0</v>
      </c>
      <c r="AW10" s="6">
        <v>0</v>
      </c>
      <c r="AX10" s="6">
        <v>0</v>
      </c>
      <c r="AY10" s="6">
        <v>0</v>
      </c>
      <c r="AZ10" s="3">
        <v>0</v>
      </c>
      <c r="BA10">
        <v>5</v>
      </c>
      <c r="BB10">
        <v>0</v>
      </c>
      <c r="BC10">
        <v>0</v>
      </c>
      <c r="BD10">
        <v>5</v>
      </c>
      <c r="BE10" s="2">
        <v>54040.582272608248</v>
      </c>
      <c r="BF10" s="6">
        <v>28650</v>
      </c>
      <c r="BG10" s="6">
        <v>0</v>
      </c>
      <c r="BH10" s="6">
        <v>0</v>
      </c>
      <c r="BI10" s="6">
        <v>28650</v>
      </c>
      <c r="BJ10" s="3">
        <v>17.928592390256114</v>
      </c>
      <c r="BK10" s="6">
        <v>1161250</v>
      </c>
      <c r="BL10" s="6">
        <v>0</v>
      </c>
      <c r="BM10" s="6">
        <v>0</v>
      </c>
      <c r="BN10" s="6">
        <v>1161250</v>
      </c>
      <c r="BO10" s="3">
        <v>23.1185260393314</v>
      </c>
      <c r="BP10" s="7">
        <v>115643450</v>
      </c>
      <c r="BQ10" s="2">
        <v>16.357851145132752</v>
      </c>
      <c r="BR10" s="2">
        <v>70.884021628908599</v>
      </c>
    </row>
    <row r="11" spans="1:70">
      <c r="A11">
        <v>1984</v>
      </c>
      <c r="B11" s="1">
        <v>148436</v>
      </c>
      <c r="C11" s="2">
        <v>5686952.5973368417</v>
      </c>
      <c r="D11" s="3">
        <v>38.312488866156741</v>
      </c>
      <c r="E11" s="1">
        <v>89061</v>
      </c>
      <c r="F11" s="4">
        <v>0.54924078676873989</v>
      </c>
      <c r="G11" s="4">
        <v>0.43577352924317242</v>
      </c>
      <c r="H11" s="4">
        <v>0.91654074661664731</v>
      </c>
      <c r="I11" s="4">
        <v>0.60310343382742215</v>
      </c>
      <c r="J11" s="5">
        <v>6.5366029386475866</v>
      </c>
      <c r="K11">
        <v>2915</v>
      </c>
      <c r="L11">
        <v>27956</v>
      </c>
      <c r="M11">
        <v>25488</v>
      </c>
      <c r="N11">
        <v>56359</v>
      </c>
      <c r="O11" s="6">
        <v>21862500</v>
      </c>
      <c r="P11" s="6">
        <v>69890000</v>
      </c>
      <c r="Q11" s="6">
        <v>30585600</v>
      </c>
      <c r="R11" s="6">
        <f t="shared" si="0"/>
        <v>122338100</v>
      </c>
      <c r="S11" s="2">
        <v>12.798333333333334</v>
      </c>
      <c r="T11" s="2">
        <v>16.361555555555555</v>
      </c>
      <c r="U11" s="2">
        <v>4.4752000000000001</v>
      </c>
      <c r="V11" s="2">
        <v>33.635088888888887</v>
      </c>
      <c r="W11">
        <v>37</v>
      </c>
      <c r="X11">
        <v>0</v>
      </c>
      <c r="Y11">
        <v>0</v>
      </c>
      <c r="Z11">
        <v>37</v>
      </c>
      <c r="AA11" s="2">
        <v>2476039.5046787444</v>
      </c>
      <c r="AB11" s="6">
        <v>891700</v>
      </c>
      <c r="AC11" s="6">
        <v>0</v>
      </c>
      <c r="AD11" s="6">
        <v>0</v>
      </c>
      <c r="AE11" s="6">
        <v>891700</v>
      </c>
      <c r="AF11" s="3">
        <v>5.680609942200209</v>
      </c>
      <c r="AG11">
        <v>37</v>
      </c>
      <c r="AH11">
        <v>0</v>
      </c>
      <c r="AI11">
        <v>0</v>
      </c>
      <c r="AJ11">
        <v>37</v>
      </c>
      <c r="AK11" s="2">
        <v>3154688.2496851445</v>
      </c>
      <c r="AL11" s="6">
        <v>281200</v>
      </c>
      <c r="AM11" s="6">
        <v>0</v>
      </c>
      <c r="AN11" s="6">
        <v>0</v>
      </c>
      <c r="AO11" s="6">
        <v>281200</v>
      </c>
      <c r="AP11" s="3">
        <v>0.13362803110707189</v>
      </c>
      <c r="AQ11">
        <v>0</v>
      </c>
      <c r="AR11">
        <v>0</v>
      </c>
      <c r="AS11">
        <v>0</v>
      </c>
      <c r="AT11">
        <v>0</v>
      </c>
      <c r="AU11" s="2">
        <v>0</v>
      </c>
      <c r="AV11" s="6">
        <v>0</v>
      </c>
      <c r="AW11" s="6">
        <v>0</v>
      </c>
      <c r="AX11" s="6">
        <v>0</v>
      </c>
      <c r="AY11" s="6">
        <v>0</v>
      </c>
      <c r="AZ11" s="3">
        <v>0</v>
      </c>
      <c r="BA11">
        <v>5</v>
      </c>
      <c r="BB11">
        <v>0</v>
      </c>
      <c r="BC11">
        <v>0</v>
      </c>
      <c r="BD11">
        <v>5</v>
      </c>
      <c r="BE11" s="2">
        <v>56224.842972952953</v>
      </c>
      <c r="BF11" s="6">
        <v>28425</v>
      </c>
      <c r="BG11" s="6">
        <v>0</v>
      </c>
      <c r="BH11" s="6">
        <v>0</v>
      </c>
      <c r="BI11" s="6">
        <v>28425</v>
      </c>
      <c r="BJ11" s="3">
        <v>19.940451012064212</v>
      </c>
      <c r="BK11" s="6">
        <v>1201325</v>
      </c>
      <c r="BL11" s="6">
        <v>0</v>
      </c>
      <c r="BM11" s="6">
        <v>0</v>
      </c>
      <c r="BN11" s="6">
        <v>1201325</v>
      </c>
      <c r="BO11" s="3">
        <v>25.754688985371494</v>
      </c>
      <c r="BP11" s="7">
        <v>123539425</v>
      </c>
      <c r="BQ11" s="2">
        <v>17.816933362278114</v>
      </c>
      <c r="BR11" s="2">
        <v>77.206711236538496</v>
      </c>
    </row>
    <row r="12" spans="1:70">
      <c r="A12">
        <v>1985</v>
      </c>
      <c r="B12" s="1">
        <v>151909</v>
      </c>
      <c r="C12" s="2">
        <v>6303991.1595043493</v>
      </c>
      <c r="D12" s="3">
        <v>41.498470528437089</v>
      </c>
      <c r="E12" s="1">
        <v>91145</v>
      </c>
      <c r="F12" s="4">
        <v>0.56126246464149721</v>
      </c>
      <c r="G12" s="4">
        <v>0.45028569213410441</v>
      </c>
      <c r="H12" s="4">
        <v>0.9511874962263478</v>
      </c>
      <c r="I12" s="4">
        <v>0.62178478834793283</v>
      </c>
      <c r="J12" s="5">
        <v>6.7542853820115658</v>
      </c>
      <c r="K12">
        <v>3381</v>
      </c>
      <c r="L12">
        <v>29715</v>
      </c>
      <c r="M12">
        <v>25875</v>
      </c>
      <c r="N12">
        <v>58971</v>
      </c>
      <c r="O12" s="6">
        <v>25357500</v>
      </c>
      <c r="P12" s="6">
        <v>74287500</v>
      </c>
      <c r="Q12" s="6">
        <v>31050000</v>
      </c>
      <c r="R12" s="6">
        <f t="shared" si="0"/>
        <v>130695000</v>
      </c>
      <c r="S12" s="2">
        <v>14.516666666666667</v>
      </c>
      <c r="T12" s="2">
        <v>17.009777777777778</v>
      </c>
      <c r="U12" s="2">
        <v>4.4435333333333329</v>
      </c>
      <c r="V12" s="2">
        <v>35.969977777777778</v>
      </c>
      <c r="W12">
        <v>40</v>
      </c>
      <c r="X12">
        <v>0</v>
      </c>
      <c r="Y12">
        <v>0</v>
      </c>
      <c r="Z12">
        <v>40</v>
      </c>
      <c r="AA12" s="2">
        <v>2776879.8240944636</v>
      </c>
      <c r="AB12" s="6">
        <v>988000</v>
      </c>
      <c r="AC12" s="6">
        <v>0</v>
      </c>
      <c r="AD12" s="6">
        <v>0</v>
      </c>
      <c r="AE12" s="6">
        <v>988000</v>
      </c>
      <c r="AF12" s="3">
        <v>6.312167575829176</v>
      </c>
      <c r="AG12">
        <v>40</v>
      </c>
      <c r="AH12">
        <v>0</v>
      </c>
      <c r="AI12">
        <v>0</v>
      </c>
      <c r="AJ12">
        <v>40</v>
      </c>
      <c r="AK12" s="2">
        <v>3468564.5042072642</v>
      </c>
      <c r="AL12" s="6">
        <v>304000</v>
      </c>
      <c r="AM12" s="6">
        <v>0</v>
      </c>
      <c r="AN12" s="6">
        <v>0</v>
      </c>
      <c r="AO12" s="6">
        <v>304000</v>
      </c>
      <c r="AP12" s="3">
        <v>0.1498774033022135</v>
      </c>
      <c r="AQ12">
        <v>0</v>
      </c>
      <c r="AR12">
        <v>0</v>
      </c>
      <c r="AS12">
        <v>0</v>
      </c>
      <c r="AT12">
        <v>0</v>
      </c>
      <c r="AU12" s="2">
        <v>0</v>
      </c>
      <c r="AV12" s="6">
        <v>0</v>
      </c>
      <c r="AW12" s="6">
        <v>0</v>
      </c>
      <c r="AX12" s="6">
        <v>0</v>
      </c>
      <c r="AY12" s="6">
        <v>0</v>
      </c>
      <c r="AZ12" s="3">
        <v>0</v>
      </c>
      <c r="BA12">
        <v>5</v>
      </c>
      <c r="BB12">
        <v>0</v>
      </c>
      <c r="BC12">
        <v>0</v>
      </c>
      <c r="BD12">
        <v>5</v>
      </c>
      <c r="BE12" s="2">
        <v>58546.831202621899</v>
      </c>
      <c r="BF12" s="6">
        <v>28425</v>
      </c>
      <c r="BG12" s="6">
        <v>0</v>
      </c>
      <c r="BH12" s="6">
        <v>0</v>
      </c>
      <c r="BI12" s="6">
        <v>28425</v>
      </c>
      <c r="BJ12" s="3">
        <v>21.99804853652854</v>
      </c>
      <c r="BK12" s="6">
        <v>1320425</v>
      </c>
      <c r="BL12" s="6">
        <v>0</v>
      </c>
      <c r="BM12" s="6">
        <v>0</v>
      </c>
      <c r="BN12" s="6">
        <v>1320425</v>
      </c>
      <c r="BO12" s="3">
        <v>28.460093515659928</v>
      </c>
      <c r="BP12" s="7">
        <v>132015425</v>
      </c>
      <c r="BQ12" s="2">
        <v>19.329021388031311</v>
      </c>
      <c r="BR12" s="2">
        <v>83.759092681469014</v>
      </c>
    </row>
    <row r="13" spans="1:70">
      <c r="A13">
        <v>1986</v>
      </c>
      <c r="B13" s="1">
        <v>155151</v>
      </c>
      <c r="C13" s="2">
        <v>6993286.8604585491</v>
      </c>
      <c r="D13" s="3">
        <v>45.074068877793565</v>
      </c>
      <c r="E13" s="1">
        <v>93090</v>
      </c>
      <c r="F13" s="4">
        <v>0.5737094019012754</v>
      </c>
      <c r="G13" s="4">
        <v>0.46409008848910627</v>
      </c>
      <c r="H13" s="4">
        <v>0.97374600682675516</v>
      </c>
      <c r="I13" s="4">
        <v>0.63764650466791317</v>
      </c>
      <c r="J13" s="5">
        <v>6.9613513273365939</v>
      </c>
      <c r="K13">
        <v>3897</v>
      </c>
      <c r="L13">
        <v>31545</v>
      </c>
      <c r="M13">
        <v>26189</v>
      </c>
      <c r="N13">
        <v>61631</v>
      </c>
      <c r="O13" s="6">
        <v>29227500</v>
      </c>
      <c r="P13" s="6">
        <v>78862500</v>
      </c>
      <c r="Q13" s="6">
        <v>31426800</v>
      </c>
      <c r="R13" s="6">
        <f t="shared" si="0"/>
        <v>139516800</v>
      </c>
      <c r="S13" s="2">
        <v>16.353333333333332</v>
      </c>
      <c r="T13" s="2">
        <v>17.646888888888888</v>
      </c>
      <c r="U13" s="2">
        <v>4.3951333333333329</v>
      </c>
      <c r="V13" s="2">
        <v>38.395355555555554</v>
      </c>
      <c r="W13">
        <v>43</v>
      </c>
      <c r="X13">
        <v>0</v>
      </c>
      <c r="Y13">
        <v>0</v>
      </c>
      <c r="Z13">
        <v>43</v>
      </c>
      <c r="AA13" s="2">
        <v>3112314.0771611254</v>
      </c>
      <c r="AB13" s="6">
        <v>1066400</v>
      </c>
      <c r="AC13" s="6">
        <v>0</v>
      </c>
      <c r="AD13" s="6">
        <v>0</v>
      </c>
      <c r="AE13" s="6">
        <v>1066400</v>
      </c>
      <c r="AF13" s="3">
        <v>6.9665519947792758</v>
      </c>
      <c r="AG13">
        <v>43</v>
      </c>
      <c r="AH13">
        <v>0</v>
      </c>
      <c r="AI13">
        <v>0</v>
      </c>
      <c r="AJ13">
        <v>43</v>
      </c>
      <c r="AK13" s="2">
        <v>3819960.7297196896</v>
      </c>
      <c r="AL13" s="6">
        <v>331960</v>
      </c>
      <c r="AM13" s="6">
        <v>0</v>
      </c>
      <c r="AN13" s="6">
        <v>0</v>
      </c>
      <c r="AO13" s="6">
        <v>331960</v>
      </c>
      <c r="AP13" s="3">
        <v>0.16690429940106061</v>
      </c>
      <c r="AQ13">
        <v>0</v>
      </c>
      <c r="AR13">
        <v>0</v>
      </c>
      <c r="AS13">
        <v>0</v>
      </c>
      <c r="AT13">
        <v>0</v>
      </c>
      <c r="AU13" s="2">
        <v>0</v>
      </c>
      <c r="AV13" s="6">
        <v>0</v>
      </c>
      <c r="AW13" s="6">
        <v>0</v>
      </c>
      <c r="AX13" s="6">
        <v>0</v>
      </c>
      <c r="AY13" s="6">
        <v>0</v>
      </c>
      <c r="AZ13" s="3">
        <v>0</v>
      </c>
      <c r="BA13">
        <v>5</v>
      </c>
      <c r="BB13">
        <v>0</v>
      </c>
      <c r="BC13">
        <v>0</v>
      </c>
      <c r="BD13">
        <v>5</v>
      </c>
      <c r="BE13" s="2">
        <v>61012.05357773407</v>
      </c>
      <c r="BF13" s="6">
        <v>29325</v>
      </c>
      <c r="BG13" s="6">
        <v>0</v>
      </c>
      <c r="BH13" s="6">
        <v>0</v>
      </c>
      <c r="BI13" s="6">
        <v>29325</v>
      </c>
      <c r="BJ13" s="3">
        <v>24.102887322458397</v>
      </c>
      <c r="BK13" s="6">
        <v>1427685</v>
      </c>
      <c r="BL13" s="6">
        <v>0</v>
      </c>
      <c r="BM13" s="6">
        <v>0</v>
      </c>
      <c r="BN13" s="6">
        <v>1427685</v>
      </c>
      <c r="BO13" s="3">
        <v>31.236343616638734</v>
      </c>
      <c r="BP13" s="7">
        <v>140944485</v>
      </c>
      <c r="BQ13" s="2">
        <v>20.889509751658284</v>
      </c>
      <c r="BR13" s="2">
        <v>90.521208923852569</v>
      </c>
    </row>
    <row r="14" spans="1:70">
      <c r="A14">
        <v>1987</v>
      </c>
      <c r="B14" s="1">
        <v>158033</v>
      </c>
      <c r="C14" s="2">
        <v>7765250.2567868447</v>
      </c>
      <c r="D14" s="3">
        <v>49.136890755644991</v>
      </c>
      <c r="E14" s="1">
        <v>94819</v>
      </c>
      <c r="F14" s="4">
        <v>0.58671318289892871</v>
      </c>
      <c r="G14" s="4">
        <v>0.47722123648945441</v>
      </c>
      <c r="H14" s="4">
        <v>0.98719004967914326</v>
      </c>
      <c r="I14" s="4">
        <v>0.6514015572837103</v>
      </c>
      <c r="J14" s="5">
        <v>7.1583185473418158</v>
      </c>
      <c r="K14">
        <v>4466</v>
      </c>
      <c r="L14">
        <v>33429</v>
      </c>
      <c r="M14">
        <v>26397</v>
      </c>
      <c r="N14">
        <v>64292</v>
      </c>
      <c r="O14" s="6">
        <v>33495000</v>
      </c>
      <c r="P14" s="6">
        <v>83572500</v>
      </c>
      <c r="Q14" s="6">
        <v>31676400</v>
      </c>
      <c r="R14" s="6">
        <f t="shared" si="0"/>
        <v>148743900</v>
      </c>
      <c r="S14" s="2">
        <v>18.298333333333332</v>
      </c>
      <c r="T14" s="2">
        <v>18.259777777777778</v>
      </c>
      <c r="U14" s="2">
        <v>4.3255333333333335</v>
      </c>
      <c r="V14" s="2">
        <v>40.883644444444442</v>
      </c>
      <c r="W14">
        <v>46</v>
      </c>
      <c r="X14">
        <v>0</v>
      </c>
      <c r="Y14">
        <v>0</v>
      </c>
      <c r="Z14">
        <v>46</v>
      </c>
      <c r="AA14" s="2">
        <v>3487108.1216846369</v>
      </c>
      <c r="AB14" s="6">
        <v>1108600</v>
      </c>
      <c r="AC14" s="6">
        <v>0</v>
      </c>
      <c r="AD14" s="6">
        <v>0</v>
      </c>
      <c r="AE14" s="6">
        <v>1108600</v>
      </c>
      <c r="AF14" s="3">
        <v>7.6440200642548826</v>
      </c>
      <c r="AG14">
        <v>46</v>
      </c>
      <c r="AH14">
        <v>0</v>
      </c>
      <c r="AI14">
        <v>0</v>
      </c>
      <c r="AJ14">
        <v>46</v>
      </c>
      <c r="AK14" s="2">
        <v>4214530.473228775</v>
      </c>
      <c r="AL14" s="6">
        <v>355120</v>
      </c>
      <c r="AM14" s="6">
        <v>0</v>
      </c>
      <c r="AN14" s="6">
        <v>0</v>
      </c>
      <c r="AO14" s="6">
        <v>355120</v>
      </c>
      <c r="AP14" s="3">
        <v>0.18471927852657807</v>
      </c>
      <c r="AQ14">
        <v>0</v>
      </c>
      <c r="AR14">
        <v>0</v>
      </c>
      <c r="AS14">
        <v>0</v>
      </c>
      <c r="AT14">
        <v>0</v>
      </c>
      <c r="AU14" s="2">
        <v>0</v>
      </c>
      <c r="AV14" s="6">
        <v>0</v>
      </c>
      <c r="AW14" s="6">
        <v>0</v>
      </c>
      <c r="AX14" s="6">
        <v>0</v>
      </c>
      <c r="AY14" s="6">
        <v>0</v>
      </c>
      <c r="AZ14" s="3">
        <v>0</v>
      </c>
      <c r="BA14">
        <v>5</v>
      </c>
      <c r="BB14">
        <v>0</v>
      </c>
      <c r="BC14">
        <v>0</v>
      </c>
      <c r="BD14">
        <v>5</v>
      </c>
      <c r="BE14" s="2">
        <v>63611.66187343288</v>
      </c>
      <c r="BF14" s="6">
        <v>27750</v>
      </c>
      <c r="BG14" s="6">
        <v>0</v>
      </c>
      <c r="BH14" s="6">
        <v>0</v>
      </c>
      <c r="BI14" s="6">
        <v>27750</v>
      </c>
      <c r="BJ14" s="3">
        <v>26.257020211722409</v>
      </c>
      <c r="BK14" s="6">
        <v>1491470</v>
      </c>
      <c r="BL14" s="6">
        <v>0</v>
      </c>
      <c r="BM14" s="6">
        <v>0</v>
      </c>
      <c r="BN14" s="6">
        <v>1491470</v>
      </c>
      <c r="BO14" s="3">
        <v>34.085759554503866</v>
      </c>
      <c r="BP14" s="7">
        <v>150235370</v>
      </c>
      <c r="BQ14" s="2">
        <v>22.490821199684493</v>
      </c>
      <c r="BR14" s="2">
        <v>97.460225198632799</v>
      </c>
    </row>
    <row r="15" spans="1:70">
      <c r="A15">
        <v>1988</v>
      </c>
      <c r="B15" s="1">
        <v>160450</v>
      </c>
      <c r="C15" s="2">
        <v>8628797.2654553205</v>
      </c>
      <c r="D15" s="3">
        <v>53.778730230322971</v>
      </c>
      <c r="E15" s="1">
        <v>96270</v>
      </c>
      <c r="F15" s="4">
        <v>0.60031978376148321</v>
      </c>
      <c r="G15" s="4">
        <v>0.48971197084485918</v>
      </c>
      <c r="H15" s="4">
        <v>0.99440444479854206</v>
      </c>
      <c r="I15" s="4">
        <v>0.6636852172215314</v>
      </c>
      <c r="J15" s="5">
        <v>7.3456795626728875</v>
      </c>
      <c r="K15">
        <v>5087</v>
      </c>
      <c r="L15">
        <v>35339</v>
      </c>
      <c r="M15">
        <v>26471</v>
      </c>
      <c r="N15">
        <v>66897</v>
      </c>
      <c r="O15" s="6">
        <v>38152500</v>
      </c>
      <c r="P15" s="6">
        <v>88347500</v>
      </c>
      <c r="Q15" s="6">
        <v>31765200</v>
      </c>
      <c r="R15" s="6">
        <f t="shared" si="0"/>
        <v>158265200</v>
      </c>
      <c r="S15" s="2">
        <v>20.336666666666666</v>
      </c>
      <c r="T15" s="2">
        <v>18.835111111111111</v>
      </c>
      <c r="U15" s="2">
        <v>4.2325999999999997</v>
      </c>
      <c r="V15" s="2">
        <v>43.404377777777775</v>
      </c>
      <c r="W15">
        <v>49</v>
      </c>
      <c r="X15">
        <v>0</v>
      </c>
      <c r="Y15">
        <v>0</v>
      </c>
      <c r="Z15">
        <v>49</v>
      </c>
      <c r="AA15" s="2">
        <v>3905568.3063428192</v>
      </c>
      <c r="AB15" s="6">
        <v>1210300</v>
      </c>
      <c r="AC15" s="6">
        <v>0</v>
      </c>
      <c r="AD15" s="6">
        <v>0</v>
      </c>
      <c r="AE15" s="6">
        <v>1210300</v>
      </c>
      <c r="AF15" s="3">
        <v>8.3449564633151567</v>
      </c>
      <c r="AG15">
        <v>49</v>
      </c>
      <c r="AH15">
        <v>0</v>
      </c>
      <c r="AI15">
        <v>0</v>
      </c>
      <c r="AJ15">
        <v>49</v>
      </c>
      <c r="AK15" s="2">
        <v>4656908.5107723149</v>
      </c>
      <c r="AL15" s="6">
        <v>380240</v>
      </c>
      <c r="AM15" s="6">
        <v>0</v>
      </c>
      <c r="AN15" s="6">
        <v>0</v>
      </c>
      <c r="AO15" s="6">
        <v>380240</v>
      </c>
      <c r="AP15" s="3">
        <v>0.20333556689818841</v>
      </c>
      <c r="AQ15">
        <v>0</v>
      </c>
      <c r="AR15">
        <v>0</v>
      </c>
      <c r="AS15">
        <v>0</v>
      </c>
      <c r="AT15">
        <v>0</v>
      </c>
      <c r="AU15" s="2">
        <v>0</v>
      </c>
      <c r="AV15" s="6">
        <v>0</v>
      </c>
      <c r="AW15" s="6">
        <v>0</v>
      </c>
      <c r="AX15" s="6">
        <v>0</v>
      </c>
      <c r="AY15" s="6">
        <v>0</v>
      </c>
      <c r="AZ15" s="3">
        <v>0</v>
      </c>
      <c r="BA15">
        <v>5</v>
      </c>
      <c r="BB15">
        <v>0</v>
      </c>
      <c r="BC15">
        <v>0</v>
      </c>
      <c r="BD15">
        <v>5</v>
      </c>
      <c r="BE15" s="2">
        <v>66320.448340187329</v>
      </c>
      <c r="BF15" s="6">
        <v>28200</v>
      </c>
      <c r="BG15" s="6">
        <v>0</v>
      </c>
      <c r="BH15" s="6">
        <v>0</v>
      </c>
      <c r="BI15" s="6">
        <v>28200</v>
      </c>
      <c r="BJ15" s="3">
        <v>28.462891536031705</v>
      </c>
      <c r="BK15" s="6">
        <v>1618740</v>
      </c>
      <c r="BL15" s="6">
        <v>0</v>
      </c>
      <c r="BM15" s="6">
        <v>0</v>
      </c>
      <c r="BN15" s="6">
        <v>1618740</v>
      </c>
      <c r="BO15" s="3">
        <v>37.011183566245052</v>
      </c>
      <c r="BP15" s="7">
        <v>159883940</v>
      </c>
      <c r="BQ15" s="2">
        <v>24.124668403206844</v>
      </c>
      <c r="BR15" s="2">
        <v>104.54022974722966</v>
      </c>
    </row>
    <row r="16" spans="1:70">
      <c r="A16">
        <v>1989</v>
      </c>
      <c r="B16" s="1">
        <v>162363</v>
      </c>
      <c r="C16" s="2">
        <v>9590001.9492776711</v>
      </c>
      <c r="D16" s="3">
        <v>59.065193112209499</v>
      </c>
      <c r="E16" s="1">
        <v>97417</v>
      </c>
      <c r="F16" s="4">
        <v>0.61445747457995359</v>
      </c>
      <c r="G16" s="4">
        <v>0.50159352489734232</v>
      </c>
      <c r="H16" s="4">
        <v>0.99783190247259534</v>
      </c>
      <c r="I16" s="4">
        <v>0.67499472574468544</v>
      </c>
      <c r="J16" s="5">
        <v>7.5239028734601341</v>
      </c>
      <c r="K16">
        <v>5756</v>
      </c>
      <c r="L16">
        <v>37235</v>
      </c>
      <c r="M16">
        <v>26393</v>
      </c>
      <c r="N16">
        <v>69384</v>
      </c>
      <c r="O16" s="6">
        <v>43170000</v>
      </c>
      <c r="P16" s="6">
        <v>93087500</v>
      </c>
      <c r="Q16" s="6">
        <v>31671600</v>
      </c>
      <c r="R16" s="6">
        <f t="shared" si="0"/>
        <v>167929100</v>
      </c>
      <c r="S16" s="2">
        <v>22.45</v>
      </c>
      <c r="T16" s="2">
        <v>19.362444444444446</v>
      </c>
      <c r="U16" s="2">
        <v>4.1173999999999999</v>
      </c>
      <c r="V16" s="2">
        <v>45.929844444444441</v>
      </c>
      <c r="W16">
        <v>53</v>
      </c>
      <c r="X16">
        <v>0</v>
      </c>
      <c r="Y16">
        <v>0</v>
      </c>
      <c r="Z16">
        <v>53</v>
      </c>
      <c r="AA16" s="2">
        <v>4371028.4666422112</v>
      </c>
      <c r="AB16" s="6">
        <v>1309100</v>
      </c>
      <c r="AC16" s="6">
        <v>0</v>
      </c>
      <c r="AD16" s="6">
        <v>0</v>
      </c>
      <c r="AE16" s="6">
        <v>1309100</v>
      </c>
      <c r="AF16" s="3">
        <v>9.0698461700031885</v>
      </c>
      <c r="AG16">
        <v>53</v>
      </c>
      <c r="AH16">
        <v>0</v>
      </c>
      <c r="AI16">
        <v>0</v>
      </c>
      <c r="AJ16">
        <v>53</v>
      </c>
      <c r="AK16" s="2">
        <v>5149874.5764697548</v>
      </c>
      <c r="AL16" s="6">
        <v>413400</v>
      </c>
      <c r="AM16" s="6">
        <v>0</v>
      </c>
      <c r="AN16" s="6">
        <v>0</v>
      </c>
      <c r="AO16" s="6">
        <v>413400</v>
      </c>
      <c r="AP16" s="3">
        <v>0.22276856435972067</v>
      </c>
      <c r="AQ16">
        <v>0</v>
      </c>
      <c r="AR16">
        <v>0</v>
      </c>
      <c r="AS16">
        <v>0</v>
      </c>
      <c r="AT16">
        <v>0</v>
      </c>
      <c r="AU16" s="2">
        <v>0</v>
      </c>
      <c r="AV16" s="6">
        <v>0</v>
      </c>
      <c r="AW16" s="6">
        <v>0</v>
      </c>
      <c r="AX16" s="6">
        <v>0</v>
      </c>
      <c r="AY16" s="6">
        <v>0</v>
      </c>
      <c r="AZ16" s="3">
        <v>0</v>
      </c>
      <c r="BA16">
        <v>5</v>
      </c>
      <c r="BB16">
        <v>0</v>
      </c>
      <c r="BC16">
        <v>0</v>
      </c>
      <c r="BD16">
        <v>5</v>
      </c>
      <c r="BE16" s="2">
        <v>69098.906165705397</v>
      </c>
      <c r="BF16" s="6">
        <v>27975</v>
      </c>
      <c r="BG16" s="6">
        <v>0</v>
      </c>
      <c r="BH16" s="6">
        <v>0</v>
      </c>
      <c r="BI16" s="6">
        <v>27975</v>
      </c>
      <c r="BJ16" s="3">
        <v>30.723215276124122</v>
      </c>
      <c r="BK16" s="6">
        <v>1750475</v>
      </c>
      <c r="BL16" s="6">
        <v>0</v>
      </c>
      <c r="BM16" s="6">
        <v>0</v>
      </c>
      <c r="BN16" s="6">
        <v>1750475</v>
      </c>
      <c r="BO16" s="3">
        <v>40.015830010487029</v>
      </c>
      <c r="BP16" s="7">
        <v>169679575</v>
      </c>
      <c r="BQ16" s="2">
        <v>25.78370233647944</v>
      </c>
      <c r="BR16" s="2">
        <v>111.7293767914109</v>
      </c>
    </row>
    <row r="17" spans="1:70">
      <c r="A17">
        <v>1990</v>
      </c>
      <c r="B17" s="1">
        <v>163823</v>
      </c>
      <c r="C17" s="2">
        <v>12605830.806758875</v>
      </c>
      <c r="D17" s="3">
        <v>76.947869388052197</v>
      </c>
      <c r="E17" s="1">
        <v>98293</v>
      </c>
      <c r="F17" s="4">
        <v>0.6543862307109124</v>
      </c>
      <c r="G17" s="4">
        <v>0.51289560872085982</v>
      </c>
      <c r="H17" s="4">
        <v>0.99991309573068954</v>
      </c>
      <c r="I17" s="4">
        <v>0.69493117776879243</v>
      </c>
      <c r="J17" s="5">
        <v>7.6934341308128973</v>
      </c>
      <c r="K17">
        <v>7218</v>
      </c>
      <c r="L17">
        <v>41934</v>
      </c>
      <c r="M17">
        <v>25351</v>
      </c>
      <c r="N17">
        <v>74503</v>
      </c>
      <c r="O17" s="6">
        <v>54135000</v>
      </c>
      <c r="P17" s="6">
        <v>104835000</v>
      </c>
      <c r="Q17" s="6">
        <v>30421200</v>
      </c>
      <c r="R17" s="6">
        <f t="shared" si="0"/>
        <v>189391200</v>
      </c>
      <c r="S17" s="2">
        <v>26.453333333333333</v>
      </c>
      <c r="T17" s="2">
        <v>20.490222222222222</v>
      </c>
      <c r="U17" s="2">
        <v>3.7162000000000002</v>
      </c>
      <c r="V17" s="2">
        <v>50.659755555555556</v>
      </c>
      <c r="W17">
        <v>79</v>
      </c>
      <c r="X17">
        <v>0</v>
      </c>
      <c r="Y17">
        <v>0</v>
      </c>
      <c r="Z17">
        <v>79</v>
      </c>
      <c r="AA17" s="2">
        <v>6839919.6586416028</v>
      </c>
      <c r="AB17" s="6">
        <v>1951300</v>
      </c>
      <c r="AC17" s="6">
        <v>0</v>
      </c>
      <c r="AD17" s="6">
        <v>0</v>
      </c>
      <c r="AE17" s="6">
        <v>1951300</v>
      </c>
      <c r="AF17" s="3">
        <v>9.8192349720447698</v>
      </c>
      <c r="AG17">
        <v>79</v>
      </c>
      <c r="AH17">
        <v>0</v>
      </c>
      <c r="AI17">
        <v>0</v>
      </c>
      <c r="AJ17">
        <v>79</v>
      </c>
      <c r="AK17" s="2">
        <v>5694007.0479423944</v>
      </c>
      <c r="AL17" s="6">
        <v>619360</v>
      </c>
      <c r="AM17" s="6">
        <v>0</v>
      </c>
      <c r="AN17" s="6">
        <v>0</v>
      </c>
      <c r="AO17" s="6">
        <v>619360</v>
      </c>
      <c r="AP17" s="3">
        <v>0.24303508185063269</v>
      </c>
      <c r="AQ17">
        <v>0</v>
      </c>
      <c r="AR17">
        <v>0</v>
      </c>
      <c r="AS17">
        <v>0</v>
      </c>
      <c r="AT17">
        <v>0</v>
      </c>
      <c r="AU17" s="2">
        <v>0</v>
      </c>
      <c r="AV17" s="6">
        <v>0</v>
      </c>
      <c r="AW17" s="6">
        <v>0</v>
      </c>
      <c r="AX17" s="6">
        <v>0</v>
      </c>
      <c r="AY17" s="6">
        <v>0</v>
      </c>
      <c r="AZ17" s="3">
        <v>0</v>
      </c>
      <c r="BA17">
        <v>5</v>
      </c>
      <c r="BB17">
        <v>0</v>
      </c>
      <c r="BC17">
        <v>0</v>
      </c>
      <c r="BD17">
        <v>5</v>
      </c>
      <c r="BE17" s="2">
        <v>71904.100174878709</v>
      </c>
      <c r="BF17" s="6">
        <v>29100</v>
      </c>
      <c r="BG17" s="6">
        <v>0</v>
      </c>
      <c r="BH17" s="6">
        <v>0</v>
      </c>
      <c r="BI17" s="6">
        <v>29100</v>
      </c>
      <c r="BJ17" s="3">
        <v>33.040808632852432</v>
      </c>
      <c r="BK17" s="6">
        <v>2599760</v>
      </c>
      <c r="BL17" s="6">
        <v>0</v>
      </c>
      <c r="BM17" s="6">
        <v>0</v>
      </c>
      <c r="BN17" s="6">
        <v>2599760</v>
      </c>
      <c r="BO17" s="3">
        <v>43.103078686747835</v>
      </c>
      <c r="BP17" s="7">
        <v>191990960</v>
      </c>
      <c r="BQ17" s="2">
        <v>28.128850272691018</v>
      </c>
      <c r="BR17" s="2">
        <v>121.89168451499441</v>
      </c>
    </row>
    <row r="18" spans="1:70">
      <c r="A18">
        <v>1991</v>
      </c>
      <c r="B18" s="1">
        <v>164660</v>
      </c>
      <c r="C18" s="2">
        <v>13890769.826550903</v>
      </c>
      <c r="D18" s="3">
        <v>84.360317178130103</v>
      </c>
      <c r="E18" s="1">
        <v>98796</v>
      </c>
      <c r="F18" s="4">
        <v>0.66825831137646463</v>
      </c>
      <c r="G18" s="4">
        <v>0.52364648341196329</v>
      </c>
      <c r="H18" s="4">
        <v>0.99997711159209812</v>
      </c>
      <c r="I18" s="4">
        <v>0.70467825997526268</v>
      </c>
      <c r="J18" s="5">
        <v>7.8546972511794486</v>
      </c>
      <c r="K18">
        <v>7964</v>
      </c>
      <c r="L18">
        <v>43465</v>
      </c>
      <c r="M18">
        <v>24829</v>
      </c>
      <c r="N18">
        <v>76258</v>
      </c>
      <c r="O18" s="6">
        <v>59730000</v>
      </c>
      <c r="P18" s="6">
        <v>108662500</v>
      </c>
      <c r="Q18" s="6">
        <v>29794800</v>
      </c>
      <c r="R18" s="6">
        <f t="shared" si="0"/>
        <v>198187300</v>
      </c>
      <c r="S18" s="2">
        <v>28.661666666666665</v>
      </c>
      <c r="T18" s="2">
        <v>20.855555555555554</v>
      </c>
      <c r="U18" s="2">
        <v>3.5741333333333332</v>
      </c>
      <c r="V18" s="2">
        <v>53.091355555555552</v>
      </c>
      <c r="W18">
        <v>84</v>
      </c>
      <c r="X18">
        <v>0</v>
      </c>
      <c r="Y18">
        <v>0</v>
      </c>
      <c r="Z18">
        <v>84</v>
      </c>
      <c r="AA18" s="2">
        <v>7578054.1783056995</v>
      </c>
      <c r="AB18" s="6">
        <v>2032800</v>
      </c>
      <c r="AC18" s="6">
        <v>0</v>
      </c>
      <c r="AD18" s="6">
        <v>0</v>
      </c>
      <c r="AE18" s="6">
        <v>2032800</v>
      </c>
      <c r="AF18" s="3">
        <v>10.457354595683045</v>
      </c>
      <c r="AG18">
        <v>84</v>
      </c>
      <c r="AH18">
        <v>0</v>
      </c>
      <c r="AI18">
        <v>0</v>
      </c>
      <c r="AJ18">
        <v>84</v>
      </c>
      <c r="AK18" s="2">
        <v>6238149.5373330005</v>
      </c>
      <c r="AL18" s="6">
        <v>638400</v>
      </c>
      <c r="AM18" s="6">
        <v>0</v>
      </c>
      <c r="AN18" s="6">
        <v>0</v>
      </c>
      <c r="AO18" s="6">
        <v>638400</v>
      </c>
      <c r="AP18" s="3">
        <v>0.25847132054253891</v>
      </c>
      <c r="AQ18">
        <v>0</v>
      </c>
      <c r="AR18">
        <v>0</v>
      </c>
      <c r="AS18">
        <v>0</v>
      </c>
      <c r="AT18">
        <v>0</v>
      </c>
      <c r="AU18" s="2">
        <v>0</v>
      </c>
      <c r="AV18" s="6">
        <v>0</v>
      </c>
      <c r="AW18" s="6">
        <v>0</v>
      </c>
      <c r="AX18" s="6">
        <v>0</v>
      </c>
      <c r="AY18" s="6">
        <v>0</v>
      </c>
      <c r="AZ18" s="3">
        <v>0</v>
      </c>
      <c r="BA18">
        <v>5</v>
      </c>
      <c r="BB18">
        <v>0</v>
      </c>
      <c r="BC18">
        <v>0</v>
      </c>
      <c r="BD18">
        <v>5</v>
      </c>
      <c r="BE18" s="2">
        <v>74566.110912201693</v>
      </c>
      <c r="BF18" s="6">
        <v>27975</v>
      </c>
      <c r="BG18" s="6">
        <v>0</v>
      </c>
      <c r="BH18" s="6">
        <v>0</v>
      </c>
      <c r="BI18" s="6">
        <v>27975</v>
      </c>
      <c r="BJ18" s="3">
        <v>35.41855055642349</v>
      </c>
      <c r="BK18" s="6">
        <v>2699175</v>
      </c>
      <c r="BL18" s="6">
        <v>0</v>
      </c>
      <c r="BM18" s="6">
        <v>0</v>
      </c>
      <c r="BN18" s="6">
        <v>2699175</v>
      </c>
      <c r="BO18" s="3">
        <v>46.134376472649073</v>
      </c>
      <c r="BP18" s="7">
        <v>200886475</v>
      </c>
      <c r="BQ18" s="2">
        <v>29.767719608461384</v>
      </c>
      <c r="BR18" s="2">
        <v>128.99345163666601</v>
      </c>
    </row>
    <row r="19" spans="1:70">
      <c r="A19">
        <v>1992</v>
      </c>
      <c r="B19" s="1">
        <v>165442</v>
      </c>
      <c r="C19" s="2">
        <v>15283962.591397144</v>
      </c>
      <c r="D19" s="3">
        <v>92.382602914599346</v>
      </c>
      <c r="E19" s="1">
        <v>99265</v>
      </c>
      <c r="F19" s="4">
        <v>0.68196168021518977</v>
      </c>
      <c r="G19" s="4">
        <v>0.53387303175726097</v>
      </c>
      <c r="H19" s="4">
        <v>0.99999459871638385</v>
      </c>
      <c r="I19" s="4">
        <v>0.71405533762183049</v>
      </c>
      <c r="J19" s="5">
        <v>8.0080954763589141</v>
      </c>
      <c r="K19">
        <v>8726</v>
      </c>
      <c r="L19">
        <v>44894</v>
      </c>
      <c r="M19">
        <v>24228</v>
      </c>
      <c r="N19">
        <v>77848</v>
      </c>
      <c r="O19" s="6">
        <v>65445000</v>
      </c>
      <c r="P19" s="6">
        <v>112235000</v>
      </c>
      <c r="Q19" s="6">
        <v>29073600</v>
      </c>
      <c r="R19" s="6">
        <f t="shared" si="0"/>
        <v>206753600</v>
      </c>
      <c r="S19" s="2">
        <v>30.906666666666666</v>
      </c>
      <c r="T19" s="2">
        <v>21.201555555555554</v>
      </c>
      <c r="U19" s="2">
        <v>3.4325999999999999</v>
      </c>
      <c r="V19" s="2">
        <v>55.540822222222225</v>
      </c>
      <c r="W19">
        <v>89</v>
      </c>
      <c r="X19">
        <v>1</v>
      </c>
      <c r="Y19">
        <v>1</v>
      </c>
      <c r="Z19">
        <v>91</v>
      </c>
      <c r="AA19" s="2">
        <v>8382355.7825155891</v>
      </c>
      <c r="AB19" s="6">
        <v>2136000</v>
      </c>
      <c r="AC19" s="6">
        <v>247000</v>
      </c>
      <c r="AD19" s="6">
        <v>0</v>
      </c>
      <c r="AE19" s="6">
        <v>2383000</v>
      </c>
      <c r="AF19" s="3">
        <v>11.122150045937943</v>
      </c>
      <c r="AG19">
        <v>89</v>
      </c>
      <c r="AH19">
        <v>1</v>
      </c>
      <c r="AI19">
        <v>0</v>
      </c>
      <c r="AJ19">
        <v>90</v>
      </c>
      <c r="AK19" s="2">
        <v>6824416.4782777643</v>
      </c>
      <c r="AL19" s="6">
        <v>683520</v>
      </c>
      <c r="AM19" s="6">
        <v>97000</v>
      </c>
      <c r="AN19" s="6">
        <v>0</v>
      </c>
      <c r="AO19" s="6">
        <v>780520</v>
      </c>
      <c r="AP19" s="3">
        <v>0.27464749066692723</v>
      </c>
      <c r="AQ19">
        <v>0</v>
      </c>
      <c r="AR19">
        <v>0</v>
      </c>
      <c r="AS19">
        <v>0</v>
      </c>
      <c r="AT19">
        <v>0</v>
      </c>
      <c r="AU19" s="2">
        <v>0</v>
      </c>
      <c r="AV19" s="6">
        <v>0</v>
      </c>
      <c r="AW19" s="6">
        <v>0</v>
      </c>
      <c r="AX19" s="6">
        <v>0</v>
      </c>
      <c r="AY19" s="6">
        <v>0</v>
      </c>
      <c r="AZ19" s="3">
        <v>0</v>
      </c>
      <c r="BA19">
        <v>5</v>
      </c>
      <c r="BB19">
        <v>0</v>
      </c>
      <c r="BC19">
        <v>0</v>
      </c>
      <c r="BD19">
        <v>5</v>
      </c>
      <c r="BE19" s="2">
        <v>77190.330603789916</v>
      </c>
      <c r="BF19" s="6">
        <v>29100</v>
      </c>
      <c r="BG19" s="6">
        <v>0</v>
      </c>
      <c r="BH19" s="6">
        <v>0</v>
      </c>
      <c r="BI19" s="6">
        <v>29100</v>
      </c>
      <c r="BJ19" s="3">
        <v>37.859272935947267</v>
      </c>
      <c r="BK19" s="6">
        <v>2848620</v>
      </c>
      <c r="BL19" s="6">
        <v>344000</v>
      </c>
      <c r="BM19" s="6">
        <v>0</v>
      </c>
      <c r="BN19" s="6">
        <v>3192620</v>
      </c>
      <c r="BO19" s="3">
        <v>49.256070472552139</v>
      </c>
      <c r="BP19" s="7">
        <v>209946220</v>
      </c>
      <c r="BQ19" s="2">
        <v>31.439067808432306</v>
      </c>
      <c r="BR19" s="2">
        <v>136.23596050320666</v>
      </c>
    </row>
    <row r="20" spans="1:70">
      <c r="A20">
        <v>1993</v>
      </c>
      <c r="B20" s="1">
        <v>166202</v>
      </c>
      <c r="C20" s="2">
        <v>16767583.74054504</v>
      </c>
      <c r="D20" s="3">
        <v>100.88677477133271</v>
      </c>
      <c r="E20" s="1">
        <v>99721</v>
      </c>
      <c r="F20" s="4">
        <v>0.69524620406879678</v>
      </c>
      <c r="G20" s="4">
        <v>0.54360082545438715</v>
      </c>
      <c r="H20" s="4">
        <v>0.99999883130244194</v>
      </c>
      <c r="I20" s="4">
        <v>0.72300185036927411</v>
      </c>
      <c r="J20" s="5">
        <v>8.1540123818158072</v>
      </c>
      <c r="K20">
        <v>9490</v>
      </c>
      <c r="L20">
        <v>46196</v>
      </c>
      <c r="M20">
        <v>23571</v>
      </c>
      <c r="N20">
        <v>79257</v>
      </c>
      <c r="O20" s="6">
        <v>71175000</v>
      </c>
      <c r="P20" s="6">
        <v>115490000</v>
      </c>
      <c r="Q20" s="6">
        <v>28285200</v>
      </c>
      <c r="R20" s="6">
        <f t="shared" si="0"/>
        <v>214950200</v>
      </c>
      <c r="S20" s="2">
        <v>33.168333333333337</v>
      </c>
      <c r="T20" s="2">
        <v>21.526888888888887</v>
      </c>
      <c r="U20" s="2">
        <v>3.2952666666666666</v>
      </c>
      <c r="V20" s="2">
        <v>57.990488888888891</v>
      </c>
      <c r="W20">
        <v>95</v>
      </c>
      <c r="X20">
        <v>1</v>
      </c>
      <c r="Y20">
        <v>1</v>
      </c>
      <c r="Z20">
        <v>97</v>
      </c>
      <c r="AA20" s="2">
        <v>9245929.0932761282</v>
      </c>
      <c r="AB20" s="6">
        <v>2308500</v>
      </c>
      <c r="AC20" s="6">
        <v>240000</v>
      </c>
      <c r="AD20" s="6">
        <v>0</v>
      </c>
      <c r="AE20" s="6">
        <v>2548500</v>
      </c>
      <c r="AF20" s="3">
        <v>11.813998695849321</v>
      </c>
      <c r="AG20">
        <v>95</v>
      </c>
      <c r="AH20">
        <v>1</v>
      </c>
      <c r="AI20">
        <v>0</v>
      </c>
      <c r="AJ20">
        <v>96</v>
      </c>
      <c r="AK20" s="2">
        <v>7441978.6171632493</v>
      </c>
      <c r="AL20" s="6">
        <v>722000</v>
      </c>
      <c r="AM20" s="6">
        <v>97500</v>
      </c>
      <c r="AN20" s="6">
        <v>0</v>
      </c>
      <c r="AO20" s="6">
        <v>819500</v>
      </c>
      <c r="AP20" s="3">
        <v>0.2915780224778019</v>
      </c>
      <c r="AQ20">
        <v>0</v>
      </c>
      <c r="AR20">
        <v>0</v>
      </c>
      <c r="AS20">
        <v>0</v>
      </c>
      <c r="AT20">
        <v>0</v>
      </c>
      <c r="AU20" s="2">
        <v>0</v>
      </c>
      <c r="AV20" s="6">
        <v>0</v>
      </c>
      <c r="AW20" s="6">
        <v>0</v>
      </c>
      <c r="AX20" s="6">
        <v>0</v>
      </c>
      <c r="AY20" s="6">
        <v>0</v>
      </c>
      <c r="AZ20" s="3">
        <v>0</v>
      </c>
      <c r="BA20">
        <v>5</v>
      </c>
      <c r="BB20">
        <v>0</v>
      </c>
      <c r="BC20">
        <v>0</v>
      </c>
      <c r="BD20">
        <v>5</v>
      </c>
      <c r="BE20" s="2">
        <v>79676.030105663551</v>
      </c>
      <c r="BF20" s="6">
        <v>27750</v>
      </c>
      <c r="BG20" s="6">
        <v>0</v>
      </c>
      <c r="BH20" s="6">
        <v>0</v>
      </c>
      <c r="BI20" s="6">
        <v>27750</v>
      </c>
      <c r="BJ20" s="3">
        <v>40.365834775073161</v>
      </c>
      <c r="BK20" s="6">
        <v>3058250</v>
      </c>
      <c r="BL20" s="6">
        <v>337500</v>
      </c>
      <c r="BM20" s="6">
        <v>0</v>
      </c>
      <c r="BN20" s="6">
        <v>3395750</v>
      </c>
      <c r="BO20" s="3">
        <v>52.471411493400282</v>
      </c>
      <c r="BP20" s="7">
        <v>218345950</v>
      </c>
      <c r="BQ20" s="2">
        <v>33.13857011468675</v>
      </c>
      <c r="BR20" s="2">
        <v>143.60047049697593</v>
      </c>
    </row>
    <row r="21" spans="1:70">
      <c r="A21">
        <v>1994</v>
      </c>
      <c r="B21" s="1">
        <v>166955</v>
      </c>
      <c r="C21" s="2">
        <v>18320714.153279815</v>
      </c>
      <c r="D21" s="3">
        <v>109.73444433098628</v>
      </c>
      <c r="E21" s="1">
        <v>100173</v>
      </c>
      <c r="F21" s="4">
        <v>0.70792816561905514</v>
      </c>
      <c r="G21" s="4">
        <v>0.55285418905456607</v>
      </c>
      <c r="H21" s="4">
        <v>0.99999976228663012</v>
      </c>
      <c r="I21" s="4">
        <v>0.73147569061153039</v>
      </c>
      <c r="J21" s="5">
        <v>8.2928128358184914</v>
      </c>
      <c r="K21">
        <v>10246</v>
      </c>
      <c r="L21">
        <v>47355</v>
      </c>
      <c r="M21">
        <v>22882</v>
      </c>
      <c r="N21">
        <v>80483</v>
      </c>
      <c r="O21" s="6">
        <v>76845000</v>
      </c>
      <c r="P21" s="6">
        <v>118387500</v>
      </c>
      <c r="Q21" s="6">
        <v>27458400</v>
      </c>
      <c r="R21" s="6">
        <f t="shared" si="0"/>
        <v>222690900</v>
      </c>
      <c r="S21" s="2">
        <v>35.424999999999997</v>
      </c>
      <c r="T21" s="2">
        <v>21.829555555555554</v>
      </c>
      <c r="U21" s="2">
        <v>3.1644000000000001</v>
      </c>
      <c r="V21" s="2">
        <v>60.418955555555556</v>
      </c>
      <c r="W21">
        <v>101</v>
      </c>
      <c r="X21">
        <v>1</v>
      </c>
      <c r="Y21">
        <v>1</v>
      </c>
      <c r="Z21">
        <v>103</v>
      </c>
      <c r="AA21" s="2">
        <v>10160215.242884614</v>
      </c>
      <c r="AB21" s="6">
        <v>2434100</v>
      </c>
      <c r="AC21" s="6">
        <v>242000</v>
      </c>
      <c r="AD21" s="6">
        <v>0</v>
      </c>
      <c r="AE21" s="6">
        <v>2676100</v>
      </c>
      <c r="AF21" s="3">
        <v>12.533296760564252</v>
      </c>
      <c r="AG21">
        <v>101</v>
      </c>
      <c r="AH21">
        <v>1</v>
      </c>
      <c r="AI21">
        <v>0</v>
      </c>
      <c r="AJ21">
        <v>102</v>
      </c>
      <c r="AK21" s="2">
        <v>8078569.7766635297</v>
      </c>
      <c r="AL21" s="6">
        <v>767600</v>
      </c>
      <c r="AM21" s="6">
        <v>97000</v>
      </c>
      <c r="AN21" s="6">
        <v>0</v>
      </c>
      <c r="AO21" s="6">
        <v>864600</v>
      </c>
      <c r="AP21" s="3">
        <v>0.30927768155283619</v>
      </c>
      <c r="AQ21">
        <v>0</v>
      </c>
      <c r="AR21">
        <v>0</v>
      </c>
      <c r="AS21">
        <v>0</v>
      </c>
      <c r="AT21">
        <v>0</v>
      </c>
      <c r="AU21" s="2">
        <v>0</v>
      </c>
      <c r="AV21" s="6">
        <v>0</v>
      </c>
      <c r="AW21" s="6">
        <v>0</v>
      </c>
      <c r="AX21" s="6">
        <v>0</v>
      </c>
      <c r="AY21" s="6">
        <v>0</v>
      </c>
      <c r="AZ21" s="3">
        <v>0</v>
      </c>
      <c r="BA21">
        <v>5</v>
      </c>
      <c r="BB21">
        <v>0</v>
      </c>
      <c r="BC21">
        <v>0</v>
      </c>
      <c r="BD21">
        <v>5</v>
      </c>
      <c r="BE21" s="2">
        <v>81929.133731670707</v>
      </c>
      <c r="BF21" s="6">
        <v>29100</v>
      </c>
      <c r="BG21" s="6">
        <v>0</v>
      </c>
      <c r="BH21" s="6">
        <v>0</v>
      </c>
      <c r="BI21" s="6">
        <v>29100</v>
      </c>
      <c r="BJ21" s="3">
        <v>42.941001234907937</v>
      </c>
      <c r="BK21" s="6">
        <v>3230800</v>
      </c>
      <c r="BL21" s="6">
        <v>339000</v>
      </c>
      <c r="BM21" s="6">
        <v>0</v>
      </c>
      <c r="BN21" s="6">
        <v>3569800</v>
      </c>
      <c r="BO21" s="3">
        <v>55.783575677025027</v>
      </c>
      <c r="BP21" s="7">
        <v>226260700</v>
      </c>
      <c r="BQ21" s="2">
        <v>34.860759369774172</v>
      </c>
      <c r="BR21" s="2">
        <v>151.06329060235475</v>
      </c>
    </row>
    <row r="22" spans="1:70">
      <c r="A22">
        <v>1995</v>
      </c>
      <c r="B22" s="1">
        <v>167708</v>
      </c>
      <c r="C22" s="2">
        <v>19923545.181269351</v>
      </c>
      <c r="D22" s="3">
        <v>118.79901484287781</v>
      </c>
      <c r="E22" s="1">
        <v>100624</v>
      </c>
      <c r="F22" s="4">
        <v>0.71990165652590321</v>
      </c>
      <c r="G22" s="4">
        <v>0.56165626078666031</v>
      </c>
      <c r="H22" s="4">
        <v>0.99999995350042759</v>
      </c>
      <c r="I22" s="4">
        <v>0.73945982842167257</v>
      </c>
      <c r="J22" s="5">
        <v>8.4248439117999041</v>
      </c>
      <c r="K22">
        <v>10986</v>
      </c>
      <c r="L22">
        <v>48375</v>
      </c>
      <c r="M22">
        <v>22181</v>
      </c>
      <c r="N22">
        <v>81542</v>
      </c>
      <c r="O22" s="6">
        <v>82395000</v>
      </c>
      <c r="P22" s="6">
        <v>120937500</v>
      </c>
      <c r="Q22" s="6">
        <v>26617200</v>
      </c>
      <c r="R22" s="6">
        <f t="shared" si="0"/>
        <v>229949700</v>
      </c>
      <c r="S22" s="2">
        <v>37.656666666666666</v>
      </c>
      <c r="T22" s="2">
        <v>22.109333333333332</v>
      </c>
      <c r="U22" s="2">
        <v>3.0413333333333332</v>
      </c>
      <c r="V22" s="2">
        <v>62.807333333333332</v>
      </c>
      <c r="W22">
        <v>108</v>
      </c>
      <c r="X22">
        <v>1</v>
      </c>
      <c r="Y22">
        <v>1</v>
      </c>
      <c r="Z22">
        <v>110</v>
      </c>
      <c r="AA22" s="2">
        <v>11116915.57733617</v>
      </c>
      <c r="AB22" s="6">
        <v>2592000</v>
      </c>
      <c r="AC22" s="6">
        <v>242000</v>
      </c>
      <c r="AD22" s="6">
        <v>0</v>
      </c>
      <c r="AE22" s="6">
        <v>2834000</v>
      </c>
      <c r="AF22" s="3">
        <v>13.280457157129478</v>
      </c>
      <c r="AG22">
        <v>108</v>
      </c>
      <c r="AH22">
        <v>1</v>
      </c>
      <c r="AI22">
        <v>0</v>
      </c>
      <c r="AJ22">
        <v>109</v>
      </c>
      <c r="AK22" s="2">
        <v>8722750.9461774807</v>
      </c>
      <c r="AL22" s="6">
        <v>842400</v>
      </c>
      <c r="AM22" s="6">
        <v>99000</v>
      </c>
      <c r="AN22" s="6">
        <v>0</v>
      </c>
      <c r="AO22" s="6">
        <v>941400</v>
      </c>
      <c r="AP22" s="3">
        <v>0.32776154003586372</v>
      </c>
      <c r="AQ22">
        <v>0</v>
      </c>
      <c r="AR22">
        <v>0</v>
      </c>
      <c r="AS22">
        <v>0</v>
      </c>
      <c r="AT22">
        <v>0</v>
      </c>
      <c r="AU22" s="2">
        <v>0</v>
      </c>
      <c r="AV22" s="6">
        <v>0</v>
      </c>
      <c r="AW22" s="6">
        <v>0</v>
      </c>
      <c r="AX22" s="6">
        <v>0</v>
      </c>
      <c r="AY22" s="6">
        <v>0</v>
      </c>
      <c r="AZ22" s="3">
        <v>0</v>
      </c>
      <c r="BA22">
        <v>5</v>
      </c>
      <c r="BB22">
        <v>0</v>
      </c>
      <c r="BC22">
        <v>0</v>
      </c>
      <c r="BD22">
        <v>5</v>
      </c>
      <c r="BE22" s="2">
        <v>83878.657755700813</v>
      </c>
      <c r="BF22" s="6">
        <v>28425</v>
      </c>
      <c r="BG22" s="6">
        <v>0</v>
      </c>
      <c r="BH22" s="6">
        <v>0</v>
      </c>
      <c r="BI22" s="6">
        <v>28425</v>
      </c>
      <c r="BJ22" s="3">
        <v>45.587448343820313</v>
      </c>
      <c r="BK22" s="6">
        <v>3462825</v>
      </c>
      <c r="BL22" s="6">
        <v>341000</v>
      </c>
      <c r="BM22" s="6">
        <v>0</v>
      </c>
      <c r="BN22" s="6">
        <v>3803825</v>
      </c>
      <c r="BO22" s="3">
        <v>59.195667040985654</v>
      </c>
      <c r="BP22" s="7">
        <v>233753525</v>
      </c>
      <c r="BQ22" s="2">
        <v>36.600900112295697</v>
      </c>
      <c r="BR22" s="2">
        <v>158.60390048661469</v>
      </c>
    </row>
    <row r="23" spans="1:70">
      <c r="A23">
        <v>1996</v>
      </c>
      <c r="B23" s="1">
        <v>168463</v>
      </c>
      <c r="C23" s="2">
        <v>21560777.696279276</v>
      </c>
      <c r="D23" s="3">
        <v>127.98524124750999</v>
      </c>
      <c r="E23" s="1">
        <v>101077</v>
      </c>
      <c r="F23" s="4">
        <v>0.7311371454170954</v>
      </c>
      <c r="G23" s="4">
        <v>0.57002905041479413</v>
      </c>
      <c r="H23" s="4">
        <v>0.99999999110114701</v>
      </c>
      <c r="I23" s="4">
        <v>0.74696217672140242</v>
      </c>
      <c r="J23" s="5">
        <v>8.550435756221912</v>
      </c>
      <c r="K23">
        <v>11704</v>
      </c>
      <c r="L23">
        <v>49267</v>
      </c>
      <c r="M23">
        <v>21486</v>
      </c>
      <c r="N23">
        <v>82457</v>
      </c>
      <c r="O23" s="6">
        <v>87780000</v>
      </c>
      <c r="P23" s="6">
        <v>123167500</v>
      </c>
      <c r="Q23" s="6">
        <v>25783200</v>
      </c>
      <c r="R23" s="6">
        <f t="shared" si="0"/>
        <v>236730700</v>
      </c>
      <c r="S23" s="2">
        <v>39.853333333333332</v>
      </c>
      <c r="T23" s="2">
        <v>22.367333333333335</v>
      </c>
      <c r="U23" s="2">
        <v>2.9264000000000001</v>
      </c>
      <c r="V23" s="2">
        <v>65.14706666666666</v>
      </c>
      <c r="W23">
        <v>115</v>
      </c>
      <c r="X23">
        <v>1</v>
      </c>
      <c r="Y23">
        <v>1</v>
      </c>
      <c r="Z23">
        <v>117</v>
      </c>
      <c r="AA23" s="2">
        <v>12109607.331129584</v>
      </c>
      <c r="AB23" s="6">
        <v>2829000</v>
      </c>
      <c r="AC23" s="6">
        <v>243000</v>
      </c>
      <c r="AD23" s="6">
        <v>2925000</v>
      </c>
      <c r="AE23" s="6">
        <v>5997000</v>
      </c>
      <c r="AF23" s="3">
        <v>14.055924387388854</v>
      </c>
      <c r="AG23">
        <v>115</v>
      </c>
      <c r="AH23">
        <v>1</v>
      </c>
      <c r="AI23">
        <v>1</v>
      </c>
      <c r="AJ23">
        <v>117</v>
      </c>
      <c r="AK23" s="2">
        <v>9365684.9626413379</v>
      </c>
      <c r="AL23" s="6">
        <v>910800</v>
      </c>
      <c r="AM23" s="6">
        <v>98000</v>
      </c>
      <c r="AN23" s="6">
        <v>1170000</v>
      </c>
      <c r="AO23" s="6">
        <v>2178800</v>
      </c>
      <c r="AP23" s="3">
        <v>0.34704526160677202</v>
      </c>
      <c r="AQ23">
        <v>0</v>
      </c>
      <c r="AR23">
        <v>0</v>
      </c>
      <c r="AS23">
        <v>0</v>
      </c>
      <c r="AT23">
        <v>0</v>
      </c>
      <c r="AU23" s="2">
        <v>0</v>
      </c>
      <c r="AV23" s="6">
        <v>0</v>
      </c>
      <c r="AW23" s="6">
        <v>0</v>
      </c>
      <c r="AX23" s="6">
        <v>0</v>
      </c>
      <c r="AY23" s="6">
        <v>0</v>
      </c>
      <c r="AZ23" s="3">
        <v>0</v>
      </c>
      <c r="BA23">
        <v>5</v>
      </c>
      <c r="BB23">
        <v>0</v>
      </c>
      <c r="BC23">
        <v>0</v>
      </c>
      <c r="BD23">
        <v>5</v>
      </c>
      <c r="BE23" s="2">
        <v>85485.402508353654</v>
      </c>
      <c r="BF23" s="6">
        <v>28875</v>
      </c>
      <c r="BG23" s="6">
        <v>0</v>
      </c>
      <c r="BH23" s="6">
        <v>0</v>
      </c>
      <c r="BI23" s="6">
        <v>28875</v>
      </c>
      <c r="BJ23" s="3">
        <v>48.307845452434336</v>
      </c>
      <c r="BK23" s="6">
        <v>3768675</v>
      </c>
      <c r="BL23" s="6">
        <v>341000</v>
      </c>
      <c r="BM23" s="6">
        <v>4095000</v>
      </c>
      <c r="BN23" s="6">
        <v>8204675</v>
      </c>
      <c r="BO23" s="3">
        <v>62.710815101429958</v>
      </c>
      <c r="BP23" s="7">
        <v>244935375</v>
      </c>
      <c r="BQ23" s="2">
        <v>38.357364530428981</v>
      </c>
      <c r="BR23" s="2">
        <v>166.21524629852559</v>
      </c>
    </row>
    <row r="24" spans="1:70">
      <c r="A24">
        <v>1997</v>
      </c>
      <c r="B24" s="1">
        <v>169221</v>
      </c>
      <c r="C24" s="2">
        <v>23222427.059631974</v>
      </c>
      <c r="D24" s="3">
        <v>137.23135461693272</v>
      </c>
      <c r="E24" s="1">
        <v>101532</v>
      </c>
      <c r="F24" s="4">
        <v>0.7416583676529146</v>
      </c>
      <c r="G24" s="4">
        <v>0.57799349427422952</v>
      </c>
      <c r="H24" s="4">
        <v>0.99999999831524189</v>
      </c>
      <c r="I24" s="4">
        <v>0.75400741499556023</v>
      </c>
      <c r="J24" s="5">
        <v>8.6699024141134426</v>
      </c>
      <c r="K24">
        <v>12400</v>
      </c>
      <c r="L24">
        <v>50046</v>
      </c>
      <c r="M24">
        <v>20806</v>
      </c>
      <c r="N24">
        <v>83252</v>
      </c>
      <c r="O24" s="6">
        <v>93000000</v>
      </c>
      <c r="P24" s="6">
        <v>125115000</v>
      </c>
      <c r="Q24" s="6">
        <v>24967200</v>
      </c>
      <c r="R24" s="6">
        <f t="shared" si="0"/>
        <v>243082200</v>
      </c>
      <c r="S24" s="2">
        <v>42.006666666666668</v>
      </c>
      <c r="T24" s="2">
        <v>22.605333333333334</v>
      </c>
      <c r="U24" s="2">
        <v>2.8193999999999999</v>
      </c>
      <c r="V24" s="2">
        <v>67.431399999999996</v>
      </c>
      <c r="W24">
        <v>122</v>
      </c>
      <c r="X24">
        <v>2</v>
      </c>
      <c r="Y24">
        <v>2</v>
      </c>
      <c r="Z24">
        <v>126</v>
      </c>
      <c r="AA24" s="2">
        <v>13134162.501699638</v>
      </c>
      <c r="AB24" s="6">
        <v>3025600</v>
      </c>
      <c r="AC24" s="6">
        <v>486000</v>
      </c>
      <c r="AD24" s="6">
        <v>2910000</v>
      </c>
      <c r="AE24" s="6">
        <v>6421600</v>
      </c>
      <c r="AF24" s="3">
        <v>14.860149925837355</v>
      </c>
      <c r="AG24">
        <v>122</v>
      </c>
      <c r="AH24">
        <v>2</v>
      </c>
      <c r="AI24">
        <v>1</v>
      </c>
      <c r="AJ24">
        <v>125</v>
      </c>
      <c r="AK24" s="2">
        <v>10001527.903307332</v>
      </c>
      <c r="AL24" s="6">
        <v>951600</v>
      </c>
      <c r="AM24" s="6">
        <v>197000</v>
      </c>
      <c r="AN24" s="6">
        <v>1176000</v>
      </c>
      <c r="AO24" s="6">
        <v>2324600</v>
      </c>
      <c r="AP24" s="3">
        <v>0.36714466304915833</v>
      </c>
      <c r="AQ24">
        <v>0</v>
      </c>
      <c r="AR24">
        <v>0</v>
      </c>
      <c r="AS24">
        <v>0</v>
      </c>
      <c r="AT24">
        <v>0</v>
      </c>
      <c r="AU24" s="2">
        <v>0</v>
      </c>
      <c r="AV24" s="6">
        <v>0</v>
      </c>
      <c r="AW24" s="6">
        <v>0</v>
      </c>
      <c r="AX24" s="6">
        <v>0</v>
      </c>
      <c r="AY24" s="6">
        <v>0</v>
      </c>
      <c r="AZ24" s="3">
        <v>0</v>
      </c>
      <c r="BA24">
        <v>5</v>
      </c>
      <c r="BB24">
        <v>0</v>
      </c>
      <c r="BC24">
        <v>0</v>
      </c>
      <c r="BD24">
        <v>5</v>
      </c>
      <c r="BE24" s="2">
        <v>86736.654625005554</v>
      </c>
      <c r="BF24" s="6">
        <v>29325</v>
      </c>
      <c r="BG24" s="6">
        <v>0</v>
      </c>
      <c r="BH24" s="6">
        <v>0</v>
      </c>
      <c r="BI24" s="6">
        <v>29325</v>
      </c>
      <c r="BJ24" s="3">
        <v>51.104750729838273</v>
      </c>
      <c r="BK24" s="6">
        <v>4006525</v>
      </c>
      <c r="BL24" s="6">
        <v>683000</v>
      </c>
      <c r="BM24" s="6">
        <v>4086000</v>
      </c>
      <c r="BN24" s="6">
        <v>8775525</v>
      </c>
      <c r="BO24" s="3">
        <v>66.332045318724781</v>
      </c>
      <c r="BP24" s="7">
        <v>251857725</v>
      </c>
      <c r="BQ24" s="2">
        <v>40.129033595617436</v>
      </c>
      <c r="BR24" s="2">
        <v>173.89247891434223</v>
      </c>
    </row>
    <row r="25" spans="1:70">
      <c r="A25">
        <v>1998</v>
      </c>
      <c r="B25" s="1">
        <v>169982</v>
      </c>
      <c r="C25" s="2">
        <v>24903944.968765214</v>
      </c>
      <c r="D25" s="3">
        <v>146.50930668403251</v>
      </c>
      <c r="E25" s="1">
        <v>101989</v>
      </c>
      <c r="F25" s="4">
        <v>0.75152479501331992</v>
      </c>
      <c r="G25" s="4">
        <v>0.58556950762310855</v>
      </c>
      <c r="H25" s="4">
        <v>0.99999999968285924</v>
      </c>
      <c r="I25" s="4">
        <v>0.76063082668712245</v>
      </c>
      <c r="J25" s="5">
        <v>8.7835426143466275</v>
      </c>
      <c r="K25">
        <v>13073</v>
      </c>
      <c r="L25">
        <v>50732</v>
      </c>
      <c r="M25">
        <v>20148</v>
      </c>
      <c r="N25">
        <v>83953</v>
      </c>
      <c r="O25" s="6">
        <v>98047500</v>
      </c>
      <c r="P25" s="6">
        <v>126830000</v>
      </c>
      <c r="Q25" s="6">
        <v>24177600</v>
      </c>
      <c r="R25" s="6">
        <f t="shared" si="0"/>
        <v>249055100</v>
      </c>
      <c r="S25" s="2">
        <v>44.115000000000002</v>
      </c>
      <c r="T25" s="2">
        <v>22.826000000000001</v>
      </c>
      <c r="U25" s="2">
        <v>2.7196666666666665</v>
      </c>
      <c r="V25" s="2">
        <v>69.660666666666671</v>
      </c>
      <c r="W25">
        <v>129</v>
      </c>
      <c r="X25">
        <v>2</v>
      </c>
      <c r="Y25">
        <v>2</v>
      </c>
      <c r="Z25">
        <v>133</v>
      </c>
      <c r="AA25" s="2">
        <v>14188894.611849951</v>
      </c>
      <c r="AB25" s="6">
        <v>3147600</v>
      </c>
      <c r="AC25" s="6">
        <v>486000</v>
      </c>
      <c r="AD25" s="6">
        <v>2940000</v>
      </c>
      <c r="AE25" s="6">
        <v>6573600</v>
      </c>
      <c r="AF25" s="3">
        <v>15.693599078061231</v>
      </c>
      <c r="AG25">
        <v>129</v>
      </c>
      <c r="AH25">
        <v>2</v>
      </c>
      <c r="AI25">
        <v>1</v>
      </c>
      <c r="AJ25">
        <v>132</v>
      </c>
      <c r="AK25" s="2">
        <v>10627409.224311056</v>
      </c>
      <c r="AL25" s="6">
        <v>990720</v>
      </c>
      <c r="AM25" s="6">
        <v>193000</v>
      </c>
      <c r="AN25" s="6">
        <v>1152000</v>
      </c>
      <c r="AO25" s="6">
        <v>2335720</v>
      </c>
      <c r="AP25" s="3">
        <v>0.38807584441275983</v>
      </c>
      <c r="AQ25">
        <v>0</v>
      </c>
      <c r="AR25">
        <v>0</v>
      </c>
      <c r="AS25">
        <v>0</v>
      </c>
      <c r="AT25">
        <v>0</v>
      </c>
      <c r="AU25" s="2">
        <v>0</v>
      </c>
      <c r="AV25" s="6">
        <v>0</v>
      </c>
      <c r="AW25" s="6">
        <v>0</v>
      </c>
      <c r="AX25" s="6">
        <v>0</v>
      </c>
      <c r="AY25" s="6">
        <v>0</v>
      </c>
      <c r="AZ25" s="3">
        <v>0</v>
      </c>
      <c r="BA25">
        <v>5</v>
      </c>
      <c r="BB25">
        <v>0</v>
      </c>
      <c r="BC25">
        <v>0</v>
      </c>
      <c r="BD25">
        <v>5</v>
      </c>
      <c r="BE25" s="2">
        <v>87641.132604209095</v>
      </c>
      <c r="BF25" s="6">
        <v>29100</v>
      </c>
      <c r="BG25" s="6">
        <v>0</v>
      </c>
      <c r="BH25" s="6">
        <v>0</v>
      </c>
      <c r="BI25" s="6">
        <v>29100</v>
      </c>
      <c r="BJ25" s="3">
        <v>53.980655970623516</v>
      </c>
      <c r="BK25" s="6">
        <v>4167420</v>
      </c>
      <c r="BL25" s="6">
        <v>679000</v>
      </c>
      <c r="BM25" s="6">
        <v>4092000</v>
      </c>
      <c r="BN25" s="6">
        <v>8938420</v>
      </c>
      <c r="BO25" s="3">
        <v>70.06233089309751</v>
      </c>
      <c r="BP25" s="7">
        <v>257993520</v>
      </c>
      <c r="BQ25" s="2">
        <v>41.916899267929246</v>
      </c>
      <c r="BR25" s="2">
        <v>181.63989682769341</v>
      </c>
    </row>
    <row r="26" spans="1:70">
      <c r="A26">
        <v>1999</v>
      </c>
      <c r="B26" s="1">
        <v>170746</v>
      </c>
      <c r="C26" s="2">
        <v>26605018.995554298</v>
      </c>
      <c r="D26" s="3">
        <v>155.81635291927364</v>
      </c>
      <c r="E26" s="1">
        <v>102447</v>
      </c>
      <c r="F26" s="4">
        <v>0.76081177154844293</v>
      </c>
      <c r="G26" s="4">
        <v>0.59277603444097238</v>
      </c>
      <c r="H26" s="4">
        <v>0.99999999994061284</v>
      </c>
      <c r="I26" s="4">
        <v>0.76687153927087204</v>
      </c>
      <c r="J26" s="5">
        <v>8.8916405166145864</v>
      </c>
      <c r="K26">
        <v>13725</v>
      </c>
      <c r="L26">
        <v>51342</v>
      </c>
      <c r="M26">
        <v>19515</v>
      </c>
      <c r="N26">
        <v>84582</v>
      </c>
      <c r="O26" s="6">
        <v>102937500</v>
      </c>
      <c r="P26" s="6">
        <v>128355000</v>
      </c>
      <c r="Q26" s="6">
        <v>23418000</v>
      </c>
      <c r="R26" s="6">
        <f t="shared" si="0"/>
        <v>254710500</v>
      </c>
      <c r="S26" s="2">
        <v>46.178333333333335</v>
      </c>
      <c r="T26" s="2">
        <v>23.031777777777776</v>
      </c>
      <c r="U26" s="2">
        <v>2.6263333333333332</v>
      </c>
      <c r="V26" s="2">
        <v>71.836444444444439</v>
      </c>
      <c r="W26">
        <v>137</v>
      </c>
      <c r="X26">
        <v>2</v>
      </c>
      <c r="Y26">
        <v>2</v>
      </c>
      <c r="Z26">
        <v>141</v>
      </c>
      <c r="AA26" s="2">
        <v>15274071.640047938</v>
      </c>
      <c r="AB26" s="6">
        <v>3301700</v>
      </c>
      <c r="AC26" s="6">
        <v>488000</v>
      </c>
      <c r="AD26" s="6">
        <v>2955000</v>
      </c>
      <c r="AE26" s="6">
        <v>6744700</v>
      </c>
      <c r="AF26" s="3">
        <v>16.556759727218559</v>
      </c>
      <c r="AG26">
        <v>137</v>
      </c>
      <c r="AH26">
        <v>2</v>
      </c>
      <c r="AI26">
        <v>1</v>
      </c>
      <c r="AJ26">
        <v>140</v>
      </c>
      <c r="AK26" s="2">
        <v>11242727.365247123</v>
      </c>
      <c r="AL26" s="6">
        <v>1068600</v>
      </c>
      <c r="AM26" s="6">
        <v>190000</v>
      </c>
      <c r="AN26" s="6">
        <v>1182000</v>
      </c>
      <c r="AO26" s="6">
        <v>2440600</v>
      </c>
      <c r="AP26" s="3">
        <v>0.40985535785521032</v>
      </c>
      <c r="AQ26">
        <v>0</v>
      </c>
      <c r="AR26">
        <v>0</v>
      </c>
      <c r="AS26">
        <v>0</v>
      </c>
      <c r="AT26">
        <v>0</v>
      </c>
      <c r="AU26" s="2">
        <v>0</v>
      </c>
      <c r="AV26" s="6">
        <v>0</v>
      </c>
      <c r="AW26" s="6">
        <v>0</v>
      </c>
      <c r="AX26" s="6">
        <v>0</v>
      </c>
      <c r="AY26" s="6">
        <v>0</v>
      </c>
      <c r="AZ26" s="3">
        <v>0</v>
      </c>
      <c r="BA26">
        <v>5</v>
      </c>
      <c r="BB26">
        <v>0</v>
      </c>
      <c r="BC26">
        <v>0</v>
      </c>
      <c r="BD26">
        <v>5</v>
      </c>
      <c r="BE26" s="2">
        <v>88219.990259238431</v>
      </c>
      <c r="BF26" s="6">
        <v>27975</v>
      </c>
      <c r="BG26" s="6">
        <v>0</v>
      </c>
      <c r="BH26" s="6">
        <v>0</v>
      </c>
      <c r="BI26" s="6">
        <v>27975</v>
      </c>
      <c r="BJ26" s="3">
        <v>56.938037567269504</v>
      </c>
      <c r="BK26" s="6">
        <v>4398275</v>
      </c>
      <c r="BL26" s="6">
        <v>678000</v>
      </c>
      <c r="BM26" s="6">
        <v>4137000</v>
      </c>
      <c r="BN26" s="6">
        <v>9213275</v>
      </c>
      <c r="BO26" s="3">
        <v>73.904652652343273</v>
      </c>
      <c r="BP26" s="7">
        <v>263923775</v>
      </c>
      <c r="BQ26" s="2">
        <v>43.722329129036311</v>
      </c>
      <c r="BR26" s="2">
        <v>189.46342622582404</v>
      </c>
    </row>
    <row r="27" spans="1:70">
      <c r="A27">
        <v>2000</v>
      </c>
      <c r="B27" s="1">
        <v>171514</v>
      </c>
      <c r="C27" s="2">
        <v>28328874.495887008</v>
      </c>
      <c r="D27" s="3">
        <v>165.16945844588201</v>
      </c>
      <c r="E27" s="1">
        <v>102908</v>
      </c>
      <c r="F27" s="4">
        <v>0.76959998289341391</v>
      </c>
      <c r="G27" s="4">
        <v>0.59963109479857801</v>
      </c>
      <c r="H27" s="4">
        <v>0.99999999998897104</v>
      </c>
      <c r="I27" s="4">
        <v>0.77276907097867187</v>
      </c>
      <c r="J27" s="5">
        <v>8.9944664219786699</v>
      </c>
      <c r="K27">
        <v>14359</v>
      </c>
      <c r="L27">
        <v>51891</v>
      </c>
      <c r="M27">
        <v>18906</v>
      </c>
      <c r="N27">
        <v>85156</v>
      </c>
      <c r="O27" s="6">
        <v>107692500</v>
      </c>
      <c r="P27" s="6">
        <v>129727500</v>
      </c>
      <c r="Q27" s="6">
        <v>22687200</v>
      </c>
      <c r="R27" s="6">
        <f t="shared" si="0"/>
        <v>260107200</v>
      </c>
      <c r="S27" s="2">
        <v>48.2</v>
      </c>
      <c r="T27" s="2">
        <v>23.225333333333332</v>
      </c>
      <c r="U27" s="2">
        <v>2.5386000000000002</v>
      </c>
      <c r="V27" s="2">
        <v>73.96393333333333</v>
      </c>
      <c r="W27">
        <v>145</v>
      </c>
      <c r="X27">
        <v>2</v>
      </c>
      <c r="Y27">
        <v>2</v>
      </c>
      <c r="Z27">
        <v>149</v>
      </c>
      <c r="AA27" s="2">
        <v>16391678.990628244</v>
      </c>
      <c r="AB27" s="6">
        <v>3552500</v>
      </c>
      <c r="AC27" s="6">
        <v>480000</v>
      </c>
      <c r="AD27" s="6">
        <v>2940000</v>
      </c>
      <c r="AE27" s="6">
        <v>6972500</v>
      </c>
      <c r="AF27" s="3">
        <v>17.450133434067435</v>
      </c>
      <c r="AG27">
        <v>145</v>
      </c>
      <c r="AH27">
        <v>2</v>
      </c>
      <c r="AI27">
        <v>1</v>
      </c>
      <c r="AJ27">
        <v>148</v>
      </c>
      <c r="AK27" s="2">
        <v>11848692.658068337</v>
      </c>
      <c r="AL27" s="6">
        <v>1102000</v>
      </c>
      <c r="AM27" s="6">
        <v>198000</v>
      </c>
      <c r="AN27" s="6">
        <v>1158000</v>
      </c>
      <c r="AO27" s="6">
        <v>2458000</v>
      </c>
      <c r="AP27" s="3">
        <v>0.43250005435070199</v>
      </c>
      <c r="AQ27">
        <v>0</v>
      </c>
      <c r="AR27">
        <v>0</v>
      </c>
      <c r="AS27">
        <v>0</v>
      </c>
      <c r="AT27">
        <v>0</v>
      </c>
      <c r="AU27" s="2">
        <v>0</v>
      </c>
      <c r="AV27" s="6">
        <v>0</v>
      </c>
      <c r="AW27" s="6">
        <v>0</v>
      </c>
      <c r="AX27" s="6">
        <v>0</v>
      </c>
      <c r="AY27" s="6">
        <v>0</v>
      </c>
      <c r="AZ27" s="3">
        <v>0</v>
      </c>
      <c r="BA27">
        <v>5</v>
      </c>
      <c r="BB27">
        <v>0</v>
      </c>
      <c r="BC27">
        <v>0</v>
      </c>
      <c r="BD27">
        <v>5</v>
      </c>
      <c r="BE27" s="2">
        <v>88502.84719042854</v>
      </c>
      <c r="BF27" s="6">
        <v>29325</v>
      </c>
      <c r="BG27" s="6">
        <v>0</v>
      </c>
      <c r="BH27" s="6">
        <v>0</v>
      </c>
      <c r="BI27" s="6">
        <v>29325</v>
      </c>
      <c r="BJ27" s="3">
        <v>59.979323118329546</v>
      </c>
      <c r="BK27" s="6">
        <v>4683825</v>
      </c>
      <c r="BL27" s="6">
        <v>678000</v>
      </c>
      <c r="BM27" s="6">
        <v>4098000</v>
      </c>
      <c r="BN27" s="6">
        <v>9459825</v>
      </c>
      <c r="BO27" s="3">
        <v>77.861956606747682</v>
      </c>
      <c r="BP27" s="7">
        <v>269567025</v>
      </c>
      <c r="BQ27" s="2">
        <v>45.547766982024307</v>
      </c>
      <c r="BR27" s="2">
        <v>197.37365692210534</v>
      </c>
    </row>
    <row r="28" spans="1:70">
      <c r="A28">
        <v>2001</v>
      </c>
      <c r="B28" s="1">
        <v>172285</v>
      </c>
      <c r="C28" s="2">
        <v>30080116.64965716</v>
      </c>
      <c r="D28" s="3">
        <v>174.59509910704449</v>
      </c>
      <c r="E28" s="1">
        <v>103371</v>
      </c>
      <c r="F28" s="4">
        <v>0.77763898386029284</v>
      </c>
      <c r="G28" s="4">
        <v>0.60615182991746086</v>
      </c>
      <c r="H28" s="4">
        <v>0.99999999999797839</v>
      </c>
      <c r="I28" s="4">
        <v>0.77825122848838646</v>
      </c>
      <c r="J28" s="5">
        <v>9.0922774487619122</v>
      </c>
      <c r="K28">
        <v>14965</v>
      </c>
      <c r="L28">
        <v>52377</v>
      </c>
      <c r="M28">
        <v>18344</v>
      </c>
      <c r="N28">
        <v>85686</v>
      </c>
      <c r="O28" s="6">
        <v>112237500</v>
      </c>
      <c r="P28" s="6">
        <v>130942500</v>
      </c>
      <c r="Q28" s="6">
        <v>22012800</v>
      </c>
      <c r="R28" s="6">
        <f t="shared" si="0"/>
        <v>265192800</v>
      </c>
      <c r="S28" s="2">
        <v>50.148333333333333</v>
      </c>
      <c r="T28" s="2">
        <v>23.402444444444445</v>
      </c>
      <c r="U28" s="2">
        <v>2.4589333333333334</v>
      </c>
      <c r="V28" s="2">
        <v>76.009711111111116</v>
      </c>
      <c r="W28">
        <v>153</v>
      </c>
      <c r="X28">
        <v>2</v>
      </c>
      <c r="Y28">
        <v>2</v>
      </c>
      <c r="Z28">
        <v>157</v>
      </c>
      <c r="AA28" s="2">
        <v>17544405.285569262</v>
      </c>
      <c r="AB28" s="6">
        <v>3748500</v>
      </c>
      <c r="AC28" s="6">
        <v>494000</v>
      </c>
      <c r="AD28" s="6">
        <v>2925000</v>
      </c>
      <c r="AE28" s="6">
        <v>7167500</v>
      </c>
      <c r="AF28" s="3">
        <v>18.37421481714161</v>
      </c>
      <c r="AG28">
        <v>153</v>
      </c>
      <c r="AH28">
        <v>2</v>
      </c>
      <c r="AI28">
        <v>1</v>
      </c>
      <c r="AJ28">
        <v>156</v>
      </c>
      <c r="AK28" s="2">
        <v>12447193.278195927</v>
      </c>
      <c r="AL28" s="6">
        <v>1175040</v>
      </c>
      <c r="AM28" s="6">
        <v>194000</v>
      </c>
      <c r="AN28" s="6">
        <v>1170000</v>
      </c>
      <c r="AO28" s="6">
        <v>2539040</v>
      </c>
      <c r="AP28" s="3">
        <v>0.45602670807422208</v>
      </c>
      <c r="AQ28">
        <v>0</v>
      </c>
      <c r="AR28">
        <v>0</v>
      </c>
      <c r="AS28">
        <v>0</v>
      </c>
      <c r="AT28">
        <v>0</v>
      </c>
      <c r="AU28" s="2">
        <v>0</v>
      </c>
      <c r="AV28" s="6">
        <v>0</v>
      </c>
      <c r="AW28" s="6">
        <v>0</v>
      </c>
      <c r="AX28" s="6">
        <v>0</v>
      </c>
      <c r="AY28" s="6">
        <v>0</v>
      </c>
      <c r="AZ28" s="3">
        <v>0</v>
      </c>
      <c r="BA28">
        <v>5</v>
      </c>
      <c r="BB28">
        <v>0</v>
      </c>
      <c r="BC28">
        <v>0</v>
      </c>
      <c r="BD28">
        <v>5</v>
      </c>
      <c r="BE28" s="2">
        <v>88518.085891968527</v>
      </c>
      <c r="BF28" s="6">
        <v>27975</v>
      </c>
      <c r="BG28" s="6">
        <v>0</v>
      </c>
      <c r="BH28" s="6">
        <v>0</v>
      </c>
      <c r="BI28" s="6">
        <v>27975</v>
      </c>
      <c r="BJ28" s="3">
        <v>63.106804645006889</v>
      </c>
      <c r="BK28" s="6">
        <v>4951515</v>
      </c>
      <c r="BL28" s="6">
        <v>688000</v>
      </c>
      <c r="BM28" s="6">
        <v>4095000</v>
      </c>
      <c r="BN28" s="6">
        <v>9734515</v>
      </c>
      <c r="BO28" s="3">
        <v>81.937046170222715</v>
      </c>
      <c r="BP28" s="7">
        <v>274927315</v>
      </c>
      <c r="BQ28" s="2">
        <v>47.384027184400146</v>
      </c>
      <c r="BR28" s="2">
        <v>205.33078446573396</v>
      </c>
    </row>
    <row r="29" spans="1:70">
      <c r="A29">
        <v>2002</v>
      </c>
      <c r="B29" s="1">
        <v>173060</v>
      </c>
      <c r="C29" s="2">
        <v>31864429.660844248</v>
      </c>
      <c r="D29" s="3">
        <v>184.12359679211977</v>
      </c>
      <c r="E29" s="1">
        <v>103836</v>
      </c>
      <c r="F29" s="4">
        <v>0.78529801466656413</v>
      </c>
      <c r="G29" s="4">
        <v>0.61235454503191733</v>
      </c>
      <c r="H29" s="4">
        <v>0.99999999999963629</v>
      </c>
      <c r="I29" s="4">
        <v>0.78345215900963927</v>
      </c>
      <c r="J29" s="5">
        <v>9.1853181754787592</v>
      </c>
      <c r="K29">
        <v>15555</v>
      </c>
      <c r="L29">
        <v>52824</v>
      </c>
      <c r="M29">
        <v>17805</v>
      </c>
      <c r="N29">
        <v>86184</v>
      </c>
      <c r="O29" s="6">
        <v>116662500</v>
      </c>
      <c r="P29" s="6">
        <v>132060000</v>
      </c>
      <c r="Q29" s="6">
        <v>21366000</v>
      </c>
      <c r="R29" s="6">
        <f t="shared" si="0"/>
        <v>270088500</v>
      </c>
      <c r="S29" s="2">
        <v>52.056666666666665</v>
      </c>
      <c r="T29" s="2">
        <v>23.571333333333332</v>
      </c>
      <c r="U29" s="2">
        <v>2.3835333333333333</v>
      </c>
      <c r="V29" s="2">
        <v>78.011533333333333</v>
      </c>
      <c r="W29">
        <v>162</v>
      </c>
      <c r="X29">
        <v>3</v>
      </c>
      <c r="Y29">
        <v>3</v>
      </c>
      <c r="Z29">
        <v>168</v>
      </c>
      <c r="AA29" s="2">
        <v>18735553.396215495</v>
      </c>
      <c r="AB29" s="6">
        <v>4001400</v>
      </c>
      <c r="AC29" s="6">
        <v>720000</v>
      </c>
      <c r="AD29" s="6">
        <v>2910000</v>
      </c>
      <c r="AE29" s="6">
        <v>7631400</v>
      </c>
      <c r="AF29" s="3">
        <v>19.329541720606905</v>
      </c>
      <c r="AG29">
        <v>162</v>
      </c>
      <c r="AH29">
        <v>3</v>
      </c>
      <c r="AI29">
        <v>1</v>
      </c>
      <c r="AJ29">
        <v>166</v>
      </c>
      <c r="AK29" s="2">
        <v>13040583.333963918</v>
      </c>
      <c r="AL29" s="6">
        <v>1257120</v>
      </c>
      <c r="AM29" s="6">
        <v>294000</v>
      </c>
      <c r="AN29" s="6">
        <v>1164000</v>
      </c>
      <c r="AO29" s="6">
        <v>2715120</v>
      </c>
      <c r="AP29" s="3">
        <v>0.48045294002632488</v>
      </c>
      <c r="AQ29">
        <v>0</v>
      </c>
      <c r="AR29">
        <v>0</v>
      </c>
      <c r="AS29">
        <v>0</v>
      </c>
      <c r="AT29">
        <v>0</v>
      </c>
      <c r="AU29" s="2">
        <v>0</v>
      </c>
      <c r="AV29" s="6">
        <v>0</v>
      </c>
      <c r="AW29" s="6">
        <v>0</v>
      </c>
      <c r="AX29" s="6">
        <v>0</v>
      </c>
      <c r="AY29" s="6">
        <v>0</v>
      </c>
      <c r="AZ29" s="3">
        <v>0</v>
      </c>
      <c r="BA29">
        <v>5</v>
      </c>
      <c r="BB29">
        <v>0</v>
      </c>
      <c r="BC29">
        <v>0</v>
      </c>
      <c r="BD29">
        <v>5</v>
      </c>
      <c r="BE29" s="2">
        <v>88292.930664832151</v>
      </c>
      <c r="BF29" s="6">
        <v>28425</v>
      </c>
      <c r="BG29" s="6">
        <v>0</v>
      </c>
      <c r="BH29" s="6">
        <v>0</v>
      </c>
      <c r="BI29" s="6">
        <v>28425</v>
      </c>
      <c r="BJ29" s="3">
        <v>66.322882479088577</v>
      </c>
      <c r="BK29" s="6">
        <v>5286945</v>
      </c>
      <c r="BL29" s="6">
        <v>1014000</v>
      </c>
      <c r="BM29" s="6">
        <v>4074000</v>
      </c>
      <c r="BN29" s="6">
        <v>10374945</v>
      </c>
      <c r="BO29" s="3">
        <v>86.132877139721813</v>
      </c>
      <c r="BP29" s="7">
        <v>280463445</v>
      </c>
      <c r="BQ29" s="2">
        <v>49.243323141916541</v>
      </c>
      <c r="BR29" s="2">
        <v>213.38773361497167</v>
      </c>
    </row>
    <row r="30" spans="1:70">
      <c r="A30">
        <v>2003</v>
      </c>
      <c r="B30" s="1">
        <v>173838</v>
      </c>
      <c r="C30" s="2">
        <v>33687560.949139759</v>
      </c>
      <c r="D30" s="3">
        <v>193.78709458886871</v>
      </c>
      <c r="E30" s="1">
        <v>104302</v>
      </c>
      <c r="F30" s="4">
        <v>0.79263316752202895</v>
      </c>
      <c r="G30" s="4">
        <v>0.61825475016058362</v>
      </c>
      <c r="H30" s="4">
        <v>0.99999999999993605</v>
      </c>
      <c r="I30" s="4">
        <v>0.7883999130441004</v>
      </c>
      <c r="J30" s="5">
        <v>9.2738212524087551</v>
      </c>
      <c r="K30">
        <v>16130</v>
      </c>
      <c r="L30">
        <v>53241</v>
      </c>
      <c r="M30">
        <v>17287</v>
      </c>
      <c r="N30">
        <v>86658</v>
      </c>
      <c r="O30" s="6">
        <v>120975000</v>
      </c>
      <c r="P30" s="6">
        <v>133102500</v>
      </c>
      <c r="Q30" s="6">
        <v>20744400</v>
      </c>
      <c r="R30" s="6">
        <f t="shared" si="0"/>
        <v>274821900</v>
      </c>
      <c r="S30" s="2">
        <v>53.93</v>
      </c>
      <c r="T30" s="2">
        <v>23.733555555555554</v>
      </c>
      <c r="U30" s="2">
        <v>2.3118666666666665</v>
      </c>
      <c r="V30" s="2">
        <v>79.975422222222207</v>
      </c>
      <c r="W30">
        <v>171</v>
      </c>
      <c r="X30">
        <v>3</v>
      </c>
      <c r="Y30">
        <v>3</v>
      </c>
      <c r="Z30">
        <v>177</v>
      </c>
      <c r="AA30" s="2">
        <v>19968541.366748512</v>
      </c>
      <c r="AB30" s="6">
        <v>4172400</v>
      </c>
      <c r="AC30" s="6">
        <v>738000</v>
      </c>
      <c r="AD30" s="6">
        <v>2955000</v>
      </c>
      <c r="AE30" s="6">
        <v>7865400</v>
      </c>
      <c r="AF30" s="3">
        <v>20.316644204850888</v>
      </c>
      <c r="AG30">
        <v>171</v>
      </c>
      <c r="AH30">
        <v>3</v>
      </c>
      <c r="AI30">
        <v>1</v>
      </c>
      <c r="AJ30">
        <v>175</v>
      </c>
      <c r="AK30" s="2">
        <v>13631169.215640562</v>
      </c>
      <c r="AL30" s="6">
        <v>1326960</v>
      </c>
      <c r="AM30" s="6">
        <v>286500</v>
      </c>
      <c r="AN30" s="6">
        <v>1140000</v>
      </c>
      <c r="AO30" s="6">
        <v>2753460</v>
      </c>
      <c r="AP30" s="3">
        <v>0.50579629603813514</v>
      </c>
      <c r="AQ30">
        <v>0</v>
      </c>
      <c r="AR30">
        <v>0</v>
      </c>
      <c r="AS30">
        <v>0</v>
      </c>
      <c r="AT30">
        <v>0</v>
      </c>
      <c r="AU30" s="2">
        <v>0</v>
      </c>
      <c r="AV30" s="6">
        <v>0</v>
      </c>
      <c r="AW30" s="6">
        <v>0</v>
      </c>
      <c r="AX30" s="6">
        <v>0</v>
      </c>
      <c r="AY30" s="6">
        <v>0</v>
      </c>
      <c r="AZ30" s="3">
        <v>0</v>
      </c>
      <c r="BA30">
        <v>5</v>
      </c>
      <c r="BB30">
        <v>0</v>
      </c>
      <c r="BC30">
        <v>0</v>
      </c>
      <c r="BD30">
        <v>5</v>
      </c>
      <c r="BE30" s="2">
        <v>87850.366750684247</v>
      </c>
      <c r="BF30" s="6">
        <v>29550</v>
      </c>
      <c r="BG30" s="6">
        <v>0</v>
      </c>
      <c r="BH30" s="6">
        <v>0</v>
      </c>
      <c r="BI30" s="6">
        <v>29550</v>
      </c>
      <c r="BJ30" s="3">
        <v>69.629830284329728</v>
      </c>
      <c r="BK30" s="6">
        <v>5528910</v>
      </c>
      <c r="BL30" s="6">
        <v>1024500</v>
      </c>
      <c r="BM30" s="6">
        <v>4095000</v>
      </c>
      <c r="BN30" s="6">
        <v>10648410</v>
      </c>
      <c r="BO30" s="3">
        <v>90.452270785218758</v>
      </c>
      <c r="BP30" s="7">
        <v>285470310</v>
      </c>
      <c r="BQ30" s="2">
        <v>51.128307902232287</v>
      </c>
      <c r="BR30" s="2">
        <v>221.55600090967323</v>
      </c>
    </row>
    <row r="31" spans="1:70">
      <c r="A31">
        <v>2004</v>
      </c>
      <c r="B31" s="1">
        <v>174620</v>
      </c>
      <c r="C31" s="2">
        <v>35555934.962275483</v>
      </c>
      <c r="D31" s="3">
        <v>203.61891514302761</v>
      </c>
      <c r="E31" s="1">
        <v>104772</v>
      </c>
      <c r="F31" s="4">
        <v>0.79969239948905968</v>
      </c>
      <c r="G31" s="4">
        <v>0.6238671988895611</v>
      </c>
      <c r="H31" s="4">
        <v>0.99999999999998923</v>
      </c>
      <c r="I31" s="4">
        <v>0.79311903574708575</v>
      </c>
      <c r="J31" s="5">
        <v>9.3580079833434162</v>
      </c>
      <c r="K31">
        <v>16693</v>
      </c>
      <c r="L31">
        <v>53634</v>
      </c>
      <c r="M31">
        <v>16787</v>
      </c>
      <c r="N31">
        <v>87114</v>
      </c>
      <c r="O31" s="6">
        <v>125197500</v>
      </c>
      <c r="P31" s="6">
        <v>134085000</v>
      </c>
      <c r="Q31" s="6">
        <v>20144400</v>
      </c>
      <c r="R31" s="6">
        <f t="shared" si="0"/>
        <v>279426900</v>
      </c>
      <c r="S31" s="2">
        <v>55.768333333333331</v>
      </c>
      <c r="T31" s="2">
        <v>23.890444444444444</v>
      </c>
      <c r="U31" s="2">
        <v>2.2433333333333332</v>
      </c>
      <c r="V31" s="2">
        <v>81.902111111111111</v>
      </c>
      <c r="W31">
        <v>181</v>
      </c>
      <c r="X31">
        <v>3</v>
      </c>
      <c r="Y31">
        <v>3</v>
      </c>
      <c r="Z31">
        <v>187</v>
      </c>
      <c r="AA31" s="2">
        <v>21247251.535410337</v>
      </c>
      <c r="AB31" s="6">
        <v>4488800</v>
      </c>
      <c r="AC31" s="6">
        <v>744000</v>
      </c>
      <c r="AD31" s="6">
        <v>5790000</v>
      </c>
      <c r="AE31" s="6">
        <v>11022800</v>
      </c>
      <c r="AF31" s="3">
        <v>21.336064759070911</v>
      </c>
      <c r="AG31">
        <v>181</v>
      </c>
      <c r="AH31">
        <v>3</v>
      </c>
      <c r="AI31">
        <v>2</v>
      </c>
      <c r="AJ31">
        <v>186</v>
      </c>
      <c r="AK31" s="2">
        <v>14221470.97007768</v>
      </c>
      <c r="AL31" s="6">
        <v>1433520</v>
      </c>
      <c r="AM31" s="6">
        <v>289500</v>
      </c>
      <c r="AN31" s="6">
        <v>2352000</v>
      </c>
      <c r="AO31" s="6">
        <v>4075020</v>
      </c>
      <c r="AP31" s="3">
        <v>0.53207461468497397</v>
      </c>
      <c r="AQ31">
        <v>0</v>
      </c>
      <c r="AR31">
        <v>0</v>
      </c>
      <c r="AS31">
        <v>0</v>
      </c>
      <c r="AT31">
        <v>0</v>
      </c>
      <c r="AU31" s="2">
        <v>0</v>
      </c>
      <c r="AV31" s="6">
        <v>0</v>
      </c>
      <c r="AW31" s="6">
        <v>0</v>
      </c>
      <c r="AX31" s="6">
        <v>0</v>
      </c>
      <c r="AY31" s="6">
        <v>0</v>
      </c>
      <c r="AZ31" s="3">
        <v>0</v>
      </c>
      <c r="BA31">
        <v>5</v>
      </c>
      <c r="BB31">
        <v>0</v>
      </c>
      <c r="BC31">
        <v>0</v>
      </c>
      <c r="BD31">
        <v>5</v>
      </c>
      <c r="BE31" s="2">
        <v>87212.456787468269</v>
      </c>
      <c r="BF31" s="6">
        <v>29100</v>
      </c>
      <c r="BG31" s="6">
        <v>0</v>
      </c>
      <c r="BH31" s="6">
        <v>0</v>
      </c>
      <c r="BI31" s="6">
        <v>29100</v>
      </c>
      <c r="BJ31" s="3">
        <v>73.029899137892471</v>
      </c>
      <c r="BK31" s="6">
        <v>5951420</v>
      </c>
      <c r="BL31" s="6">
        <v>1033500</v>
      </c>
      <c r="BM31" s="6">
        <v>8142000</v>
      </c>
      <c r="BN31" s="6">
        <v>15126920</v>
      </c>
      <c r="BO31" s="3">
        <v>94.898038511648352</v>
      </c>
      <c r="BP31" s="7">
        <v>294553820</v>
      </c>
      <c r="BQ31" s="2">
        <v>53.040044886827843</v>
      </c>
      <c r="BR31" s="2">
        <v>229.84019450958732</v>
      </c>
    </row>
    <row r="32" spans="1:70">
      <c r="A32">
        <v>2005</v>
      </c>
      <c r="B32" s="1">
        <v>175405</v>
      </c>
      <c r="C32" s="2">
        <v>37474492.062535524</v>
      </c>
      <c r="D32" s="3">
        <v>213.64551787312519</v>
      </c>
      <c r="E32" s="1">
        <v>105243</v>
      </c>
      <c r="F32" s="4">
        <v>0.80651128798361271</v>
      </c>
      <c r="G32" s="4">
        <v>0.62920592526406616</v>
      </c>
      <c r="H32" s="4">
        <v>0.99999999999999811</v>
      </c>
      <c r="I32" s="4">
        <v>0.79762927379864756</v>
      </c>
      <c r="J32" s="5">
        <v>9.4380888789609916</v>
      </c>
      <c r="K32">
        <v>17244</v>
      </c>
      <c r="L32">
        <v>54008</v>
      </c>
      <c r="M32">
        <v>16305</v>
      </c>
      <c r="N32">
        <v>87557</v>
      </c>
      <c r="O32" s="6">
        <v>129330000</v>
      </c>
      <c r="P32" s="6">
        <v>135020000</v>
      </c>
      <c r="Q32" s="6">
        <v>19566000</v>
      </c>
      <c r="R32" s="6">
        <f t="shared" si="0"/>
        <v>283916000</v>
      </c>
      <c r="S32" s="2">
        <v>57.576666666666668</v>
      </c>
      <c r="T32" s="2">
        <v>24.043111111111113</v>
      </c>
      <c r="U32" s="2">
        <v>2.1776</v>
      </c>
      <c r="V32" s="2">
        <v>83.797377777777783</v>
      </c>
      <c r="W32">
        <v>191</v>
      </c>
      <c r="X32">
        <v>3</v>
      </c>
      <c r="Y32">
        <v>3</v>
      </c>
      <c r="Z32">
        <v>197</v>
      </c>
      <c r="AA32" s="2">
        <v>22574885.441655815</v>
      </c>
      <c r="AB32" s="6">
        <v>4641300</v>
      </c>
      <c r="AC32" s="6">
        <v>723000</v>
      </c>
      <c r="AD32" s="6">
        <v>5760000</v>
      </c>
      <c r="AE32" s="6">
        <v>11124300</v>
      </c>
      <c r="AF32" s="3">
        <v>22.388382256283681</v>
      </c>
      <c r="AG32">
        <v>191</v>
      </c>
      <c r="AH32">
        <v>3</v>
      </c>
      <c r="AI32">
        <v>2</v>
      </c>
      <c r="AJ32">
        <v>196</v>
      </c>
      <c r="AK32" s="2">
        <v>14813213.740771079</v>
      </c>
      <c r="AL32" s="6">
        <v>1451600</v>
      </c>
      <c r="AM32" s="6">
        <v>295500</v>
      </c>
      <c r="AN32" s="6">
        <v>2328000</v>
      </c>
      <c r="AO32" s="6">
        <v>4075100</v>
      </c>
      <c r="AP32" s="3">
        <v>0.55930647592511029</v>
      </c>
      <c r="AQ32">
        <v>0</v>
      </c>
      <c r="AR32">
        <v>0</v>
      </c>
      <c r="AS32">
        <v>0</v>
      </c>
      <c r="AT32">
        <v>0</v>
      </c>
      <c r="AU32" s="2">
        <v>0</v>
      </c>
      <c r="AV32" s="6">
        <v>0</v>
      </c>
      <c r="AW32" s="6">
        <v>0</v>
      </c>
      <c r="AX32" s="6">
        <v>0</v>
      </c>
      <c r="AY32" s="6">
        <v>0</v>
      </c>
      <c r="AZ32" s="3">
        <v>0</v>
      </c>
      <c r="BA32">
        <v>5</v>
      </c>
      <c r="BB32">
        <v>0</v>
      </c>
      <c r="BC32">
        <v>0</v>
      </c>
      <c r="BD32">
        <v>5</v>
      </c>
      <c r="BE32" s="2">
        <v>86392.880108634869</v>
      </c>
      <c r="BF32" s="6">
        <v>28875</v>
      </c>
      <c r="BG32" s="6">
        <v>0</v>
      </c>
      <c r="BH32" s="6">
        <v>0</v>
      </c>
      <c r="BI32" s="6">
        <v>28875</v>
      </c>
      <c r="BJ32" s="3">
        <v>76.525434144274641</v>
      </c>
      <c r="BK32" s="6">
        <v>6121775</v>
      </c>
      <c r="BL32" s="6">
        <v>1018500</v>
      </c>
      <c r="BM32" s="6">
        <v>8088000</v>
      </c>
      <c r="BN32" s="6">
        <v>15228275</v>
      </c>
      <c r="BO32" s="3">
        <v>99.47312287648343</v>
      </c>
      <c r="BP32" s="7">
        <v>299144275</v>
      </c>
      <c r="BQ32" s="2">
        <v>54.981150196278364</v>
      </c>
      <c r="BR32" s="2">
        <v>238.25165085053959</v>
      </c>
    </row>
    <row r="33" spans="1:70">
      <c r="A33">
        <v>2006</v>
      </c>
      <c r="B33" s="1">
        <v>176194</v>
      </c>
      <c r="C33" s="2">
        <v>39448550.855555236</v>
      </c>
      <c r="D33" s="3">
        <v>223.89270267747617</v>
      </c>
      <c r="E33" s="1">
        <v>105716</v>
      </c>
      <c r="F33" s="4">
        <v>0.81311963142658161</v>
      </c>
      <c r="G33" s="4">
        <v>0.63428427888085326</v>
      </c>
      <c r="H33" s="4">
        <v>0.99999999999999978</v>
      </c>
      <c r="I33" s="4">
        <v>0.80194785714526928</v>
      </c>
      <c r="J33" s="5">
        <v>9.5142641832127985</v>
      </c>
      <c r="K33">
        <v>17785</v>
      </c>
      <c r="L33">
        <v>54366</v>
      </c>
      <c r="M33">
        <v>15838</v>
      </c>
      <c r="N33">
        <v>87989</v>
      </c>
      <c r="O33" s="6">
        <v>133387500</v>
      </c>
      <c r="P33" s="6">
        <v>135915000</v>
      </c>
      <c r="Q33" s="6">
        <v>19005600</v>
      </c>
      <c r="R33" s="6">
        <f t="shared" si="0"/>
        <v>288308100</v>
      </c>
      <c r="S33" s="2">
        <v>59.354999999999997</v>
      </c>
      <c r="T33" s="2">
        <v>24.192222222222224</v>
      </c>
      <c r="U33" s="2">
        <v>2.1143333333333332</v>
      </c>
      <c r="V33" s="2">
        <v>85.661555555555552</v>
      </c>
      <c r="W33">
        <v>202</v>
      </c>
      <c r="X33">
        <v>4</v>
      </c>
      <c r="Y33">
        <v>4</v>
      </c>
      <c r="Z33">
        <v>210</v>
      </c>
      <c r="AA33" s="2">
        <v>23954943.882088866</v>
      </c>
      <c r="AB33" s="6">
        <v>4928800</v>
      </c>
      <c r="AC33" s="6">
        <v>988000</v>
      </c>
      <c r="AD33" s="6">
        <v>5820000</v>
      </c>
      <c r="AE33" s="6">
        <v>11736800</v>
      </c>
      <c r="AF33" s="3">
        <v>23.474153277768458</v>
      </c>
      <c r="AG33">
        <v>202</v>
      </c>
      <c r="AH33">
        <v>4</v>
      </c>
      <c r="AI33">
        <v>2</v>
      </c>
      <c r="AJ33">
        <v>208</v>
      </c>
      <c r="AK33" s="2">
        <v>15408202.091445019</v>
      </c>
      <c r="AL33" s="6">
        <v>1591760</v>
      </c>
      <c r="AM33" s="6">
        <v>390000</v>
      </c>
      <c r="AN33" s="6">
        <v>2292000</v>
      </c>
      <c r="AO33" s="6">
        <v>4273760</v>
      </c>
      <c r="AP33" s="3">
        <v>0.58751013270035335</v>
      </c>
      <c r="AQ33">
        <v>0</v>
      </c>
      <c r="AR33">
        <v>0</v>
      </c>
      <c r="AS33">
        <v>0</v>
      </c>
      <c r="AT33">
        <v>0</v>
      </c>
      <c r="AU33" s="2">
        <v>0</v>
      </c>
      <c r="AV33" s="6">
        <v>0</v>
      </c>
      <c r="AW33" s="6">
        <v>0</v>
      </c>
      <c r="AX33" s="6">
        <v>0</v>
      </c>
      <c r="AY33" s="6">
        <v>0</v>
      </c>
      <c r="AZ33" s="3">
        <v>0</v>
      </c>
      <c r="BA33">
        <v>4</v>
      </c>
      <c r="BB33">
        <v>0</v>
      </c>
      <c r="BC33">
        <v>0</v>
      </c>
      <c r="BD33">
        <v>4</v>
      </c>
      <c r="BE33" s="2">
        <v>85404.882021353114</v>
      </c>
      <c r="BF33" s="6">
        <v>23100</v>
      </c>
      <c r="BG33" s="6">
        <v>0</v>
      </c>
      <c r="BH33" s="6">
        <v>0</v>
      </c>
      <c r="BI33" s="6">
        <v>23100</v>
      </c>
      <c r="BJ33" s="3">
        <v>80.118603493096259</v>
      </c>
      <c r="BK33" s="6">
        <v>6543660</v>
      </c>
      <c r="BL33" s="6">
        <v>1378000</v>
      </c>
      <c r="BM33" s="6">
        <v>8112000</v>
      </c>
      <c r="BN33" s="6">
        <v>16033660</v>
      </c>
      <c r="BO33" s="3">
        <v>104.18026690356507</v>
      </c>
      <c r="BP33" s="7">
        <v>304341760</v>
      </c>
      <c r="BQ33" s="2">
        <v>56.952546737736192</v>
      </c>
      <c r="BR33" s="2">
        <v>246.79436919685682</v>
      </c>
    </row>
    <row r="34" spans="1:70">
      <c r="A34">
        <v>2007</v>
      </c>
      <c r="B34" s="1">
        <v>176986</v>
      </c>
      <c r="C34" s="2">
        <v>41482859.33869227</v>
      </c>
      <c r="D34" s="3">
        <v>234.38497586640904</v>
      </c>
      <c r="E34" s="1">
        <v>106191</v>
      </c>
      <c r="F34" s="4">
        <v>0.81954200859229465</v>
      </c>
      <c r="G34" s="4">
        <v>0.63911495826916087</v>
      </c>
      <c r="H34" s="4">
        <v>1</v>
      </c>
      <c r="I34" s="4">
        <v>0.80608975341162525</v>
      </c>
      <c r="J34" s="5">
        <v>9.5867243740374128</v>
      </c>
      <c r="K34">
        <v>18315</v>
      </c>
      <c r="L34">
        <v>54713</v>
      </c>
      <c r="M34">
        <v>15385</v>
      </c>
      <c r="N34">
        <v>88413</v>
      </c>
      <c r="O34" s="6">
        <v>137362500</v>
      </c>
      <c r="P34" s="6">
        <v>136782500</v>
      </c>
      <c r="Q34" s="6">
        <v>18462000</v>
      </c>
      <c r="R34" s="6">
        <f t="shared" si="0"/>
        <v>292607000</v>
      </c>
      <c r="S34" s="2">
        <v>61.104999999999997</v>
      </c>
      <c r="T34" s="2">
        <v>24.338444444444445</v>
      </c>
      <c r="U34" s="2">
        <v>2.0531999999999999</v>
      </c>
      <c r="V34" s="2">
        <v>87.496644444444442</v>
      </c>
      <c r="W34">
        <v>213</v>
      </c>
      <c r="X34">
        <v>4</v>
      </c>
      <c r="Y34">
        <v>4</v>
      </c>
      <c r="Z34">
        <v>221</v>
      </c>
      <c r="AA34" s="2">
        <v>25390722.010572877</v>
      </c>
      <c r="AB34" s="6">
        <v>5154600</v>
      </c>
      <c r="AC34" s="6">
        <v>992000</v>
      </c>
      <c r="AD34" s="6">
        <v>5850000</v>
      </c>
      <c r="AE34" s="6">
        <v>11996600</v>
      </c>
      <c r="AF34" s="3">
        <v>24.593984917577856</v>
      </c>
      <c r="AG34">
        <v>213</v>
      </c>
      <c r="AH34">
        <v>4</v>
      </c>
      <c r="AI34">
        <v>2</v>
      </c>
      <c r="AJ34">
        <v>219</v>
      </c>
      <c r="AK34" s="2">
        <v>16007879.29661751</v>
      </c>
      <c r="AL34" s="6">
        <v>1669920</v>
      </c>
      <c r="AM34" s="6">
        <v>384000</v>
      </c>
      <c r="AN34" s="6">
        <v>2280000</v>
      </c>
      <c r="AO34" s="6">
        <v>4333920</v>
      </c>
      <c r="AP34" s="3">
        <v>0.6167048442096299</v>
      </c>
      <c r="AQ34">
        <v>0</v>
      </c>
      <c r="AR34">
        <v>0</v>
      </c>
      <c r="AS34">
        <v>0</v>
      </c>
      <c r="AT34">
        <v>0</v>
      </c>
      <c r="AU34" s="2">
        <v>0</v>
      </c>
      <c r="AV34" s="6">
        <v>0</v>
      </c>
      <c r="AW34" s="6">
        <v>0</v>
      </c>
      <c r="AX34" s="6">
        <v>0</v>
      </c>
      <c r="AY34" s="6">
        <v>0</v>
      </c>
      <c r="AZ34" s="3">
        <v>0</v>
      </c>
      <c r="BA34">
        <v>4</v>
      </c>
      <c r="BB34">
        <v>0</v>
      </c>
      <c r="BC34">
        <v>0</v>
      </c>
      <c r="BD34">
        <v>4</v>
      </c>
      <c r="BE34" s="2">
        <v>84258.031501878344</v>
      </c>
      <c r="BF34" s="6">
        <v>22560</v>
      </c>
      <c r="BG34" s="6">
        <v>0</v>
      </c>
      <c r="BH34" s="6">
        <v>0</v>
      </c>
      <c r="BI34" s="6">
        <v>22560</v>
      </c>
      <c r="BJ34" s="3">
        <v>83.811747016358453</v>
      </c>
      <c r="BK34" s="6">
        <v>6847080</v>
      </c>
      <c r="BL34" s="6">
        <v>1376000</v>
      </c>
      <c r="BM34" s="6">
        <v>8130000</v>
      </c>
      <c r="BN34" s="6">
        <v>16353080</v>
      </c>
      <c r="BO34" s="3">
        <v>109.02243677814593</v>
      </c>
      <c r="BP34" s="7">
        <v>308960080</v>
      </c>
      <c r="BQ34" s="2">
        <v>58.955724366777112</v>
      </c>
      <c r="BR34" s="2">
        <v>255.47480558936749</v>
      </c>
    </row>
    <row r="35" spans="1:70">
      <c r="A35">
        <v>2008</v>
      </c>
      <c r="B35" s="1">
        <v>177782</v>
      </c>
      <c r="C35" s="2">
        <v>43582039.023032032</v>
      </c>
      <c r="D35" s="3">
        <v>245.14314735480551</v>
      </c>
      <c r="E35" s="1">
        <v>106669</v>
      </c>
      <c r="F35" s="4">
        <v>0.82579721957150132</v>
      </c>
      <c r="G35" s="4">
        <v>0.64371004264364806</v>
      </c>
      <c r="H35" s="4">
        <v>1</v>
      </c>
      <c r="I35" s="4">
        <v>0.81006754678556525</v>
      </c>
      <c r="J35" s="5">
        <v>9.6556506396547217</v>
      </c>
      <c r="K35">
        <v>18837</v>
      </c>
      <c r="L35">
        <v>55050</v>
      </c>
      <c r="M35">
        <v>14946</v>
      </c>
      <c r="N35">
        <v>88833</v>
      </c>
      <c r="O35" s="6">
        <v>141277500</v>
      </c>
      <c r="P35" s="6">
        <v>137625000</v>
      </c>
      <c r="Q35" s="6">
        <v>17935200</v>
      </c>
      <c r="R35" s="6">
        <f t="shared" si="0"/>
        <v>296837700</v>
      </c>
      <c r="S35" s="2">
        <v>62.83</v>
      </c>
      <c r="T35" s="2">
        <v>24.482444444444443</v>
      </c>
      <c r="U35" s="2">
        <v>1.9940666666666667</v>
      </c>
      <c r="V35" s="2">
        <v>89.306511111111107</v>
      </c>
      <c r="W35">
        <v>225</v>
      </c>
      <c r="X35">
        <v>4</v>
      </c>
      <c r="Y35">
        <v>4</v>
      </c>
      <c r="Z35">
        <v>233</v>
      </c>
      <c r="AA35" s="2">
        <v>26885534.347101223</v>
      </c>
      <c r="AB35" s="6">
        <v>5557500</v>
      </c>
      <c r="AC35" s="6">
        <v>988000</v>
      </c>
      <c r="AD35" s="6">
        <v>5940000</v>
      </c>
      <c r="AE35" s="6">
        <v>12485500</v>
      </c>
      <c r="AF35" s="3">
        <v>25.748473070185241</v>
      </c>
      <c r="AG35">
        <v>225</v>
      </c>
      <c r="AH35">
        <v>4</v>
      </c>
      <c r="AI35">
        <v>2</v>
      </c>
      <c r="AJ35">
        <v>231</v>
      </c>
      <c r="AK35" s="2">
        <v>16613544.520984167</v>
      </c>
      <c r="AL35" s="6">
        <v>1737000</v>
      </c>
      <c r="AM35" s="6">
        <v>396000</v>
      </c>
      <c r="AN35" s="6">
        <v>2364000</v>
      </c>
      <c r="AO35" s="6">
        <v>4497000</v>
      </c>
      <c r="AP35" s="3">
        <v>0.64690975902523096</v>
      </c>
      <c r="AQ35">
        <v>0</v>
      </c>
      <c r="AR35">
        <v>0</v>
      </c>
      <c r="AS35">
        <v>0</v>
      </c>
      <c r="AT35">
        <v>0</v>
      </c>
      <c r="AU35" s="2">
        <v>0</v>
      </c>
      <c r="AV35" s="6">
        <v>0</v>
      </c>
      <c r="AW35" s="6">
        <v>0</v>
      </c>
      <c r="AX35" s="6">
        <v>0</v>
      </c>
      <c r="AY35" s="6">
        <v>0</v>
      </c>
      <c r="AZ35" s="3">
        <v>0</v>
      </c>
      <c r="BA35">
        <v>4</v>
      </c>
      <c r="BB35">
        <v>0</v>
      </c>
      <c r="BC35">
        <v>0</v>
      </c>
      <c r="BD35">
        <v>4</v>
      </c>
      <c r="BE35" s="2">
        <v>82960.154946636932</v>
      </c>
      <c r="BF35" s="6">
        <v>23640</v>
      </c>
      <c r="BG35" s="6">
        <v>0</v>
      </c>
      <c r="BH35" s="6">
        <v>0</v>
      </c>
      <c r="BI35" s="6">
        <v>23640</v>
      </c>
      <c r="BJ35" s="3">
        <v>87.607087350195116</v>
      </c>
      <c r="BK35" s="6">
        <v>7318140</v>
      </c>
      <c r="BL35" s="6">
        <v>1384000</v>
      </c>
      <c r="BM35" s="6">
        <v>8304000</v>
      </c>
      <c r="BN35" s="6">
        <v>17006140</v>
      </c>
      <c r="BO35" s="3">
        <v>114.00247017940559</v>
      </c>
      <c r="BP35" s="7">
        <v>313843840</v>
      </c>
      <c r="BQ35" s="2">
        <v>60.992694387155005</v>
      </c>
      <c r="BR35" s="2">
        <v>264.30167567767171</v>
      </c>
    </row>
    <row r="36" spans="1:70">
      <c r="A36">
        <v>2009</v>
      </c>
      <c r="B36" s="1">
        <v>178582</v>
      </c>
      <c r="C36" s="2">
        <v>45749929.879418194</v>
      </c>
      <c r="D36" s="3">
        <v>256.18444120582251</v>
      </c>
      <c r="E36" s="1">
        <v>107149</v>
      </c>
      <c r="F36" s="4">
        <v>0.83189927152037624</v>
      </c>
      <c r="G36" s="4">
        <v>0.64808102210872387</v>
      </c>
      <c r="H36" s="4">
        <v>1</v>
      </c>
      <c r="I36" s="4">
        <v>0.81389181824231438</v>
      </c>
      <c r="J36" s="5">
        <v>9.7212153316308587</v>
      </c>
      <c r="K36">
        <v>19350</v>
      </c>
      <c r="L36">
        <v>55380</v>
      </c>
      <c r="M36">
        <v>14519</v>
      </c>
      <c r="N36">
        <v>89249</v>
      </c>
      <c r="O36" s="6">
        <v>145125000</v>
      </c>
      <c r="P36" s="6">
        <v>138450000</v>
      </c>
      <c r="Q36" s="6">
        <v>17422800</v>
      </c>
      <c r="R36" s="6">
        <f t="shared" si="0"/>
        <v>300997800</v>
      </c>
      <c r="S36" s="2">
        <v>64.53</v>
      </c>
      <c r="T36" s="2">
        <v>24.624666666666666</v>
      </c>
      <c r="U36" s="2">
        <v>1.9367333333333334</v>
      </c>
      <c r="V36" s="2">
        <v>91.091400000000007</v>
      </c>
      <c r="W36">
        <v>238</v>
      </c>
      <c r="X36">
        <v>4</v>
      </c>
      <c r="Y36">
        <v>4</v>
      </c>
      <c r="Z36">
        <v>246</v>
      </c>
      <c r="AA36" s="2">
        <v>28442344.332803257</v>
      </c>
      <c r="AB36" s="6">
        <v>5878600</v>
      </c>
      <c r="AC36" s="6">
        <v>980000</v>
      </c>
      <c r="AD36" s="6">
        <v>5880000</v>
      </c>
      <c r="AE36" s="6">
        <v>12738600</v>
      </c>
      <c r="AF36" s="3">
        <v>26.938227318018736</v>
      </c>
      <c r="AG36">
        <v>238</v>
      </c>
      <c r="AH36">
        <v>4</v>
      </c>
      <c r="AI36">
        <v>2</v>
      </c>
      <c r="AJ36">
        <v>244</v>
      </c>
      <c r="AK36" s="2">
        <v>17226069.868789688</v>
      </c>
      <c r="AL36" s="6">
        <v>1875440</v>
      </c>
      <c r="AM36" s="6">
        <v>384000</v>
      </c>
      <c r="AN36" s="6">
        <v>2376000</v>
      </c>
      <c r="AO36" s="6">
        <v>4635440</v>
      </c>
      <c r="AP36" s="3">
        <v>0.6781443668478927</v>
      </c>
      <c r="AQ36">
        <v>0</v>
      </c>
      <c r="AR36">
        <v>0</v>
      </c>
      <c r="AS36">
        <v>0</v>
      </c>
      <c r="AT36">
        <v>0</v>
      </c>
      <c r="AU36" s="2">
        <v>0</v>
      </c>
      <c r="AV36" s="6">
        <v>0</v>
      </c>
      <c r="AW36" s="6">
        <v>0</v>
      </c>
      <c r="AX36" s="6">
        <v>0</v>
      </c>
      <c r="AY36" s="6">
        <v>0</v>
      </c>
      <c r="AZ36" s="3">
        <v>0</v>
      </c>
      <c r="BA36">
        <v>4</v>
      </c>
      <c r="BB36">
        <v>0</v>
      </c>
      <c r="BC36">
        <v>0</v>
      </c>
      <c r="BD36">
        <v>4</v>
      </c>
      <c r="BE36" s="2">
        <v>81515.677825251274</v>
      </c>
      <c r="BF36" s="6">
        <v>23460</v>
      </c>
      <c r="BG36" s="6">
        <v>0</v>
      </c>
      <c r="BH36" s="6">
        <v>0</v>
      </c>
      <c r="BI36" s="6">
        <v>23460</v>
      </c>
      <c r="BJ36" s="3">
        <v>91.506853763530273</v>
      </c>
      <c r="BK36" s="6">
        <v>7777500</v>
      </c>
      <c r="BL36" s="6">
        <v>1364000</v>
      </c>
      <c r="BM36" s="6">
        <v>8256000</v>
      </c>
      <c r="BN36" s="6">
        <v>17397500</v>
      </c>
      <c r="BO36" s="3">
        <v>119.12322544839691</v>
      </c>
      <c r="BP36" s="7">
        <v>318395300</v>
      </c>
      <c r="BQ36" s="2">
        <v>63.064387634519079</v>
      </c>
      <c r="BR36" s="2">
        <v>273.27901308291598</v>
      </c>
    </row>
    <row r="37" spans="1:70">
      <c r="A37">
        <v>2010</v>
      </c>
      <c r="B37" s="1">
        <v>179385</v>
      </c>
      <c r="C37" s="2">
        <v>47990369.673986591</v>
      </c>
      <c r="D37" s="3">
        <v>267.5272161774206</v>
      </c>
      <c r="E37" s="1">
        <v>107631</v>
      </c>
      <c r="F37" s="4">
        <v>0.83786094614240325</v>
      </c>
      <c r="G37" s="4">
        <v>0.65223882638979225</v>
      </c>
      <c r="H37" s="4">
        <v>1</v>
      </c>
      <c r="I37" s="4">
        <v>0.81757235603665956</v>
      </c>
      <c r="J37" s="5">
        <v>9.7835823958468833</v>
      </c>
      <c r="K37">
        <v>19855</v>
      </c>
      <c r="L37">
        <v>55704</v>
      </c>
      <c r="M37">
        <v>14103</v>
      </c>
      <c r="N37">
        <v>89662</v>
      </c>
      <c r="O37" s="6">
        <v>148912500</v>
      </c>
      <c r="P37" s="6">
        <v>139260000</v>
      </c>
      <c r="Q37" s="6">
        <v>16923600</v>
      </c>
      <c r="R37" s="6">
        <f t="shared" si="0"/>
        <v>305096100</v>
      </c>
      <c r="S37" s="2">
        <v>66.204999999999998</v>
      </c>
      <c r="T37" s="2">
        <v>24.765333333333334</v>
      </c>
      <c r="U37" s="2">
        <v>1.8810666666666667</v>
      </c>
      <c r="V37" s="2">
        <v>92.851399999999998</v>
      </c>
      <c r="W37">
        <v>251</v>
      </c>
      <c r="X37">
        <v>5</v>
      </c>
      <c r="Y37">
        <v>5</v>
      </c>
      <c r="Z37">
        <v>261</v>
      </c>
      <c r="AA37" s="2">
        <v>30064189.244374756</v>
      </c>
      <c r="AB37" s="6">
        <v>6099300</v>
      </c>
      <c r="AC37" s="6">
        <v>1220000</v>
      </c>
      <c r="AD37" s="6">
        <v>5790000</v>
      </c>
      <c r="AE37" s="6">
        <v>13109300</v>
      </c>
      <c r="AF37" s="3">
        <v>28.163899854021931</v>
      </c>
      <c r="AG37">
        <v>251</v>
      </c>
      <c r="AH37">
        <v>5</v>
      </c>
      <c r="AI37">
        <v>2</v>
      </c>
      <c r="AJ37">
        <v>258</v>
      </c>
      <c r="AK37" s="2">
        <v>17846252.249012217</v>
      </c>
      <c r="AL37" s="6">
        <v>1987920</v>
      </c>
      <c r="AM37" s="6">
        <v>487500</v>
      </c>
      <c r="AN37" s="6">
        <v>2280000</v>
      </c>
      <c r="AO37" s="6">
        <v>4755420</v>
      </c>
      <c r="AP37" s="3">
        <v>0.71042903908475818</v>
      </c>
      <c r="AQ37">
        <v>0</v>
      </c>
      <c r="AR37">
        <v>0</v>
      </c>
      <c r="AS37">
        <v>0</v>
      </c>
      <c r="AT37">
        <v>0</v>
      </c>
      <c r="AU37" s="2">
        <v>0</v>
      </c>
      <c r="AV37" s="6">
        <v>0</v>
      </c>
      <c r="AW37" s="6">
        <v>0</v>
      </c>
      <c r="AX37" s="6">
        <v>0</v>
      </c>
      <c r="AY37" s="6">
        <v>0</v>
      </c>
      <c r="AZ37" s="3">
        <v>0</v>
      </c>
      <c r="BA37">
        <v>4</v>
      </c>
      <c r="BB37">
        <v>0</v>
      </c>
      <c r="BC37">
        <v>0</v>
      </c>
      <c r="BD37">
        <v>4</v>
      </c>
      <c r="BE37" s="2">
        <v>79928.180599619227</v>
      </c>
      <c r="BF37" s="6">
        <v>22200</v>
      </c>
      <c r="BG37" s="6">
        <v>0</v>
      </c>
      <c r="BH37" s="6">
        <v>0</v>
      </c>
      <c r="BI37" s="6">
        <v>22200</v>
      </c>
      <c r="BJ37" s="3">
        <v>95.51341919775281</v>
      </c>
      <c r="BK37" s="6">
        <v>8109420</v>
      </c>
      <c r="BL37" s="6">
        <v>1707500</v>
      </c>
      <c r="BM37" s="6">
        <v>8070000</v>
      </c>
      <c r="BN37" s="6">
        <v>17886920</v>
      </c>
      <c r="BO37" s="3">
        <v>124.3877480908595</v>
      </c>
      <c r="BP37" s="7">
        <v>322983020</v>
      </c>
      <c r="BQ37" s="2">
        <v>65.171744427257849</v>
      </c>
      <c r="BR37" s="2">
        <v>282.41089251811735</v>
      </c>
    </row>
    <row r="38" spans="1:70">
      <c r="A38">
        <v>2011</v>
      </c>
      <c r="B38" s="1">
        <v>180192</v>
      </c>
      <c r="C38" s="2">
        <v>50306989.891346209</v>
      </c>
      <c r="D38" s="3">
        <v>279.18547932952742</v>
      </c>
      <c r="E38" s="1">
        <v>108115</v>
      </c>
      <c r="F38" s="4">
        <v>0.84352599275146389</v>
      </c>
      <c r="G38" s="4">
        <v>0.65619385216325954</v>
      </c>
      <c r="H38" s="4">
        <v>1</v>
      </c>
      <c r="I38" s="4">
        <v>0.82106374467579257</v>
      </c>
      <c r="J38" s="5">
        <v>9.8429077824488935</v>
      </c>
      <c r="K38">
        <v>20346</v>
      </c>
      <c r="L38">
        <v>56017</v>
      </c>
      <c r="M38">
        <v>13711</v>
      </c>
      <c r="N38">
        <v>90074</v>
      </c>
      <c r="O38" s="6">
        <v>152595000</v>
      </c>
      <c r="P38" s="6">
        <v>140042500</v>
      </c>
      <c r="Q38" s="6">
        <v>16453200</v>
      </c>
      <c r="R38" s="6">
        <f t="shared" si="0"/>
        <v>309090700</v>
      </c>
      <c r="S38" s="2">
        <v>67.834999999999994</v>
      </c>
      <c r="T38" s="2">
        <v>24.902222222222221</v>
      </c>
      <c r="U38" s="2">
        <v>1.8286</v>
      </c>
      <c r="V38" s="2">
        <v>94.565822222222209</v>
      </c>
      <c r="W38">
        <v>264</v>
      </c>
      <c r="X38">
        <v>5</v>
      </c>
      <c r="Y38">
        <v>5</v>
      </c>
      <c r="Z38">
        <v>274</v>
      </c>
      <c r="AA38" s="2">
        <v>31754053.864231165</v>
      </c>
      <c r="AB38" s="6">
        <v>6441600</v>
      </c>
      <c r="AC38" s="6">
        <v>1210000</v>
      </c>
      <c r="AD38" s="6">
        <v>8640000</v>
      </c>
      <c r="AE38" s="6">
        <v>16291600</v>
      </c>
      <c r="AF38" s="3">
        <v>29.426129835671706</v>
      </c>
      <c r="AG38">
        <v>264</v>
      </c>
      <c r="AH38">
        <v>5</v>
      </c>
      <c r="AI38">
        <v>3</v>
      </c>
      <c r="AJ38">
        <v>272</v>
      </c>
      <c r="AK38" s="2">
        <v>18474736.065937553</v>
      </c>
      <c r="AL38" s="6">
        <v>2027520</v>
      </c>
      <c r="AM38" s="6">
        <v>482500</v>
      </c>
      <c r="AN38" s="6">
        <v>3510000</v>
      </c>
      <c r="AO38" s="6">
        <v>6020020</v>
      </c>
      <c r="AP38" s="3">
        <v>0.74378401926205062</v>
      </c>
      <c r="AQ38">
        <v>0</v>
      </c>
      <c r="AR38">
        <v>0</v>
      </c>
      <c r="AS38">
        <v>0</v>
      </c>
      <c r="AT38">
        <v>0</v>
      </c>
      <c r="AU38" s="2">
        <v>0</v>
      </c>
      <c r="AV38" s="6">
        <v>0</v>
      </c>
      <c r="AW38" s="6">
        <v>0</v>
      </c>
      <c r="AX38" s="6">
        <v>0</v>
      </c>
      <c r="AY38" s="6">
        <v>0</v>
      </c>
      <c r="AZ38" s="3">
        <v>0</v>
      </c>
      <c r="BA38">
        <v>4</v>
      </c>
      <c r="BB38">
        <v>0</v>
      </c>
      <c r="BC38">
        <v>0</v>
      </c>
      <c r="BD38">
        <v>4</v>
      </c>
      <c r="BE38" s="2">
        <v>78199.961177492485</v>
      </c>
      <c r="BF38" s="6">
        <v>22920</v>
      </c>
      <c r="BG38" s="6">
        <v>0</v>
      </c>
      <c r="BH38" s="6">
        <v>0</v>
      </c>
      <c r="BI38" s="6">
        <v>22920</v>
      </c>
      <c r="BJ38" s="3">
        <v>99.629040115436297</v>
      </c>
      <c r="BK38" s="6">
        <v>8492040</v>
      </c>
      <c r="BL38" s="6">
        <v>1692500</v>
      </c>
      <c r="BM38" s="6">
        <v>12150000</v>
      </c>
      <c r="BN38" s="6">
        <v>22334540</v>
      </c>
      <c r="BO38" s="3">
        <v>129.79895397037006</v>
      </c>
      <c r="BP38" s="7">
        <v>331425240</v>
      </c>
      <c r="BQ38" s="2">
        <v>67.309432857777679</v>
      </c>
      <c r="BR38" s="2">
        <v>291.67420905036994</v>
      </c>
    </row>
    <row r="39" spans="1:70">
      <c r="A39">
        <v>2012</v>
      </c>
      <c r="B39" s="1">
        <v>181002</v>
      </c>
      <c r="C39" s="2">
        <v>52703284.922438912</v>
      </c>
      <c r="D39" s="3">
        <v>291.17515233223344</v>
      </c>
      <c r="E39" s="1">
        <v>108601</v>
      </c>
      <c r="F39" s="4">
        <v>0.8490776716795414</v>
      </c>
      <c r="G39" s="4">
        <v>0.6599559890536405</v>
      </c>
      <c r="H39" s="4">
        <v>1</v>
      </c>
      <c r="I39" s="4">
        <v>0.82443065442256902</v>
      </c>
      <c r="J39" s="5">
        <v>9.8993398358046072</v>
      </c>
      <c r="K39">
        <v>20830</v>
      </c>
      <c r="L39">
        <v>56326</v>
      </c>
      <c r="M39">
        <v>13328</v>
      </c>
      <c r="N39">
        <v>90484</v>
      </c>
      <c r="O39" s="6">
        <v>156225000</v>
      </c>
      <c r="P39" s="6">
        <v>140815000</v>
      </c>
      <c r="Q39" s="6">
        <v>15993600</v>
      </c>
      <c r="R39" s="6">
        <f t="shared" si="0"/>
        <v>313033600</v>
      </c>
      <c r="S39" s="2">
        <v>69.444999999999993</v>
      </c>
      <c r="T39" s="2">
        <v>25.038222222222224</v>
      </c>
      <c r="U39" s="2">
        <v>1.7774666666666668</v>
      </c>
      <c r="V39" s="2">
        <v>96.260688888888893</v>
      </c>
      <c r="W39">
        <v>278</v>
      </c>
      <c r="X39">
        <v>5</v>
      </c>
      <c r="Y39">
        <v>5</v>
      </c>
      <c r="Z39">
        <v>288</v>
      </c>
      <c r="AA39" s="2">
        <v>33514906.839472923</v>
      </c>
      <c r="AB39" s="6">
        <v>6699800</v>
      </c>
      <c r="AC39" s="6">
        <v>1200000</v>
      </c>
      <c r="AD39" s="6">
        <v>8685000</v>
      </c>
      <c r="AE39" s="6">
        <v>16584800</v>
      </c>
      <c r="AF39" s="3">
        <v>30.725571234474987</v>
      </c>
      <c r="AG39">
        <v>278</v>
      </c>
      <c r="AH39">
        <v>5</v>
      </c>
      <c r="AI39">
        <v>3</v>
      </c>
      <c r="AJ39">
        <v>286</v>
      </c>
      <c r="AK39" s="2">
        <v>19112045.788511358</v>
      </c>
      <c r="AL39" s="6">
        <v>2201760</v>
      </c>
      <c r="AM39" s="6">
        <v>477500</v>
      </c>
      <c r="AN39" s="6">
        <v>3474000</v>
      </c>
      <c r="AO39" s="6">
        <v>6153260</v>
      </c>
      <c r="AP39" s="3">
        <v>0.77822992810907032</v>
      </c>
      <c r="AQ39">
        <v>0</v>
      </c>
      <c r="AR39">
        <v>0</v>
      </c>
      <c r="AS39">
        <v>0</v>
      </c>
      <c r="AT39">
        <v>0</v>
      </c>
      <c r="AU39" s="2">
        <v>0</v>
      </c>
      <c r="AV39" s="6">
        <v>0</v>
      </c>
      <c r="AW39" s="6">
        <v>0</v>
      </c>
      <c r="AX39" s="6">
        <v>0</v>
      </c>
      <c r="AY39" s="6">
        <v>0</v>
      </c>
      <c r="AZ39" s="3">
        <v>0</v>
      </c>
      <c r="BA39">
        <v>4</v>
      </c>
      <c r="BB39">
        <v>0</v>
      </c>
      <c r="BC39">
        <v>0</v>
      </c>
      <c r="BD39">
        <v>4</v>
      </c>
      <c r="BE39" s="2">
        <v>76332.294454623057</v>
      </c>
      <c r="BF39" s="6">
        <v>23280</v>
      </c>
      <c r="BG39" s="6">
        <v>0</v>
      </c>
      <c r="BH39" s="6">
        <v>0</v>
      </c>
      <c r="BI39" s="6">
        <v>23280</v>
      </c>
      <c r="BJ39" s="3">
        <v>103.85599346011297</v>
      </c>
      <c r="BK39" s="6">
        <v>8924840</v>
      </c>
      <c r="BL39" s="6">
        <v>1677500</v>
      </c>
      <c r="BM39" s="6">
        <v>12159000</v>
      </c>
      <c r="BN39" s="6">
        <v>22761340</v>
      </c>
      <c r="BO39" s="3">
        <v>135.35979462269702</v>
      </c>
      <c r="BP39" s="7">
        <v>335794940</v>
      </c>
      <c r="BQ39" s="2">
        <v>69.486145053475767</v>
      </c>
      <c r="BR39" s="2">
        <v>301.10662856506167</v>
      </c>
    </row>
    <row r="40" spans="1:70">
      <c r="A40">
        <v>2013</v>
      </c>
      <c r="B40" s="1">
        <v>181816</v>
      </c>
      <c r="C40" s="2">
        <v>55182668.2459599</v>
      </c>
      <c r="D40" s="3">
        <v>303.50831745258887</v>
      </c>
      <c r="E40" s="1">
        <v>109089</v>
      </c>
      <c r="F40" s="4">
        <v>0.85452089558368605</v>
      </c>
      <c r="G40" s="4">
        <v>0.66353464436277032</v>
      </c>
      <c r="H40" s="4">
        <v>1</v>
      </c>
      <c r="I40" s="4">
        <v>0.82767930558370961</v>
      </c>
      <c r="J40" s="5">
        <v>9.9530196654415555</v>
      </c>
      <c r="K40">
        <v>21307</v>
      </c>
      <c r="L40">
        <v>56634</v>
      </c>
      <c r="M40">
        <v>12955</v>
      </c>
      <c r="N40">
        <v>90896</v>
      </c>
      <c r="O40" s="6">
        <v>159802500</v>
      </c>
      <c r="P40" s="6">
        <v>141585000</v>
      </c>
      <c r="Q40" s="6">
        <v>15546000</v>
      </c>
      <c r="R40" s="6">
        <f t="shared" si="0"/>
        <v>316933500</v>
      </c>
      <c r="S40" s="2">
        <v>71.031666666666666</v>
      </c>
      <c r="T40" s="2">
        <v>25.173777777777779</v>
      </c>
      <c r="U40" s="2">
        <v>1.7276</v>
      </c>
      <c r="V40" s="2">
        <v>97.933044444444448</v>
      </c>
      <c r="W40">
        <v>293</v>
      </c>
      <c r="X40">
        <v>6</v>
      </c>
      <c r="Y40">
        <v>6</v>
      </c>
      <c r="Z40">
        <v>305</v>
      </c>
      <c r="AA40" s="2">
        <v>35349730.088026509</v>
      </c>
      <c r="AB40" s="6">
        <v>7266400</v>
      </c>
      <c r="AC40" s="6">
        <v>1476000</v>
      </c>
      <c r="AD40" s="6">
        <v>8910000</v>
      </c>
      <c r="AE40" s="6">
        <v>17652400</v>
      </c>
      <c r="AF40" s="3">
        <v>32.06290907011104</v>
      </c>
      <c r="AG40">
        <v>293</v>
      </c>
      <c r="AH40">
        <v>6</v>
      </c>
      <c r="AI40">
        <v>3</v>
      </c>
      <c r="AJ40">
        <v>302</v>
      </c>
      <c r="AK40" s="2">
        <v>19758612.533006001</v>
      </c>
      <c r="AL40" s="6">
        <v>2250240</v>
      </c>
      <c r="AM40" s="6">
        <v>594000</v>
      </c>
      <c r="AN40" s="6">
        <v>3492000</v>
      </c>
      <c r="AO40" s="6">
        <v>6336240</v>
      </c>
      <c r="AP40" s="3">
        <v>0.81378806933440107</v>
      </c>
      <c r="AQ40">
        <v>0</v>
      </c>
      <c r="AR40">
        <v>0</v>
      </c>
      <c r="AS40">
        <v>0</v>
      </c>
      <c r="AT40">
        <v>0</v>
      </c>
      <c r="AU40" s="2">
        <v>0</v>
      </c>
      <c r="AV40" s="6">
        <v>0</v>
      </c>
      <c r="AW40" s="6">
        <v>0</v>
      </c>
      <c r="AX40" s="6">
        <v>0</v>
      </c>
      <c r="AY40" s="6">
        <v>0</v>
      </c>
      <c r="AZ40" s="3">
        <v>0</v>
      </c>
      <c r="BA40">
        <v>4</v>
      </c>
      <c r="BB40">
        <v>0</v>
      </c>
      <c r="BC40">
        <v>0</v>
      </c>
      <c r="BD40">
        <v>4</v>
      </c>
      <c r="BE40" s="2">
        <v>74325.624927390571</v>
      </c>
      <c r="BF40" s="6">
        <v>23460</v>
      </c>
      <c r="BG40" s="6">
        <v>0</v>
      </c>
      <c r="BH40" s="6">
        <v>0</v>
      </c>
      <c r="BI40" s="6">
        <v>23460</v>
      </c>
      <c r="BJ40" s="3">
        <v>108.1966538812524</v>
      </c>
      <c r="BK40" s="6">
        <v>9540100</v>
      </c>
      <c r="BL40" s="6">
        <v>2070000</v>
      </c>
      <c r="BM40" s="6">
        <v>12402000</v>
      </c>
      <c r="BN40" s="6">
        <v>24012100</v>
      </c>
      <c r="BO40" s="3">
        <v>141.07335102069783</v>
      </c>
      <c r="BP40" s="7">
        <v>340945600</v>
      </c>
      <c r="BQ40" s="2">
        <v>71.701918639542683</v>
      </c>
      <c r="BR40" s="2">
        <v>310.70831410468497</v>
      </c>
    </row>
    <row r="41" spans="1:70">
      <c r="A41">
        <v>2014</v>
      </c>
      <c r="B41" s="1">
        <v>182634</v>
      </c>
      <c r="C41" s="2">
        <v>57748821.080410168</v>
      </c>
      <c r="D41" s="3">
        <v>316.19972776377983</v>
      </c>
      <c r="E41" s="1">
        <v>109580</v>
      </c>
      <c r="F41" s="4">
        <v>0.85986124114044526</v>
      </c>
      <c r="G41" s="4">
        <v>0.66693876659296036</v>
      </c>
      <c r="H41" s="4">
        <v>1</v>
      </c>
      <c r="I41" s="4">
        <v>0.83081585989842799</v>
      </c>
      <c r="J41" s="5">
        <v>10.004081498894406</v>
      </c>
      <c r="K41">
        <v>21778</v>
      </c>
      <c r="L41">
        <v>56940</v>
      </c>
      <c r="M41">
        <v>12591</v>
      </c>
      <c r="N41">
        <v>91309</v>
      </c>
      <c r="O41" s="6">
        <v>163335000</v>
      </c>
      <c r="P41" s="6">
        <v>142350000</v>
      </c>
      <c r="Q41" s="6">
        <v>15109200</v>
      </c>
      <c r="R41" s="6">
        <f t="shared" si="0"/>
        <v>320794200</v>
      </c>
      <c r="S41" s="2">
        <v>72.598333333333329</v>
      </c>
      <c r="T41" s="2">
        <v>25.308888888888887</v>
      </c>
      <c r="U41" s="2">
        <v>1.6789333333333334</v>
      </c>
      <c r="V41" s="2">
        <v>99.58615555555555</v>
      </c>
      <c r="W41">
        <v>309</v>
      </c>
      <c r="X41">
        <v>6</v>
      </c>
      <c r="Y41">
        <v>6</v>
      </c>
      <c r="Z41">
        <v>321</v>
      </c>
      <c r="AA41" s="2">
        <v>37261718.04915534</v>
      </c>
      <c r="AB41" s="6">
        <v>7663200</v>
      </c>
      <c r="AC41" s="6">
        <v>1440000</v>
      </c>
      <c r="AD41" s="6">
        <v>8550000</v>
      </c>
      <c r="AE41" s="6">
        <v>17653200</v>
      </c>
      <c r="AF41" s="3">
        <v>33.438845069253226</v>
      </c>
      <c r="AG41">
        <v>309</v>
      </c>
      <c r="AH41">
        <v>6</v>
      </c>
      <c r="AI41">
        <v>3</v>
      </c>
      <c r="AJ41">
        <v>318</v>
      </c>
      <c r="AK41" s="2">
        <v>20414922.739741832</v>
      </c>
      <c r="AL41" s="6">
        <v>2397840</v>
      </c>
      <c r="AM41" s="6">
        <v>585000</v>
      </c>
      <c r="AN41" s="6">
        <v>3474000</v>
      </c>
      <c r="AO41" s="6">
        <v>6456840</v>
      </c>
      <c r="AP41" s="3">
        <v>0.8504801780571255</v>
      </c>
      <c r="AQ41">
        <v>0</v>
      </c>
      <c r="AR41">
        <v>0</v>
      </c>
      <c r="AS41">
        <v>0</v>
      </c>
      <c r="AT41">
        <v>0</v>
      </c>
      <c r="AU41" s="2">
        <v>0</v>
      </c>
      <c r="AV41" s="6">
        <v>0</v>
      </c>
      <c r="AW41" s="6">
        <v>0</v>
      </c>
      <c r="AX41" s="6">
        <v>0</v>
      </c>
      <c r="AY41" s="6">
        <v>0</v>
      </c>
      <c r="AZ41" s="3">
        <v>0</v>
      </c>
      <c r="BA41">
        <v>4</v>
      </c>
      <c r="BB41">
        <v>0</v>
      </c>
      <c r="BC41">
        <v>0</v>
      </c>
      <c r="BD41">
        <v>4</v>
      </c>
      <c r="BE41" s="2">
        <v>72180.29151299251</v>
      </c>
      <c r="BF41" s="6">
        <v>22920</v>
      </c>
      <c r="BG41" s="6">
        <v>0</v>
      </c>
      <c r="BH41" s="6">
        <v>0</v>
      </c>
      <c r="BI41" s="6">
        <v>22920</v>
      </c>
      <c r="BJ41" s="3">
        <v>112.65342619381626</v>
      </c>
      <c r="BK41" s="6">
        <v>10083960</v>
      </c>
      <c r="BL41" s="6">
        <v>2025000</v>
      </c>
      <c r="BM41" s="6">
        <v>12024000</v>
      </c>
      <c r="BN41" s="6">
        <v>24132960</v>
      </c>
      <c r="BO41" s="3">
        <v>146.9427514411266</v>
      </c>
      <c r="BP41" s="7">
        <v>344927160</v>
      </c>
      <c r="BQ41" s="2">
        <v>73.958672099004644</v>
      </c>
      <c r="BR41" s="2">
        <v>320.48757909568678</v>
      </c>
    </row>
    <row r="42" spans="1:70">
      <c r="A42">
        <v>2015</v>
      </c>
      <c r="B42" s="1">
        <v>183455</v>
      </c>
      <c r="C42" s="2">
        <v>60404786.531569168</v>
      </c>
      <c r="D42" s="3">
        <v>329.26214347697891</v>
      </c>
      <c r="E42" s="1">
        <v>110073</v>
      </c>
      <c r="F42" s="4">
        <v>0.86510269016178964</v>
      </c>
      <c r="G42" s="4">
        <v>0.67017686782291408</v>
      </c>
      <c r="H42" s="4">
        <v>1</v>
      </c>
      <c r="I42" s="4">
        <v>0.83384570984950213</v>
      </c>
      <c r="J42" s="5">
        <v>10.052653017343712</v>
      </c>
      <c r="K42">
        <v>22242</v>
      </c>
      <c r="L42">
        <v>57245</v>
      </c>
      <c r="M42">
        <v>12234</v>
      </c>
      <c r="N42">
        <v>91721</v>
      </c>
      <c r="O42" s="6">
        <v>166815000</v>
      </c>
      <c r="P42" s="6">
        <v>143112500</v>
      </c>
      <c r="Q42" s="6">
        <v>14680800</v>
      </c>
      <c r="R42" s="6">
        <f t="shared" si="0"/>
        <v>324608300</v>
      </c>
      <c r="S42" s="2">
        <v>74.144999999999996</v>
      </c>
      <c r="T42" s="2">
        <v>25.443555555555555</v>
      </c>
      <c r="U42" s="2">
        <v>1.6314</v>
      </c>
      <c r="V42" s="2">
        <v>101.21995555555556</v>
      </c>
      <c r="W42">
        <v>325</v>
      </c>
      <c r="X42">
        <v>6</v>
      </c>
      <c r="Y42">
        <v>6</v>
      </c>
      <c r="Z42">
        <v>337</v>
      </c>
      <c r="AA42" s="2">
        <v>39253743.184646145</v>
      </c>
      <c r="AB42" s="6">
        <v>7800000</v>
      </c>
      <c r="AC42" s="6">
        <v>1458000</v>
      </c>
      <c r="AD42" s="6">
        <v>8865000</v>
      </c>
      <c r="AE42" s="6">
        <v>18123000</v>
      </c>
      <c r="AF42" s="3">
        <v>34.854081140207271</v>
      </c>
      <c r="AG42">
        <v>325</v>
      </c>
      <c r="AH42">
        <v>6</v>
      </c>
      <c r="AI42">
        <v>3</v>
      </c>
      <c r="AJ42">
        <v>334</v>
      </c>
      <c r="AK42" s="2">
        <v>21081148.547912881</v>
      </c>
      <c r="AL42" s="6">
        <v>2574000</v>
      </c>
      <c r="AM42" s="6">
        <v>588000</v>
      </c>
      <c r="AN42" s="6">
        <v>3564000</v>
      </c>
      <c r="AO42" s="6">
        <v>6726000</v>
      </c>
      <c r="AP42" s="3">
        <v>0.88832812040261988</v>
      </c>
      <c r="AQ42">
        <v>0</v>
      </c>
      <c r="AR42">
        <v>0</v>
      </c>
      <c r="AS42">
        <v>0</v>
      </c>
      <c r="AT42">
        <v>0</v>
      </c>
      <c r="AU42" s="2">
        <v>0</v>
      </c>
      <c r="AV42" s="6">
        <v>0</v>
      </c>
      <c r="AW42" s="6">
        <v>0</v>
      </c>
      <c r="AX42" s="6">
        <v>0</v>
      </c>
      <c r="AY42" s="6">
        <v>0</v>
      </c>
      <c r="AZ42" s="3">
        <v>0</v>
      </c>
      <c r="BA42">
        <v>4</v>
      </c>
      <c r="BB42">
        <v>0</v>
      </c>
      <c r="BC42">
        <v>0</v>
      </c>
      <c r="BD42">
        <v>4</v>
      </c>
      <c r="BE42" s="2">
        <v>69894.799010141622</v>
      </c>
      <c r="BF42" s="6">
        <v>22920</v>
      </c>
      <c r="BG42" s="6">
        <v>0</v>
      </c>
      <c r="BH42" s="6">
        <v>0</v>
      </c>
      <c r="BI42" s="6">
        <v>22920</v>
      </c>
      <c r="BJ42" s="3">
        <v>117.22867049623669</v>
      </c>
      <c r="BK42" s="6">
        <v>10396920</v>
      </c>
      <c r="BL42" s="6">
        <v>2046000</v>
      </c>
      <c r="BM42" s="6">
        <v>12429000</v>
      </c>
      <c r="BN42" s="6">
        <v>24871920</v>
      </c>
      <c r="BO42" s="3">
        <v>152.97107975684656</v>
      </c>
      <c r="BP42" s="7">
        <v>349480220</v>
      </c>
      <c r="BQ42" s="2">
        <v>76.257310593720632</v>
      </c>
      <c r="BR42" s="2">
        <v>330.44834590612277</v>
      </c>
    </row>
    <row r="43" spans="1:70">
      <c r="A43">
        <v>2016</v>
      </c>
      <c r="B43" s="1">
        <v>184280</v>
      </c>
      <c r="C43" s="2">
        <v>63153922.936300635</v>
      </c>
      <c r="D43" s="3">
        <v>342.70633240883785</v>
      </c>
      <c r="E43" s="1">
        <v>110568</v>
      </c>
      <c r="F43" s="4">
        <v>0.87027327726875159</v>
      </c>
      <c r="G43" s="4">
        <v>0.67325704499235806</v>
      </c>
      <c r="H43" s="4">
        <v>1</v>
      </c>
      <c r="I43" s="4">
        <v>0.83678172141131857</v>
      </c>
      <c r="J43" s="5">
        <v>10.098855674885371</v>
      </c>
      <c r="K43">
        <v>22701</v>
      </c>
      <c r="L43">
        <v>57549</v>
      </c>
      <c r="M43">
        <v>11885</v>
      </c>
      <c r="N43">
        <v>92135</v>
      </c>
      <c r="O43" s="6">
        <v>170257500</v>
      </c>
      <c r="P43" s="6">
        <v>143872500</v>
      </c>
      <c r="Q43" s="6">
        <v>14262000</v>
      </c>
      <c r="R43" s="6">
        <f t="shared" si="0"/>
        <v>328392000</v>
      </c>
      <c r="S43" s="2">
        <v>75.674999999999997</v>
      </c>
      <c r="T43" s="2">
        <v>25.578444444444443</v>
      </c>
      <c r="U43" s="2">
        <v>1.5846666666666667</v>
      </c>
      <c r="V43" s="2">
        <v>102.8381111111111</v>
      </c>
      <c r="W43">
        <v>342</v>
      </c>
      <c r="X43">
        <v>7</v>
      </c>
      <c r="Y43">
        <v>7</v>
      </c>
      <c r="Z43">
        <v>356</v>
      </c>
      <c r="AA43" s="2">
        <v>41328912.975824475</v>
      </c>
      <c r="AB43" s="6">
        <v>8379000</v>
      </c>
      <c r="AC43" s="6">
        <v>1680000</v>
      </c>
      <c r="AD43" s="6">
        <v>11400000</v>
      </c>
      <c r="AE43" s="6">
        <v>21459000</v>
      </c>
      <c r="AF43" s="3">
        <v>36.309353094556315</v>
      </c>
      <c r="AG43">
        <v>342</v>
      </c>
      <c r="AH43">
        <v>7</v>
      </c>
      <c r="AI43">
        <v>4</v>
      </c>
      <c r="AJ43">
        <v>353</v>
      </c>
      <c r="AK43" s="2">
        <v>21757542.208042331</v>
      </c>
      <c r="AL43" s="6">
        <v>2694960</v>
      </c>
      <c r="AM43" s="6">
        <v>675500</v>
      </c>
      <c r="AN43" s="6">
        <v>4608000</v>
      </c>
      <c r="AO43" s="6">
        <v>7978460</v>
      </c>
      <c r="AP43" s="3">
        <v>0.92735451424908721</v>
      </c>
      <c r="AQ43">
        <v>0</v>
      </c>
      <c r="AR43">
        <v>0</v>
      </c>
      <c r="AS43">
        <v>0</v>
      </c>
      <c r="AT43">
        <v>0</v>
      </c>
      <c r="AU43" s="2">
        <v>0</v>
      </c>
      <c r="AV43" s="6">
        <v>0</v>
      </c>
      <c r="AW43" s="6">
        <v>0</v>
      </c>
      <c r="AX43" s="6">
        <v>0</v>
      </c>
      <c r="AY43" s="6">
        <v>0</v>
      </c>
      <c r="AZ43" s="3">
        <v>0</v>
      </c>
      <c r="BA43">
        <v>4</v>
      </c>
      <c r="BB43">
        <v>0</v>
      </c>
      <c r="BC43">
        <v>0</v>
      </c>
      <c r="BD43">
        <v>4</v>
      </c>
      <c r="BE43" s="2">
        <v>67467.752433826376</v>
      </c>
      <c r="BF43" s="6">
        <v>22200</v>
      </c>
      <c r="BG43" s="6">
        <v>0</v>
      </c>
      <c r="BH43" s="6">
        <v>0</v>
      </c>
      <c r="BI43" s="6">
        <v>22200</v>
      </c>
      <c r="BJ43" s="3">
        <v>121.9248628112495</v>
      </c>
      <c r="BK43" s="6">
        <v>11096160</v>
      </c>
      <c r="BL43" s="6">
        <v>2355500</v>
      </c>
      <c r="BM43" s="6">
        <v>16008000</v>
      </c>
      <c r="BN43" s="6">
        <v>29459660</v>
      </c>
      <c r="BO43" s="3">
        <v>159.16157042005489</v>
      </c>
      <c r="BP43" s="7">
        <v>357851660</v>
      </c>
      <c r="BQ43" s="2">
        <v>78.599904459349801</v>
      </c>
      <c r="BR43" s="2">
        <v>340.59958599051583</v>
      </c>
    </row>
    <row r="44" spans="1:70">
      <c r="A44">
        <v>2017</v>
      </c>
      <c r="B44" s="1">
        <v>185109</v>
      </c>
      <c r="C44" s="2">
        <v>65999623.653386526</v>
      </c>
      <c r="D44" s="3">
        <v>356.54465019737842</v>
      </c>
      <c r="E44" s="1">
        <v>111065</v>
      </c>
      <c r="F44" s="4">
        <v>0.87535275984244576</v>
      </c>
      <c r="G44" s="4">
        <v>0.67618700014860844</v>
      </c>
      <c r="H44" s="4">
        <v>1</v>
      </c>
      <c r="I44" s="4">
        <v>0.83962102932955307</v>
      </c>
      <c r="J44" s="5">
        <v>10.142805002229126</v>
      </c>
      <c r="K44">
        <v>23155</v>
      </c>
      <c r="L44">
        <v>57853</v>
      </c>
      <c r="M44">
        <v>11542</v>
      </c>
      <c r="N44">
        <v>92550</v>
      </c>
      <c r="O44" s="6">
        <v>173662500</v>
      </c>
      <c r="P44" s="6">
        <v>144632500</v>
      </c>
      <c r="Q44" s="6">
        <v>13850400</v>
      </c>
      <c r="R44" s="6">
        <f t="shared" si="0"/>
        <v>332145400</v>
      </c>
      <c r="S44" s="2">
        <v>77.185000000000002</v>
      </c>
      <c r="T44" s="2">
        <v>25.713333333333335</v>
      </c>
      <c r="U44" s="2">
        <v>1.5390666666666666</v>
      </c>
      <c r="V44" s="2">
        <v>104.43740000000001</v>
      </c>
      <c r="W44">
        <v>360</v>
      </c>
      <c r="X44">
        <v>7</v>
      </c>
      <c r="Y44">
        <v>7</v>
      </c>
      <c r="Z44">
        <v>374</v>
      </c>
      <c r="AA44" s="2">
        <v>43490405.093945846</v>
      </c>
      <c r="AB44" s="6">
        <v>8676000</v>
      </c>
      <c r="AC44" s="6">
        <v>1729000</v>
      </c>
      <c r="AD44" s="6">
        <v>11640000</v>
      </c>
      <c r="AE44" s="6">
        <v>22045000</v>
      </c>
      <c r="AF44" s="3">
        <v>37.805414664677677</v>
      </c>
      <c r="AG44">
        <v>360</v>
      </c>
      <c r="AH44">
        <v>7</v>
      </c>
      <c r="AI44">
        <v>4</v>
      </c>
      <c r="AJ44">
        <v>371</v>
      </c>
      <c r="AK44" s="2">
        <v>22444321.307207055</v>
      </c>
      <c r="AL44" s="6">
        <v>2793600</v>
      </c>
      <c r="AM44" s="6">
        <v>686000</v>
      </c>
      <c r="AN44" s="6">
        <v>4632000</v>
      </c>
      <c r="AO44" s="6">
        <v>8111600</v>
      </c>
      <c r="AP44" s="3">
        <v>0.96758244837336915</v>
      </c>
      <c r="AQ44">
        <v>0</v>
      </c>
      <c r="AR44">
        <v>0</v>
      </c>
      <c r="AS44">
        <v>0</v>
      </c>
      <c r="AT44">
        <v>0</v>
      </c>
      <c r="AU44" s="2">
        <v>0</v>
      </c>
      <c r="AV44" s="6">
        <v>0</v>
      </c>
      <c r="AW44" s="6">
        <v>0</v>
      </c>
      <c r="AX44" s="6">
        <v>0</v>
      </c>
      <c r="AY44" s="6">
        <v>0</v>
      </c>
      <c r="AZ44" s="3">
        <v>0</v>
      </c>
      <c r="BA44">
        <v>3</v>
      </c>
      <c r="BB44">
        <v>0</v>
      </c>
      <c r="BC44">
        <v>0</v>
      </c>
      <c r="BD44">
        <v>3</v>
      </c>
      <c r="BE44" s="2">
        <v>64897.252233621766</v>
      </c>
      <c r="BF44" s="6">
        <v>17460</v>
      </c>
      <c r="BG44" s="6">
        <v>0</v>
      </c>
      <c r="BH44" s="6">
        <v>0</v>
      </c>
      <c r="BI44" s="6">
        <v>17460</v>
      </c>
      <c r="BJ44" s="3">
        <v>126.74451891806316</v>
      </c>
      <c r="BK44" s="6">
        <v>11487060</v>
      </c>
      <c r="BL44" s="6">
        <v>2415000</v>
      </c>
      <c r="BM44" s="6">
        <v>16272000</v>
      </c>
      <c r="BN44" s="6">
        <v>30174060</v>
      </c>
      <c r="BO44" s="3">
        <v>165.51751603111421</v>
      </c>
      <c r="BP44" s="7">
        <v>362319460</v>
      </c>
      <c r="BQ44" s="2">
        <v>80.986474809334268</v>
      </c>
      <c r="BR44" s="2">
        <v>350.94139084044849</v>
      </c>
    </row>
    <row r="45" spans="1:70">
      <c r="A45">
        <v>2018</v>
      </c>
      <c r="B45" s="1">
        <v>185941</v>
      </c>
      <c r="C45" s="2">
        <v>68945324.627779499</v>
      </c>
      <c r="D45" s="3">
        <v>370.79140494984699</v>
      </c>
      <c r="E45" s="1">
        <v>111564</v>
      </c>
      <c r="F45" s="4">
        <v>0.88034493919039769</v>
      </c>
      <c r="G45" s="4">
        <v>0.67897405970570146</v>
      </c>
      <c r="H45" s="4">
        <v>1</v>
      </c>
      <c r="I45" s="4">
        <v>0.84236830577376642</v>
      </c>
      <c r="J45" s="5">
        <v>10.184610895585521</v>
      </c>
      <c r="K45">
        <v>23603</v>
      </c>
      <c r="L45">
        <v>58158</v>
      </c>
      <c r="M45">
        <v>11207</v>
      </c>
      <c r="N45">
        <v>92968</v>
      </c>
      <c r="O45" s="6">
        <v>177022500</v>
      </c>
      <c r="P45" s="6">
        <v>145395000</v>
      </c>
      <c r="Q45" s="6">
        <v>13448400</v>
      </c>
      <c r="R45" s="6">
        <f t="shared" si="0"/>
        <v>335865900</v>
      </c>
      <c r="S45" s="2">
        <v>78.676666666666662</v>
      </c>
      <c r="T45" s="2">
        <v>25.848222222222223</v>
      </c>
      <c r="U45" s="2">
        <v>1.4944</v>
      </c>
      <c r="V45" s="2">
        <v>106.01928888888888</v>
      </c>
      <c r="W45">
        <v>378</v>
      </c>
      <c r="X45">
        <v>8</v>
      </c>
      <c r="Y45">
        <v>8</v>
      </c>
      <c r="Z45">
        <v>394</v>
      </c>
      <c r="AA45" s="2">
        <v>45741468.999410518</v>
      </c>
      <c r="AB45" s="6">
        <v>9185400</v>
      </c>
      <c r="AC45" s="6">
        <v>1984000</v>
      </c>
      <c r="AD45" s="6">
        <v>11400000</v>
      </c>
      <c r="AE45" s="6">
        <v>22569400</v>
      </c>
      <c r="AF45" s="3">
        <v>39.343019214080385</v>
      </c>
      <c r="AG45">
        <v>378</v>
      </c>
      <c r="AH45">
        <v>8</v>
      </c>
      <c r="AI45">
        <v>4</v>
      </c>
      <c r="AJ45">
        <v>390</v>
      </c>
      <c r="AK45" s="2">
        <v>23141674.730873104</v>
      </c>
      <c r="AL45" s="6">
        <v>2963520</v>
      </c>
      <c r="AM45" s="6">
        <v>772000</v>
      </c>
      <c r="AN45" s="6">
        <v>4704000</v>
      </c>
      <c r="AO45" s="6">
        <v>8439520</v>
      </c>
      <c r="AP45" s="3">
        <v>1.0090351495385266</v>
      </c>
      <c r="AQ45">
        <v>0</v>
      </c>
      <c r="AR45">
        <v>0</v>
      </c>
      <c r="AS45">
        <v>0</v>
      </c>
      <c r="AT45">
        <v>0</v>
      </c>
      <c r="AU45" s="2">
        <v>0</v>
      </c>
      <c r="AV45" s="6">
        <v>0</v>
      </c>
      <c r="AW45" s="6">
        <v>0</v>
      </c>
      <c r="AX45" s="6">
        <v>0</v>
      </c>
      <c r="AY45" s="6">
        <v>0</v>
      </c>
      <c r="AZ45" s="3">
        <v>0</v>
      </c>
      <c r="BA45">
        <v>3</v>
      </c>
      <c r="BB45">
        <v>0</v>
      </c>
      <c r="BC45">
        <v>0</v>
      </c>
      <c r="BD45">
        <v>3</v>
      </c>
      <c r="BE45" s="2">
        <v>62180.897495881487</v>
      </c>
      <c r="BF45" s="6">
        <v>17595</v>
      </c>
      <c r="BG45" s="6">
        <v>0</v>
      </c>
      <c r="BH45" s="6">
        <v>0</v>
      </c>
      <c r="BI45" s="6">
        <v>17595</v>
      </c>
      <c r="BJ45" s="3">
        <v>131.69011068034652</v>
      </c>
      <c r="BK45" s="6">
        <v>12166515</v>
      </c>
      <c r="BL45" s="6">
        <v>2756000</v>
      </c>
      <c r="BM45" s="6">
        <v>16104000</v>
      </c>
      <c r="BN45" s="6">
        <v>31026515</v>
      </c>
      <c r="BO45" s="3">
        <v>172.04216504396544</v>
      </c>
      <c r="BP45" s="7">
        <v>366892415</v>
      </c>
      <c r="BQ45" s="2">
        <v>83.418436179856286</v>
      </c>
      <c r="BR45" s="2">
        <v>361.47989011271056</v>
      </c>
    </row>
    <row r="46" spans="1:70">
      <c r="A46">
        <v>2019</v>
      </c>
      <c r="B46" s="1">
        <v>186777</v>
      </c>
      <c r="C46" s="2">
        <v>71994930.034987211</v>
      </c>
      <c r="D46" s="3">
        <v>385.45929121351776</v>
      </c>
      <c r="E46" s="1">
        <v>112066</v>
      </c>
      <c r="F46" s="4">
        <v>0.88525264957286953</v>
      </c>
      <c r="G46" s="4">
        <v>0.68162519276424416</v>
      </c>
      <c r="H46" s="4">
        <v>1</v>
      </c>
      <c r="I46" s="4">
        <v>0.84502772123388792</v>
      </c>
      <c r="J46" s="5">
        <v>10.224377891463662</v>
      </c>
      <c r="K46">
        <v>24045</v>
      </c>
      <c r="L46">
        <v>58462</v>
      </c>
      <c r="M46">
        <v>10879</v>
      </c>
      <c r="N46">
        <v>93386</v>
      </c>
      <c r="O46" s="6">
        <v>180337500</v>
      </c>
      <c r="P46" s="6">
        <v>146155000</v>
      </c>
      <c r="Q46" s="6">
        <v>13054800</v>
      </c>
      <c r="R46" s="6">
        <f t="shared" si="0"/>
        <v>339547300</v>
      </c>
      <c r="S46" s="2">
        <v>80.151666666666671</v>
      </c>
      <c r="T46" s="2">
        <v>25.983333333333334</v>
      </c>
      <c r="U46" s="2">
        <v>1.4506666666666668</v>
      </c>
      <c r="V46" s="2">
        <v>107.58566666666667</v>
      </c>
      <c r="W46">
        <v>397</v>
      </c>
      <c r="X46">
        <v>8</v>
      </c>
      <c r="Y46">
        <v>8</v>
      </c>
      <c r="Z46">
        <v>413</v>
      </c>
      <c r="AA46" s="2">
        <v>48085690.926187418</v>
      </c>
      <c r="AB46" s="6">
        <v>9567700</v>
      </c>
      <c r="AC46" s="6">
        <v>1960000</v>
      </c>
      <c r="AD46" s="6">
        <v>11520000</v>
      </c>
      <c r="AE46" s="6">
        <v>23047700</v>
      </c>
      <c r="AF46" s="3">
        <v>40.922956882334198</v>
      </c>
      <c r="AG46">
        <v>397</v>
      </c>
      <c r="AH46">
        <v>8</v>
      </c>
      <c r="AI46">
        <v>4</v>
      </c>
      <c r="AJ46">
        <v>409</v>
      </c>
      <c r="AK46" s="2">
        <v>23849922.85531703</v>
      </c>
      <c r="AL46" s="6">
        <v>3033080</v>
      </c>
      <c r="AM46" s="6">
        <v>760000</v>
      </c>
      <c r="AN46" s="6">
        <v>4704000</v>
      </c>
      <c r="AO46" s="6">
        <v>8497080</v>
      </c>
      <c r="AP46" s="3">
        <v>1.0517366658134566</v>
      </c>
      <c r="AQ46">
        <v>0</v>
      </c>
      <c r="AR46">
        <v>0</v>
      </c>
      <c r="AS46">
        <v>0</v>
      </c>
      <c r="AT46">
        <v>0</v>
      </c>
      <c r="AU46" s="2">
        <v>0</v>
      </c>
      <c r="AV46" s="6">
        <v>0</v>
      </c>
      <c r="AW46" s="6">
        <v>0</v>
      </c>
      <c r="AX46" s="6">
        <v>0</v>
      </c>
      <c r="AY46" s="6">
        <v>0</v>
      </c>
      <c r="AZ46" s="3">
        <v>0</v>
      </c>
      <c r="BA46">
        <v>3</v>
      </c>
      <c r="BB46">
        <v>0</v>
      </c>
      <c r="BC46">
        <v>0</v>
      </c>
      <c r="BD46">
        <v>3</v>
      </c>
      <c r="BE46" s="2">
        <v>59316.253482766013</v>
      </c>
      <c r="BF46" s="6">
        <v>16650</v>
      </c>
      <c r="BG46" s="6">
        <v>0</v>
      </c>
      <c r="BH46" s="6">
        <v>0</v>
      </c>
      <c r="BI46" s="6">
        <v>16650</v>
      </c>
      <c r="BJ46" s="3">
        <v>136.76424230258331</v>
      </c>
      <c r="BK46" s="6">
        <v>12617430</v>
      </c>
      <c r="BL46" s="6">
        <v>2720000</v>
      </c>
      <c r="BM46" s="6">
        <v>16224000</v>
      </c>
      <c r="BN46" s="6">
        <v>31561430</v>
      </c>
      <c r="BO46" s="3">
        <v>178.73893585073097</v>
      </c>
      <c r="BP46" s="7">
        <v>371108730</v>
      </c>
      <c r="BQ46" s="2">
        <v>85.897380755219288</v>
      </c>
      <c r="BR46" s="2">
        <v>372.22198327261691</v>
      </c>
    </row>
    <row r="47" spans="1:70">
      <c r="A47">
        <v>2020</v>
      </c>
      <c r="B47" s="1">
        <v>187617</v>
      </c>
      <c r="C47" s="2">
        <v>75151687.737409085</v>
      </c>
      <c r="D47" s="3">
        <v>400.55905241747331</v>
      </c>
      <c r="E47" s="1">
        <v>112570</v>
      </c>
      <c r="F47" s="4">
        <v>0.89007790116066177</v>
      </c>
      <c r="G47" s="4">
        <v>0.68414702853779663</v>
      </c>
      <c r="H47" s="4">
        <v>1</v>
      </c>
      <c r="I47" s="4">
        <v>0.84760300520370202</v>
      </c>
      <c r="J47" s="5">
        <v>10.262205428066949</v>
      </c>
      <c r="K47">
        <v>24482</v>
      </c>
      <c r="L47">
        <v>58766</v>
      </c>
      <c r="M47">
        <v>10558</v>
      </c>
      <c r="N47">
        <v>93806</v>
      </c>
      <c r="O47" s="6">
        <v>183615000</v>
      </c>
      <c r="P47" s="6">
        <v>146915000</v>
      </c>
      <c r="Q47" s="6">
        <v>12669600</v>
      </c>
      <c r="R47" s="6">
        <f t="shared" si="0"/>
        <v>343199600</v>
      </c>
      <c r="S47" s="2">
        <v>81.608333333333334</v>
      </c>
      <c r="T47" s="2">
        <v>26.118444444444446</v>
      </c>
      <c r="U47" s="2">
        <v>1.4077999999999999</v>
      </c>
      <c r="V47" s="2">
        <v>109.13457777777778</v>
      </c>
      <c r="W47">
        <v>417</v>
      </c>
      <c r="X47">
        <v>8</v>
      </c>
      <c r="Y47">
        <v>8</v>
      </c>
      <c r="Z47">
        <v>433</v>
      </c>
      <c r="AA47" s="2">
        <v>50526307.440683588</v>
      </c>
      <c r="AB47" s="6">
        <v>10049700</v>
      </c>
      <c r="AC47" s="6">
        <v>1968000</v>
      </c>
      <c r="AD47" s="6">
        <v>14850000</v>
      </c>
      <c r="AE47" s="6">
        <v>26867700</v>
      </c>
      <c r="AF47" s="3">
        <v>42.546036811053909</v>
      </c>
      <c r="AG47">
        <v>417</v>
      </c>
      <c r="AH47">
        <v>8</v>
      </c>
      <c r="AI47">
        <v>5</v>
      </c>
      <c r="AJ47">
        <v>430</v>
      </c>
      <c r="AK47" s="2">
        <v>24569080.976504706</v>
      </c>
      <c r="AL47" s="6">
        <v>3219240</v>
      </c>
      <c r="AM47" s="6">
        <v>764000</v>
      </c>
      <c r="AN47" s="6">
        <v>5700000</v>
      </c>
      <c r="AO47" s="6">
        <v>9683240</v>
      </c>
      <c r="AP47" s="3">
        <v>1.095711553647567</v>
      </c>
      <c r="AQ47">
        <v>0</v>
      </c>
      <c r="AR47">
        <v>0</v>
      </c>
      <c r="AS47">
        <v>0</v>
      </c>
      <c r="AT47">
        <v>0</v>
      </c>
      <c r="AU47" s="2">
        <v>0</v>
      </c>
      <c r="AV47" s="6">
        <v>0</v>
      </c>
      <c r="AW47" s="6">
        <v>0</v>
      </c>
      <c r="AX47" s="6">
        <v>0</v>
      </c>
      <c r="AY47" s="6">
        <v>0</v>
      </c>
      <c r="AZ47" s="3">
        <v>0</v>
      </c>
      <c r="BA47">
        <v>3</v>
      </c>
      <c r="BB47">
        <v>0</v>
      </c>
      <c r="BC47">
        <v>0</v>
      </c>
      <c r="BD47">
        <v>3</v>
      </c>
      <c r="BE47" s="2">
        <v>56299.320220803493</v>
      </c>
      <c r="BF47" s="6">
        <v>17595</v>
      </c>
      <c r="BG47" s="6">
        <v>0</v>
      </c>
      <c r="BH47" s="6">
        <v>0</v>
      </c>
      <c r="BI47" s="6">
        <v>17595</v>
      </c>
      <c r="BJ47" s="3">
        <v>141.96956502445352</v>
      </c>
      <c r="BK47" s="6">
        <v>13286535</v>
      </c>
      <c r="BL47" s="6">
        <v>2732000</v>
      </c>
      <c r="BM47" s="6">
        <v>20550000</v>
      </c>
      <c r="BN47" s="6">
        <v>36568535</v>
      </c>
      <c r="BO47" s="3">
        <v>185.61131338915499</v>
      </c>
      <c r="BP47" s="7">
        <v>379768135</v>
      </c>
      <c r="BQ47" s="2">
        <v>88.423767350079828</v>
      </c>
      <c r="BR47" s="2">
        <v>383.16965851701264</v>
      </c>
    </row>
    <row r="48" spans="1:70">
      <c r="A48">
        <v>2021</v>
      </c>
      <c r="B48" s="1">
        <v>188461</v>
      </c>
      <c r="C48" s="2">
        <v>78419286.612270758</v>
      </c>
      <c r="D48" s="3">
        <v>416.10352599355178</v>
      </c>
      <c r="E48" s="1">
        <v>113076</v>
      </c>
      <c r="F48" s="4">
        <v>0.89482353986143426</v>
      </c>
      <c r="G48" s="4">
        <v>0.6865458729293582</v>
      </c>
      <c r="H48" s="4">
        <v>1</v>
      </c>
      <c r="I48" s="4">
        <v>0.8500979856092078</v>
      </c>
      <c r="J48" s="5">
        <v>10.298188093940373</v>
      </c>
      <c r="K48">
        <v>24914</v>
      </c>
      <c r="L48">
        <v>59071</v>
      </c>
      <c r="M48">
        <v>10243</v>
      </c>
      <c r="N48">
        <v>94228</v>
      </c>
      <c r="O48" s="6">
        <v>186855000</v>
      </c>
      <c r="P48" s="6">
        <v>147677500</v>
      </c>
      <c r="Q48" s="6">
        <v>12291600</v>
      </c>
      <c r="R48" s="6">
        <f t="shared" si="0"/>
        <v>346824100</v>
      </c>
      <c r="S48" s="2">
        <v>83.048333333333332</v>
      </c>
      <c r="T48" s="2">
        <v>26.254000000000001</v>
      </c>
      <c r="U48" s="2">
        <v>1.3657999999999999</v>
      </c>
      <c r="V48" s="2">
        <v>110.66813333333333</v>
      </c>
      <c r="W48">
        <v>438</v>
      </c>
      <c r="X48">
        <v>9</v>
      </c>
      <c r="Y48">
        <v>9</v>
      </c>
      <c r="Z48">
        <v>456</v>
      </c>
      <c r="AA48" s="2">
        <v>53066868.161715597</v>
      </c>
      <c r="AB48" s="6">
        <v>10862400</v>
      </c>
      <c r="AC48" s="6">
        <v>2169000</v>
      </c>
      <c r="AD48" s="6">
        <v>14400000</v>
      </c>
      <c r="AE48" s="6">
        <v>27431400</v>
      </c>
      <c r="AF48" s="3">
        <v>44.213066931895938</v>
      </c>
      <c r="AG48">
        <v>438</v>
      </c>
      <c r="AH48">
        <v>9</v>
      </c>
      <c r="AI48">
        <v>5</v>
      </c>
      <c r="AJ48">
        <v>452</v>
      </c>
      <c r="AK48" s="2">
        <v>25299292.465690367</v>
      </c>
      <c r="AL48" s="6">
        <v>3398880</v>
      </c>
      <c r="AM48" s="6">
        <v>868500</v>
      </c>
      <c r="AN48" s="6">
        <v>5760000</v>
      </c>
      <c r="AO48" s="6">
        <v>10027380</v>
      </c>
      <c r="AP48" s="3">
        <v>1.1409845094363855</v>
      </c>
      <c r="AQ48">
        <v>0</v>
      </c>
      <c r="AR48">
        <v>0</v>
      </c>
      <c r="AS48">
        <v>0</v>
      </c>
      <c r="AT48">
        <v>0</v>
      </c>
      <c r="AU48" s="2">
        <v>0</v>
      </c>
      <c r="AV48" s="6">
        <v>0</v>
      </c>
      <c r="AW48" s="6">
        <v>0</v>
      </c>
      <c r="AX48" s="6">
        <v>0</v>
      </c>
      <c r="AY48" s="6">
        <v>0</v>
      </c>
      <c r="AZ48" s="3">
        <v>0</v>
      </c>
      <c r="BA48">
        <v>3</v>
      </c>
      <c r="BB48">
        <v>0</v>
      </c>
      <c r="BC48">
        <v>0</v>
      </c>
      <c r="BD48">
        <v>3</v>
      </c>
      <c r="BE48" s="2">
        <v>53125.984864789025</v>
      </c>
      <c r="BF48" s="6">
        <v>16785</v>
      </c>
      <c r="BG48" s="6">
        <v>0</v>
      </c>
      <c r="BH48" s="6">
        <v>0</v>
      </c>
      <c r="BI48" s="6">
        <v>16785</v>
      </c>
      <c r="BJ48" s="3">
        <v>147.3086841215696</v>
      </c>
      <c r="BK48" s="6">
        <v>14278065</v>
      </c>
      <c r="BL48" s="6">
        <v>3037500</v>
      </c>
      <c r="BM48" s="6">
        <v>20160000</v>
      </c>
      <c r="BN48" s="6">
        <v>37475565</v>
      </c>
      <c r="BO48" s="3">
        <v>192.66273556290193</v>
      </c>
      <c r="BP48" s="7">
        <v>384299665</v>
      </c>
      <c r="BQ48" s="2">
        <v>90.999260668870576</v>
      </c>
      <c r="BR48" s="2">
        <v>394.33012956510584</v>
      </c>
    </row>
    <row r="49" spans="1:70">
      <c r="A49">
        <v>2022</v>
      </c>
      <c r="B49" s="1">
        <v>189309</v>
      </c>
      <c r="C49" s="2">
        <v>81801966.640806586</v>
      </c>
      <c r="D49" s="3">
        <v>432.1081757381138</v>
      </c>
      <c r="E49" s="1">
        <v>113585</v>
      </c>
      <c r="F49" s="4">
        <v>0.89949328257662564</v>
      </c>
      <c r="G49" s="4">
        <v>0.68882772429941019</v>
      </c>
      <c r="H49" s="4">
        <v>1</v>
      </c>
      <c r="I49" s="4">
        <v>0.85251660668188112</v>
      </c>
      <c r="J49" s="5">
        <v>10.332415864491153</v>
      </c>
      <c r="K49">
        <v>25341</v>
      </c>
      <c r="L49">
        <v>59377</v>
      </c>
      <c r="M49">
        <v>9935</v>
      </c>
      <c r="N49">
        <v>94653</v>
      </c>
      <c r="O49" s="6">
        <v>190057500</v>
      </c>
      <c r="P49" s="6">
        <v>148442500</v>
      </c>
      <c r="Q49" s="6">
        <v>11922000</v>
      </c>
      <c r="R49" s="6">
        <f t="shared" si="0"/>
        <v>350422000</v>
      </c>
      <c r="S49" s="2">
        <v>84.471666666666664</v>
      </c>
      <c r="T49" s="2">
        <v>26.389777777777777</v>
      </c>
      <c r="U49" s="2">
        <v>1.3246666666666667</v>
      </c>
      <c r="V49" s="2">
        <v>112.18611111111112</v>
      </c>
      <c r="W49">
        <v>460</v>
      </c>
      <c r="X49">
        <v>9</v>
      </c>
      <c r="Y49">
        <v>9</v>
      </c>
      <c r="Z49">
        <v>478</v>
      </c>
      <c r="AA49" s="2">
        <v>55711319.110844523</v>
      </c>
      <c r="AB49" s="6">
        <v>11316000</v>
      </c>
      <c r="AC49" s="6">
        <v>2232000</v>
      </c>
      <c r="AD49" s="6">
        <v>14850000</v>
      </c>
      <c r="AE49" s="6">
        <v>28398000</v>
      </c>
      <c r="AF49" s="3">
        <v>45.924894705782769</v>
      </c>
      <c r="AG49">
        <v>460</v>
      </c>
      <c r="AH49">
        <v>9</v>
      </c>
      <c r="AI49">
        <v>5</v>
      </c>
      <c r="AJ49">
        <v>474</v>
      </c>
      <c r="AK49" s="2">
        <v>26040855.745856564</v>
      </c>
      <c r="AL49" s="6">
        <v>3606400</v>
      </c>
      <c r="AM49" s="6">
        <v>859500</v>
      </c>
      <c r="AN49" s="6">
        <v>5730000</v>
      </c>
      <c r="AO49" s="6">
        <v>10195900</v>
      </c>
      <c r="AP49" s="3">
        <v>1.1875811184088607</v>
      </c>
      <c r="AQ49">
        <v>0</v>
      </c>
      <c r="AR49">
        <v>0</v>
      </c>
      <c r="AS49">
        <v>0</v>
      </c>
      <c r="AT49">
        <v>0</v>
      </c>
      <c r="AU49" s="2">
        <v>0</v>
      </c>
      <c r="AV49" s="6">
        <v>0</v>
      </c>
      <c r="AW49" s="6">
        <v>0</v>
      </c>
      <c r="AX49" s="6">
        <v>0</v>
      </c>
      <c r="AY49" s="6">
        <v>0</v>
      </c>
      <c r="AZ49" s="3">
        <v>0</v>
      </c>
      <c r="BA49">
        <v>3</v>
      </c>
      <c r="BB49">
        <v>0</v>
      </c>
      <c r="BC49">
        <v>0</v>
      </c>
      <c r="BD49">
        <v>3</v>
      </c>
      <c r="BE49" s="2">
        <v>49791.784105501261</v>
      </c>
      <c r="BF49" s="6">
        <v>17460</v>
      </c>
      <c r="BG49" s="6">
        <v>0</v>
      </c>
      <c r="BH49" s="6">
        <v>0</v>
      </c>
      <c r="BI49" s="6">
        <v>17460</v>
      </c>
      <c r="BJ49" s="3">
        <v>152.78435177330428</v>
      </c>
      <c r="BK49" s="6">
        <v>14939860</v>
      </c>
      <c r="BL49" s="6">
        <v>3091500</v>
      </c>
      <c r="BM49" s="6">
        <v>20580000</v>
      </c>
      <c r="BN49" s="6">
        <v>38611360</v>
      </c>
      <c r="BO49" s="3">
        <v>199.8968275974959</v>
      </c>
      <c r="BP49" s="7">
        <v>389033360</v>
      </c>
      <c r="BQ49" s="2">
        <v>93.624881612582101</v>
      </c>
      <c r="BR49" s="2">
        <v>405.7078203211891</v>
      </c>
    </row>
    <row r="50" spans="1:70">
      <c r="A50">
        <v>2023</v>
      </c>
      <c r="B50" s="1">
        <v>190160</v>
      </c>
      <c r="C50" s="2">
        <v>85303254.883306384</v>
      </c>
      <c r="D50" s="3">
        <v>448.58674212929316</v>
      </c>
      <c r="E50" s="1">
        <v>114096</v>
      </c>
      <c r="F50" s="4">
        <v>0.90409018632732918</v>
      </c>
      <c r="G50" s="4">
        <v>0.69099828846494082</v>
      </c>
      <c r="H50" s="4">
        <v>1</v>
      </c>
      <c r="I50" s="4">
        <v>0.85486245242166303</v>
      </c>
      <c r="J50" s="5">
        <v>10.364974326974112</v>
      </c>
      <c r="K50">
        <v>25764</v>
      </c>
      <c r="L50">
        <v>59683</v>
      </c>
      <c r="M50">
        <v>9632</v>
      </c>
      <c r="N50">
        <v>95079</v>
      </c>
      <c r="O50" s="6">
        <v>193230000</v>
      </c>
      <c r="P50" s="6">
        <v>149207500</v>
      </c>
      <c r="Q50" s="6">
        <v>11558400</v>
      </c>
      <c r="R50" s="6">
        <f t="shared" si="0"/>
        <v>353995900</v>
      </c>
      <c r="S50" s="2">
        <v>85.88</v>
      </c>
      <c r="T50" s="2">
        <v>26.525777777777776</v>
      </c>
      <c r="U50" s="2">
        <v>1.2842666666666667</v>
      </c>
      <c r="V50" s="2">
        <v>113.69004444444444</v>
      </c>
      <c r="W50">
        <v>482</v>
      </c>
      <c r="X50">
        <v>10</v>
      </c>
      <c r="Y50">
        <v>10</v>
      </c>
      <c r="Z50">
        <v>502</v>
      </c>
      <c r="AA50" s="2">
        <v>58463214.001069129</v>
      </c>
      <c r="AB50" s="6">
        <v>11664400</v>
      </c>
      <c r="AC50" s="6">
        <v>2450000</v>
      </c>
      <c r="AD50" s="6">
        <v>14325000</v>
      </c>
      <c r="AE50" s="6">
        <v>28439400</v>
      </c>
      <c r="AF50" s="3">
        <v>47.68238737318589</v>
      </c>
      <c r="AG50">
        <v>482</v>
      </c>
      <c r="AH50">
        <v>10</v>
      </c>
      <c r="AI50">
        <v>5</v>
      </c>
      <c r="AJ50">
        <v>497</v>
      </c>
      <c r="AK50" s="2">
        <v>26793750.39218818</v>
      </c>
      <c r="AL50" s="6">
        <v>3663200</v>
      </c>
      <c r="AM50" s="6">
        <v>960000</v>
      </c>
      <c r="AN50" s="6">
        <v>5910000</v>
      </c>
      <c r="AO50" s="6">
        <v>10533200</v>
      </c>
      <c r="AP50" s="3">
        <v>1.2355275061482631</v>
      </c>
      <c r="AQ50">
        <v>0</v>
      </c>
      <c r="AR50">
        <v>0</v>
      </c>
      <c r="AS50">
        <v>0</v>
      </c>
      <c r="AT50">
        <v>0</v>
      </c>
      <c r="AU50" s="2">
        <v>0</v>
      </c>
      <c r="AV50" s="6">
        <v>0</v>
      </c>
      <c r="AW50" s="6">
        <v>0</v>
      </c>
      <c r="AX50" s="6">
        <v>0</v>
      </c>
      <c r="AY50" s="6">
        <v>0</v>
      </c>
      <c r="AZ50" s="3">
        <v>0</v>
      </c>
      <c r="BA50">
        <v>3</v>
      </c>
      <c r="BB50">
        <v>0</v>
      </c>
      <c r="BC50">
        <v>0</v>
      </c>
      <c r="BD50">
        <v>3</v>
      </c>
      <c r="BE50" s="2">
        <v>46290.490049085798</v>
      </c>
      <c r="BF50" s="6">
        <v>17190</v>
      </c>
      <c r="BG50" s="6">
        <v>0</v>
      </c>
      <c r="BH50" s="6">
        <v>0</v>
      </c>
      <c r="BI50" s="6">
        <v>17190</v>
      </c>
      <c r="BJ50" s="3">
        <v>158.39937191889095</v>
      </c>
      <c r="BK50" s="6">
        <v>15344790</v>
      </c>
      <c r="BL50" s="6">
        <v>3410000</v>
      </c>
      <c r="BM50" s="6">
        <v>20235000</v>
      </c>
      <c r="BN50" s="6">
        <v>38989790</v>
      </c>
      <c r="BO50" s="3">
        <v>207.3172867982251</v>
      </c>
      <c r="BP50" s="7">
        <v>392985690</v>
      </c>
      <c r="BQ50" s="2">
        <v>96.302199372800857</v>
      </c>
      <c r="BR50" s="2">
        <v>417.30953061547041</v>
      </c>
    </row>
    <row r="51" spans="1:70">
      <c r="A51">
        <v>2024</v>
      </c>
      <c r="B51" s="1">
        <v>191015</v>
      </c>
      <c r="C51" s="2">
        <v>88927202.931703463</v>
      </c>
      <c r="D51" s="3">
        <v>465.55088831611897</v>
      </c>
      <c r="E51" s="1">
        <v>114609</v>
      </c>
      <c r="F51" s="4">
        <v>0.90861667418596004</v>
      </c>
      <c r="G51" s="4">
        <v>0.69306299296696039</v>
      </c>
      <c r="H51" s="4">
        <v>1</v>
      </c>
      <c r="I51" s="4">
        <v>0.85713876577829551</v>
      </c>
      <c r="J51" s="5">
        <v>10.395944894504407</v>
      </c>
      <c r="K51">
        <v>26182</v>
      </c>
      <c r="L51">
        <v>59990</v>
      </c>
      <c r="M51">
        <v>9334</v>
      </c>
      <c r="N51">
        <v>95506</v>
      </c>
      <c r="O51" s="6">
        <v>196365000</v>
      </c>
      <c r="P51" s="6">
        <v>149975000</v>
      </c>
      <c r="Q51" s="6">
        <v>11200800</v>
      </c>
      <c r="R51" s="6">
        <f t="shared" si="0"/>
        <v>357540800</v>
      </c>
      <c r="S51" s="2">
        <v>87.273333333333326</v>
      </c>
      <c r="T51" s="2">
        <v>26.662222222222223</v>
      </c>
      <c r="U51" s="2">
        <v>1.2445999999999999</v>
      </c>
      <c r="V51" s="2">
        <v>115.18015555555556</v>
      </c>
      <c r="W51">
        <v>506</v>
      </c>
      <c r="X51">
        <v>10</v>
      </c>
      <c r="Y51">
        <v>10</v>
      </c>
      <c r="Z51">
        <v>526</v>
      </c>
      <c r="AA51" s="2">
        <v>61326483.0551131</v>
      </c>
      <c r="AB51" s="6">
        <v>12498200</v>
      </c>
      <c r="AC51" s="6">
        <v>2450000</v>
      </c>
      <c r="AD51" s="6">
        <v>17190000</v>
      </c>
      <c r="AE51" s="6">
        <v>32138200</v>
      </c>
      <c r="AF51" s="3">
        <v>49.486432090721443</v>
      </c>
      <c r="AG51">
        <v>506</v>
      </c>
      <c r="AH51">
        <v>10</v>
      </c>
      <c r="AI51">
        <v>6</v>
      </c>
      <c r="AJ51">
        <v>522</v>
      </c>
      <c r="AK51" s="2">
        <v>27558104.713409133</v>
      </c>
      <c r="AL51" s="6">
        <v>3946800</v>
      </c>
      <c r="AM51" s="6">
        <v>990000</v>
      </c>
      <c r="AN51" s="6">
        <v>6912000</v>
      </c>
      <c r="AO51" s="6">
        <v>11848800</v>
      </c>
      <c r="AP51" s="3">
        <v>1.2848503468883841</v>
      </c>
      <c r="AQ51">
        <v>0</v>
      </c>
      <c r="AR51">
        <v>0</v>
      </c>
      <c r="AS51">
        <v>0</v>
      </c>
      <c r="AT51">
        <v>0</v>
      </c>
      <c r="AU51" s="2">
        <v>0</v>
      </c>
      <c r="AV51" s="6">
        <v>0</v>
      </c>
      <c r="AW51" s="6">
        <v>0</v>
      </c>
      <c r="AX51" s="6">
        <v>0</v>
      </c>
      <c r="AY51" s="6">
        <v>0</v>
      </c>
      <c r="AZ51" s="3">
        <v>0</v>
      </c>
      <c r="BA51">
        <v>2</v>
      </c>
      <c r="BB51">
        <v>0</v>
      </c>
      <c r="BC51">
        <v>0</v>
      </c>
      <c r="BD51">
        <v>2</v>
      </c>
      <c r="BE51" s="2">
        <v>42615.163181226337</v>
      </c>
      <c r="BF51" s="6">
        <v>11550</v>
      </c>
      <c r="BG51" s="6">
        <v>0</v>
      </c>
      <c r="BH51" s="6">
        <v>0</v>
      </c>
      <c r="BI51" s="6">
        <v>11550</v>
      </c>
      <c r="BJ51" s="3">
        <v>164.15660120814405</v>
      </c>
      <c r="BK51" s="6">
        <v>16456550</v>
      </c>
      <c r="BL51" s="6">
        <v>3440000</v>
      </c>
      <c r="BM51" s="6">
        <v>24102000</v>
      </c>
      <c r="BN51" s="6">
        <v>43998550</v>
      </c>
      <c r="BO51" s="3">
        <v>214.92788364575387</v>
      </c>
      <c r="BP51" s="7">
        <v>401539350</v>
      </c>
      <c r="BQ51" s="2">
        <v>99.032411760392833</v>
      </c>
      <c r="BR51" s="2">
        <v>429.1404509617023</v>
      </c>
    </row>
    <row r="52" spans="1:70">
      <c r="A52">
        <v>2025</v>
      </c>
      <c r="B52" s="1">
        <v>191874</v>
      </c>
      <c r="C52" s="2">
        <v>92677977.97188966</v>
      </c>
      <c r="D52" s="3">
        <v>483.01478038655398</v>
      </c>
      <c r="E52" s="1">
        <v>115124</v>
      </c>
      <c r="F52" s="4">
        <v>0.91307604259091624</v>
      </c>
      <c r="G52" s="4">
        <v>0.69502700064218059</v>
      </c>
      <c r="H52" s="4">
        <v>1</v>
      </c>
      <c r="I52" s="4">
        <v>0.85934893180119654</v>
      </c>
      <c r="J52" s="5">
        <v>10.425405009632708</v>
      </c>
      <c r="K52">
        <v>26596</v>
      </c>
      <c r="L52">
        <v>60298</v>
      </c>
      <c r="M52">
        <v>9042</v>
      </c>
      <c r="N52">
        <v>95936</v>
      </c>
      <c r="O52" s="6">
        <v>199470000</v>
      </c>
      <c r="P52" s="6">
        <v>150745000</v>
      </c>
      <c r="Q52" s="6">
        <v>10850400</v>
      </c>
      <c r="R52" s="6">
        <f t="shared" si="0"/>
        <v>361065400</v>
      </c>
      <c r="S52" s="2">
        <v>88.653333333333336</v>
      </c>
      <c r="T52" s="2">
        <v>26.799333333333333</v>
      </c>
      <c r="U52" s="2">
        <v>1.2056</v>
      </c>
      <c r="V52" s="2">
        <v>116.65826666666668</v>
      </c>
      <c r="W52">
        <v>531</v>
      </c>
      <c r="X52">
        <v>11</v>
      </c>
      <c r="Y52">
        <v>11</v>
      </c>
      <c r="Z52">
        <v>553</v>
      </c>
      <c r="AA52" s="2">
        <v>64305179.22662241</v>
      </c>
      <c r="AB52" s="6">
        <v>13168800</v>
      </c>
      <c r="AC52" s="6">
        <v>2640000</v>
      </c>
      <c r="AD52" s="6">
        <v>17730000</v>
      </c>
      <c r="AE52" s="6">
        <v>33538800</v>
      </c>
      <c r="AF52" s="3">
        <v>51.337912780259231</v>
      </c>
      <c r="AG52">
        <v>531</v>
      </c>
      <c r="AH52">
        <v>11</v>
      </c>
      <c r="AI52">
        <v>6</v>
      </c>
      <c r="AJ52">
        <v>548</v>
      </c>
      <c r="AK52" s="2">
        <v>28334041.410817221</v>
      </c>
      <c r="AL52" s="6">
        <v>4120560</v>
      </c>
      <c r="AM52" s="6">
        <v>1089000</v>
      </c>
      <c r="AN52" s="6">
        <v>6912000</v>
      </c>
      <c r="AO52" s="6">
        <v>12121560</v>
      </c>
      <c r="AP52" s="3">
        <v>1.3355764404628634</v>
      </c>
      <c r="AQ52">
        <v>0</v>
      </c>
      <c r="AR52">
        <v>0</v>
      </c>
      <c r="AS52">
        <v>0</v>
      </c>
      <c r="AT52">
        <v>0</v>
      </c>
      <c r="AU52" s="2">
        <v>0</v>
      </c>
      <c r="AV52" s="6">
        <v>0</v>
      </c>
      <c r="AW52" s="6">
        <v>0</v>
      </c>
      <c r="AX52" s="6">
        <v>0</v>
      </c>
      <c r="AY52" s="6">
        <v>0</v>
      </c>
      <c r="AZ52" s="3">
        <v>0</v>
      </c>
      <c r="BA52">
        <v>2</v>
      </c>
      <c r="BB52">
        <v>0</v>
      </c>
      <c r="BC52">
        <v>0</v>
      </c>
      <c r="BD52">
        <v>2</v>
      </c>
      <c r="BE52" s="2">
        <v>38757.334450027462</v>
      </c>
      <c r="BF52" s="6">
        <v>11730</v>
      </c>
      <c r="BG52" s="6">
        <v>0</v>
      </c>
      <c r="BH52" s="6">
        <v>0</v>
      </c>
      <c r="BI52" s="6">
        <v>11730</v>
      </c>
      <c r="BJ52" s="3">
        <v>170.05884208261241</v>
      </c>
      <c r="BK52" s="6">
        <v>17301090</v>
      </c>
      <c r="BL52" s="6">
        <v>3729000</v>
      </c>
      <c r="BM52" s="6">
        <v>24642000</v>
      </c>
      <c r="BN52" s="6">
        <v>45672090</v>
      </c>
      <c r="BO52" s="3">
        <v>222.73233130333452</v>
      </c>
      <c r="BP52" s="7">
        <v>406737490</v>
      </c>
      <c r="BQ52" s="2">
        <v>101.81717939100035</v>
      </c>
      <c r="BR52" s="2">
        <v>441.20777736100155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D7E67-A550-4589-8242-933113026B3A}">
  <dimension ref="A1:BR52"/>
  <sheetViews>
    <sheetView workbookViewId="0">
      <selection activeCell="R2" sqref="R2"/>
    </sheetView>
  </sheetViews>
  <sheetFormatPr defaultRowHeight="14.45"/>
  <cols>
    <col min="1" max="1" width="5" bestFit="1" customWidth="1"/>
    <col min="2" max="2" width="11.42578125" bestFit="1" customWidth="1"/>
    <col min="3" max="3" width="12.7109375" bestFit="1" customWidth="1"/>
    <col min="4" max="4" width="6.28515625" bestFit="1" customWidth="1"/>
    <col min="5" max="5" width="7.5703125" bestFit="1" customWidth="1"/>
    <col min="6" max="9" width="6.5703125" bestFit="1" customWidth="1"/>
    <col min="10" max="10" width="12.7109375" bestFit="1" customWidth="1"/>
    <col min="11" max="11" width="10.28515625" bestFit="1" customWidth="1"/>
    <col min="12" max="12" width="12" bestFit="1" customWidth="1"/>
    <col min="13" max="13" width="11.42578125" bestFit="1" customWidth="1"/>
    <col min="14" max="14" width="6.7109375" bestFit="1" customWidth="1"/>
    <col min="15" max="15" width="13.7109375" bestFit="1" customWidth="1"/>
    <col min="16" max="17" width="14.85546875" bestFit="1" customWidth="1"/>
    <col min="18" max="18" width="16" bestFit="1" customWidth="1"/>
    <col min="19" max="19" width="8.140625" bestFit="1" customWidth="1"/>
    <col min="20" max="20" width="8.42578125" bestFit="1" customWidth="1"/>
    <col min="21" max="21" width="8.140625" bestFit="1" customWidth="1"/>
    <col min="22" max="22" width="6.7109375" bestFit="1" customWidth="1"/>
    <col min="23" max="23" width="8.140625" bestFit="1" customWidth="1"/>
    <col min="24" max="24" width="8.42578125" bestFit="1" customWidth="1"/>
    <col min="25" max="25" width="8.28515625" bestFit="1" customWidth="1"/>
    <col min="26" max="26" width="6.7109375" bestFit="1" customWidth="1"/>
    <col min="27" max="27" width="11.7109375" bestFit="1" customWidth="1"/>
    <col min="28" max="28" width="12.7109375" bestFit="1" customWidth="1"/>
    <col min="29" max="29" width="8.140625" bestFit="1" customWidth="1"/>
    <col min="30" max="30" width="8" bestFit="1" customWidth="1"/>
    <col min="31" max="31" width="12.7109375" bestFit="1" customWidth="1"/>
    <col min="32" max="32" width="6.5703125" bestFit="1" customWidth="1"/>
    <col min="33" max="33" width="8.28515625" bestFit="1" customWidth="1"/>
    <col min="34" max="34" width="8.5703125" bestFit="1" customWidth="1"/>
    <col min="35" max="35" width="8.42578125" bestFit="1" customWidth="1"/>
    <col min="36" max="36" width="6.7109375" bestFit="1" customWidth="1"/>
    <col min="37" max="38" width="12.7109375" bestFit="1" customWidth="1"/>
    <col min="39" max="39" width="8.28515625" bestFit="1" customWidth="1"/>
    <col min="40" max="40" width="8.140625" bestFit="1" customWidth="1"/>
    <col min="41" max="41" width="12.7109375" bestFit="1" customWidth="1"/>
    <col min="42" max="42" width="6.7109375" bestFit="1" customWidth="1"/>
    <col min="43" max="43" width="8.28515625" bestFit="1" customWidth="1"/>
    <col min="44" max="44" width="8.7109375" bestFit="1" customWidth="1"/>
    <col min="45" max="45" width="8.5703125" bestFit="1" customWidth="1"/>
    <col min="46" max="46" width="6.85546875" bestFit="1" customWidth="1"/>
    <col min="47" max="47" width="7.28515625" bestFit="1" customWidth="1"/>
    <col min="48" max="48" width="8" bestFit="1" customWidth="1"/>
    <col min="49" max="50" width="8.28515625" bestFit="1" customWidth="1"/>
    <col min="51" max="51" width="6.5703125" bestFit="1" customWidth="1"/>
    <col min="52" max="52" width="6.7109375" bestFit="1" customWidth="1"/>
    <col min="53" max="53" width="8.7109375" bestFit="1" customWidth="1"/>
    <col min="54" max="54" width="9" bestFit="1" customWidth="1"/>
    <col min="56" max="56" width="7.28515625" bestFit="1" customWidth="1"/>
    <col min="57" max="57" width="11.7109375" bestFit="1" customWidth="1"/>
    <col min="58" max="58" width="12.7109375" bestFit="1" customWidth="1"/>
    <col min="59" max="59" width="11.140625" bestFit="1" customWidth="1"/>
    <col min="60" max="61" width="12.7109375" bestFit="1" customWidth="1"/>
    <col min="62" max="62" width="7.140625" bestFit="1" customWidth="1"/>
    <col min="63" max="63" width="12.7109375" bestFit="1" customWidth="1"/>
    <col min="64" max="64" width="11.140625" bestFit="1" customWidth="1"/>
    <col min="65" max="66" width="12.7109375" bestFit="1" customWidth="1"/>
    <col min="67" max="67" width="7" bestFit="1" customWidth="1"/>
    <col min="68" max="68" width="13.7109375" bestFit="1" customWidth="1"/>
    <col min="69" max="69" width="7" bestFit="1" customWidth="1"/>
    <col min="70" max="70" width="8.7109375" bestFit="1" customWidth="1"/>
  </cols>
  <sheetData>
    <row r="1" spans="1:7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2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</row>
    <row r="2" spans="1:70">
      <c r="A2">
        <v>1975</v>
      </c>
      <c r="B2" s="1">
        <v>80000</v>
      </c>
      <c r="C2" s="2">
        <v>705694.34812590992</v>
      </c>
      <c r="D2" s="3">
        <v>8.8211793515738748</v>
      </c>
      <c r="E2" s="1">
        <v>48000</v>
      </c>
      <c r="F2" s="4">
        <v>0.32887182762006173</v>
      </c>
      <c r="G2" s="4">
        <v>0.13333333333333333</v>
      </c>
      <c r="H2" s="4">
        <v>4.1429160332368535E-2</v>
      </c>
      <c r="I2" s="4">
        <v>0.12201798437513917</v>
      </c>
      <c r="J2" s="5">
        <v>2</v>
      </c>
      <c r="K2">
        <v>32</v>
      </c>
      <c r="L2">
        <v>5524</v>
      </c>
      <c r="M2">
        <v>12113</v>
      </c>
      <c r="N2">
        <v>17669</v>
      </c>
      <c r="O2" s="6">
        <v>240000</v>
      </c>
      <c r="P2" s="6">
        <v>13810000</v>
      </c>
      <c r="Q2" s="6">
        <v>14535600</v>
      </c>
      <c r="R2" s="6">
        <f>Q2+P2+O2</f>
        <v>28585600</v>
      </c>
      <c r="S2" s="2">
        <v>0.24333333333333335</v>
      </c>
      <c r="T2" s="2">
        <v>5.5579999999999998</v>
      </c>
      <c r="U2" s="2">
        <v>3.6561333333333335</v>
      </c>
      <c r="V2" s="2">
        <v>9.4574666666666669</v>
      </c>
      <c r="W2">
        <v>2</v>
      </c>
      <c r="X2">
        <v>0</v>
      </c>
      <c r="Y2">
        <v>0</v>
      </c>
      <c r="Z2">
        <v>2</v>
      </c>
      <c r="AA2" s="2">
        <v>74852.321593881279</v>
      </c>
      <c r="AB2" s="6">
        <v>48200</v>
      </c>
      <c r="AC2" s="6">
        <v>0</v>
      </c>
      <c r="AD2" s="6">
        <v>0</v>
      </c>
      <c r="AE2" s="6">
        <v>48200</v>
      </c>
      <c r="AF2" s="3">
        <v>4.9599999999999998E-2</v>
      </c>
      <c r="AG2">
        <v>2</v>
      </c>
      <c r="AH2">
        <v>0</v>
      </c>
      <c r="AI2">
        <v>0</v>
      </c>
      <c r="AJ2">
        <v>2</v>
      </c>
      <c r="AK2" s="2">
        <v>167867.36109239081</v>
      </c>
      <c r="AL2" s="6">
        <v>15280</v>
      </c>
      <c r="AM2" s="6">
        <v>0</v>
      </c>
      <c r="AN2" s="6">
        <v>0</v>
      </c>
      <c r="AO2" s="6">
        <v>15280</v>
      </c>
      <c r="AP2" s="3">
        <v>2.0666666666666667E-3</v>
      </c>
      <c r="AQ2">
        <v>0</v>
      </c>
      <c r="AR2">
        <v>0</v>
      </c>
      <c r="AS2">
        <v>0</v>
      </c>
      <c r="AT2">
        <v>0</v>
      </c>
      <c r="AU2" s="2">
        <v>0</v>
      </c>
      <c r="AV2" s="6">
        <v>0</v>
      </c>
      <c r="AW2" s="6">
        <v>0</v>
      </c>
      <c r="AX2" s="6">
        <v>0</v>
      </c>
      <c r="AY2" s="6">
        <v>0</v>
      </c>
      <c r="AZ2" s="3">
        <v>0</v>
      </c>
      <c r="BA2">
        <v>22</v>
      </c>
      <c r="BB2">
        <v>1</v>
      </c>
      <c r="BC2">
        <v>0</v>
      </c>
      <c r="BD2">
        <v>23</v>
      </c>
      <c r="BE2" s="2">
        <v>462974.66543963779</v>
      </c>
      <c r="BF2" s="6">
        <v>129030</v>
      </c>
      <c r="BG2" s="6">
        <v>88050</v>
      </c>
      <c r="BH2" s="6">
        <v>0</v>
      </c>
      <c r="BI2" s="6">
        <v>217080</v>
      </c>
      <c r="BJ2" s="3">
        <v>9.92</v>
      </c>
      <c r="BK2" s="6">
        <v>192510</v>
      </c>
      <c r="BL2" s="6">
        <v>88050</v>
      </c>
      <c r="BM2" s="6">
        <v>0</v>
      </c>
      <c r="BN2" s="6">
        <v>280560</v>
      </c>
      <c r="BO2" s="3">
        <v>9.9716666666666658</v>
      </c>
      <c r="BP2" s="7">
        <v>28918870</v>
      </c>
      <c r="BQ2" s="2">
        <v>5.8287399999999998</v>
      </c>
      <c r="BR2" s="2">
        <v>25.257873333333333</v>
      </c>
    </row>
    <row r="3" spans="1:70">
      <c r="A3">
        <v>1976</v>
      </c>
      <c r="B3" s="1">
        <v>81770</v>
      </c>
      <c r="C3" s="2">
        <v>937814.18494430021</v>
      </c>
      <c r="D3" s="3">
        <v>15.549829427563051</v>
      </c>
      <c r="E3" s="1">
        <v>49062</v>
      </c>
      <c r="F3" s="4">
        <v>0.41412137803730753</v>
      </c>
      <c r="G3" s="4">
        <v>0.15303631096766127</v>
      </c>
      <c r="H3" s="4">
        <v>8.8344319942997393E-2</v>
      </c>
      <c r="I3" s="4">
        <v>0.17756890786062748</v>
      </c>
      <c r="J3" s="5">
        <v>2.2955446645149191</v>
      </c>
      <c r="K3">
        <v>71</v>
      </c>
      <c r="L3">
        <v>7398</v>
      </c>
      <c r="M3">
        <v>11360</v>
      </c>
      <c r="N3">
        <v>18829</v>
      </c>
      <c r="O3" s="6">
        <v>532500</v>
      </c>
      <c r="P3" s="6">
        <v>18495000</v>
      </c>
      <c r="Q3" s="6">
        <v>13632000</v>
      </c>
      <c r="R3" s="6">
        <f t="shared" ref="R3:R52" si="0">Q3+P3+O3</f>
        <v>32659500</v>
      </c>
      <c r="S3" s="2">
        <v>0.51833333333333331</v>
      </c>
      <c r="T3" s="2">
        <v>7.1393333333333331</v>
      </c>
      <c r="U3" s="2">
        <v>3.2887333333333335</v>
      </c>
      <c r="V3" s="2">
        <v>10.946400000000001</v>
      </c>
      <c r="W3">
        <v>4</v>
      </c>
      <c r="X3">
        <v>0</v>
      </c>
      <c r="Y3">
        <v>0</v>
      </c>
      <c r="Z3">
        <v>4</v>
      </c>
      <c r="AA3" s="2">
        <v>170650.05604699496</v>
      </c>
      <c r="AB3" s="6">
        <v>98400</v>
      </c>
      <c r="AC3" s="6">
        <v>0</v>
      </c>
      <c r="AD3" s="6">
        <v>0</v>
      </c>
      <c r="AE3" s="6">
        <v>98400</v>
      </c>
      <c r="AF3" s="3">
        <v>0.27594399503437855</v>
      </c>
      <c r="AG3">
        <v>4</v>
      </c>
      <c r="AH3">
        <v>0</v>
      </c>
      <c r="AI3">
        <v>0</v>
      </c>
      <c r="AJ3">
        <v>4</v>
      </c>
      <c r="AK3" s="2">
        <v>263409.53576294612</v>
      </c>
      <c r="AL3" s="6">
        <v>31360</v>
      </c>
      <c r="AM3" s="6">
        <v>0</v>
      </c>
      <c r="AN3" s="6">
        <v>0</v>
      </c>
      <c r="AO3" s="6">
        <v>31360</v>
      </c>
      <c r="AP3" s="3">
        <v>6.7821665632162194E-3</v>
      </c>
      <c r="AQ3">
        <v>0</v>
      </c>
      <c r="AR3">
        <v>0</v>
      </c>
      <c r="AS3">
        <v>0</v>
      </c>
      <c r="AT3">
        <v>0</v>
      </c>
      <c r="AU3" s="2">
        <v>0</v>
      </c>
      <c r="AV3" s="6">
        <v>0</v>
      </c>
      <c r="AW3" s="6">
        <v>0</v>
      </c>
      <c r="AX3" s="6">
        <v>0</v>
      </c>
      <c r="AY3" s="6">
        <v>0</v>
      </c>
      <c r="AZ3" s="3">
        <v>0</v>
      </c>
      <c r="BA3">
        <v>24</v>
      </c>
      <c r="BB3">
        <v>1</v>
      </c>
      <c r="BC3">
        <v>0</v>
      </c>
      <c r="BD3">
        <v>25</v>
      </c>
      <c r="BE3" s="2">
        <v>503754.59313435905</v>
      </c>
      <c r="BF3" s="6">
        <v>139680</v>
      </c>
      <c r="BG3" s="6">
        <v>86100</v>
      </c>
      <c r="BH3" s="6">
        <v>0</v>
      </c>
      <c r="BI3" s="6">
        <v>225780</v>
      </c>
      <c r="BJ3" s="3">
        <v>16.571999834479286</v>
      </c>
      <c r="BK3" s="6">
        <v>269440</v>
      </c>
      <c r="BL3" s="6">
        <v>86100</v>
      </c>
      <c r="BM3" s="6">
        <v>0</v>
      </c>
      <c r="BN3" s="6">
        <v>355540</v>
      </c>
      <c r="BO3" s="3">
        <v>16.85472599607688</v>
      </c>
      <c r="BP3" s="7">
        <v>33015040</v>
      </c>
      <c r="BQ3" s="2">
        <v>8.3403377988230645</v>
      </c>
      <c r="BR3" s="2">
        <v>36.141463794899948</v>
      </c>
    </row>
    <row r="4" spans="1:70">
      <c r="A4">
        <v>1977</v>
      </c>
      <c r="B4" s="1">
        <v>83604</v>
      </c>
      <c r="C4" s="2">
        <v>1120378.7802488967</v>
      </c>
      <c r="D4" s="3">
        <v>15.604624798828626</v>
      </c>
      <c r="E4" s="1">
        <v>50162</v>
      </c>
      <c r="F4" s="4">
        <v>0.41437682532738673</v>
      </c>
      <c r="G4" s="4">
        <v>0.17215697761050089</v>
      </c>
      <c r="H4" s="4">
        <v>8.8875339083577864E-2</v>
      </c>
      <c r="I4" s="4">
        <v>0.18508325116530905</v>
      </c>
      <c r="J4" s="5">
        <v>2.5823546641575135</v>
      </c>
      <c r="K4">
        <v>92</v>
      </c>
      <c r="L4">
        <v>7564</v>
      </c>
      <c r="M4">
        <v>11602</v>
      </c>
      <c r="N4">
        <v>19258</v>
      </c>
      <c r="O4" s="6">
        <v>690000</v>
      </c>
      <c r="P4" s="6">
        <v>18910000</v>
      </c>
      <c r="Q4" s="6">
        <v>13922400</v>
      </c>
      <c r="R4" s="6">
        <f t="shared" si="0"/>
        <v>33522400</v>
      </c>
      <c r="S4" s="2">
        <v>0.67166666666666663</v>
      </c>
      <c r="T4" s="2">
        <v>7.2964444444444441</v>
      </c>
      <c r="U4" s="2">
        <v>3.3577333333333335</v>
      </c>
      <c r="V4" s="2">
        <v>11.325844444444444</v>
      </c>
      <c r="W4">
        <v>5</v>
      </c>
      <c r="X4">
        <v>0</v>
      </c>
      <c r="Y4">
        <v>0</v>
      </c>
      <c r="Z4">
        <v>5</v>
      </c>
      <c r="AA4" s="2">
        <v>238694.39035762893</v>
      </c>
      <c r="AB4" s="6">
        <v>122000</v>
      </c>
      <c r="AC4" s="6">
        <v>0</v>
      </c>
      <c r="AD4" s="6">
        <v>0</v>
      </c>
      <c r="AE4" s="6">
        <v>122000</v>
      </c>
      <c r="AF4" s="3">
        <v>0.51943177229835191</v>
      </c>
      <c r="AG4">
        <v>5</v>
      </c>
      <c r="AH4">
        <v>0</v>
      </c>
      <c r="AI4">
        <v>0</v>
      </c>
      <c r="AJ4">
        <v>5</v>
      </c>
      <c r="AK4" s="2">
        <v>342310.10096622293</v>
      </c>
      <c r="AL4" s="6">
        <v>38400</v>
      </c>
      <c r="AM4" s="6">
        <v>0</v>
      </c>
      <c r="AN4" s="6">
        <v>0</v>
      </c>
      <c r="AO4" s="6">
        <v>38400</v>
      </c>
      <c r="AP4" s="3">
        <v>1.1996293586445486E-2</v>
      </c>
      <c r="AQ4">
        <v>0</v>
      </c>
      <c r="AR4">
        <v>0</v>
      </c>
      <c r="AS4">
        <v>0</v>
      </c>
      <c r="AT4">
        <v>0</v>
      </c>
      <c r="AU4" s="2">
        <v>0</v>
      </c>
      <c r="AV4" s="6">
        <v>0</v>
      </c>
      <c r="AW4" s="6">
        <v>0</v>
      </c>
      <c r="AX4" s="6">
        <v>0</v>
      </c>
      <c r="AY4" s="6">
        <v>0</v>
      </c>
      <c r="AZ4" s="3">
        <v>0</v>
      </c>
      <c r="BA4">
        <v>26</v>
      </c>
      <c r="BB4">
        <v>1</v>
      </c>
      <c r="BC4">
        <v>0</v>
      </c>
      <c r="BD4">
        <v>27</v>
      </c>
      <c r="BE4" s="2">
        <v>539374.28892504494</v>
      </c>
      <c r="BF4" s="6">
        <v>147810</v>
      </c>
      <c r="BG4" s="6">
        <v>86750</v>
      </c>
      <c r="BH4" s="6">
        <v>0</v>
      </c>
      <c r="BI4" s="6">
        <v>234560</v>
      </c>
      <c r="BJ4" s="3">
        <v>23.582947083232565</v>
      </c>
      <c r="BK4" s="6">
        <v>308210</v>
      </c>
      <c r="BL4" s="6">
        <v>86750</v>
      </c>
      <c r="BM4" s="6">
        <v>0</v>
      </c>
      <c r="BN4" s="6">
        <v>394960</v>
      </c>
      <c r="BO4" s="3">
        <v>24.114375149117361</v>
      </c>
      <c r="BP4" s="7">
        <v>33917360</v>
      </c>
      <c r="BQ4" s="2">
        <v>10.632065878068541</v>
      </c>
      <c r="BR4" s="2">
        <v>46.072285471630352</v>
      </c>
    </row>
    <row r="5" spans="1:70">
      <c r="A5">
        <v>1978</v>
      </c>
      <c r="B5" s="1">
        <v>85479</v>
      </c>
      <c r="C5" s="2">
        <v>1292741.4752387325</v>
      </c>
      <c r="D5" s="3">
        <v>15.664881014060736</v>
      </c>
      <c r="E5" s="1">
        <v>51287</v>
      </c>
      <c r="F5" s="4">
        <v>0.41474653664931438</v>
      </c>
      <c r="G5" s="4">
        <v>0.19071254315251451</v>
      </c>
      <c r="H5" s="4">
        <v>8.9462602891156942E-2</v>
      </c>
      <c r="I5" s="4">
        <v>0.19198524475104606</v>
      </c>
      <c r="J5" s="5">
        <v>2.8606881472877177</v>
      </c>
      <c r="K5">
        <v>116</v>
      </c>
      <c r="L5">
        <v>7734</v>
      </c>
      <c r="M5">
        <v>11847</v>
      </c>
      <c r="N5">
        <v>19697</v>
      </c>
      <c r="O5" s="6">
        <v>870000</v>
      </c>
      <c r="P5" s="6">
        <v>19335000</v>
      </c>
      <c r="Q5" s="6">
        <v>14216400</v>
      </c>
      <c r="R5" s="6">
        <f t="shared" si="0"/>
        <v>34421400</v>
      </c>
      <c r="S5" s="2">
        <v>0.84333333333333338</v>
      </c>
      <c r="T5" s="2">
        <v>7.4584444444444449</v>
      </c>
      <c r="U5" s="2">
        <v>3.4272</v>
      </c>
      <c r="V5" s="2">
        <v>11.728977777777779</v>
      </c>
      <c r="W5">
        <v>6</v>
      </c>
      <c r="X5">
        <v>0</v>
      </c>
      <c r="Y5">
        <v>0</v>
      </c>
      <c r="Z5">
        <v>6</v>
      </c>
      <c r="AA5" s="2">
        <v>300668.06003831816</v>
      </c>
      <c r="AB5" s="6">
        <v>148200</v>
      </c>
      <c r="AC5" s="6">
        <v>0</v>
      </c>
      <c r="AD5" s="6">
        <v>0</v>
      </c>
      <c r="AE5" s="6">
        <v>148200</v>
      </c>
      <c r="AF5" s="3">
        <v>0.77638362522545612</v>
      </c>
      <c r="AG5">
        <v>6</v>
      </c>
      <c r="AH5">
        <v>0</v>
      </c>
      <c r="AI5">
        <v>0</v>
      </c>
      <c r="AJ5">
        <v>6</v>
      </c>
      <c r="AK5" s="2">
        <v>419619.29488573672</v>
      </c>
      <c r="AL5" s="6">
        <v>46560</v>
      </c>
      <c r="AM5" s="6">
        <v>0</v>
      </c>
      <c r="AN5" s="6">
        <v>0</v>
      </c>
      <c r="AO5" s="6">
        <v>46560</v>
      </c>
      <c r="AP5" s="3">
        <v>1.7638858096873062E-2</v>
      </c>
      <c r="AQ5">
        <v>0</v>
      </c>
      <c r="AR5">
        <v>0</v>
      </c>
      <c r="AS5">
        <v>0</v>
      </c>
      <c r="AT5">
        <v>0</v>
      </c>
      <c r="AU5" s="2">
        <v>0</v>
      </c>
      <c r="AV5" s="6">
        <v>0</v>
      </c>
      <c r="AW5" s="6">
        <v>0</v>
      </c>
      <c r="AX5" s="6">
        <v>0</v>
      </c>
      <c r="AY5" s="6">
        <v>0</v>
      </c>
      <c r="AZ5" s="3">
        <v>0</v>
      </c>
      <c r="BA5">
        <v>28</v>
      </c>
      <c r="BB5">
        <v>1</v>
      </c>
      <c r="BC5">
        <v>0</v>
      </c>
      <c r="BD5">
        <v>29</v>
      </c>
      <c r="BE5" s="2">
        <v>572454.12031467783</v>
      </c>
      <c r="BF5" s="6">
        <v>165480</v>
      </c>
      <c r="BG5" s="6">
        <v>86100</v>
      </c>
      <c r="BH5" s="6">
        <v>0</v>
      </c>
      <c r="BI5" s="6">
        <v>251580</v>
      </c>
      <c r="BJ5" s="3">
        <v>30.828577683742814</v>
      </c>
      <c r="BK5" s="6">
        <v>360240</v>
      </c>
      <c r="BL5" s="6">
        <v>86100</v>
      </c>
      <c r="BM5" s="6">
        <v>0</v>
      </c>
      <c r="BN5" s="6">
        <v>446340</v>
      </c>
      <c r="BO5" s="3">
        <v>31.622600167065144</v>
      </c>
      <c r="BP5" s="7">
        <v>34867740</v>
      </c>
      <c r="BQ5" s="2">
        <v>13.005473383452877</v>
      </c>
      <c r="BR5" s="2">
        <v>56.357051328295796</v>
      </c>
    </row>
    <row r="6" spans="1:70">
      <c r="A6">
        <v>1979</v>
      </c>
      <c r="B6" s="1">
        <v>87397</v>
      </c>
      <c r="C6" s="2">
        <v>1464554.1494572912</v>
      </c>
      <c r="D6" s="3">
        <v>15.731142294717113</v>
      </c>
      <c r="E6" s="1">
        <v>52438</v>
      </c>
      <c r="F6" s="4">
        <v>0.41521789023811723</v>
      </c>
      <c r="G6" s="4">
        <v>0.20871970885522834</v>
      </c>
      <c r="H6" s="4">
        <v>9.0112430399294868E-2</v>
      </c>
      <c r="I6" s="4">
        <v>0.19839988082045648</v>
      </c>
      <c r="J6" s="5">
        <v>3.1307956328284252</v>
      </c>
      <c r="K6">
        <v>143</v>
      </c>
      <c r="L6">
        <v>7911</v>
      </c>
      <c r="M6">
        <v>12094</v>
      </c>
      <c r="N6">
        <v>20148</v>
      </c>
      <c r="O6" s="6">
        <v>1072500</v>
      </c>
      <c r="P6" s="6">
        <v>19777500</v>
      </c>
      <c r="Q6" s="6">
        <v>14512800</v>
      </c>
      <c r="R6" s="6">
        <f t="shared" si="0"/>
        <v>35362800</v>
      </c>
      <c r="S6" s="2">
        <v>1.0333333333333334</v>
      </c>
      <c r="T6" s="2">
        <v>7.6255555555555556</v>
      </c>
      <c r="U6" s="2">
        <v>3.4973333333333332</v>
      </c>
      <c r="V6" s="2">
        <v>12.156222222222222</v>
      </c>
      <c r="W6">
        <v>8</v>
      </c>
      <c r="X6">
        <v>0</v>
      </c>
      <c r="Y6">
        <v>0</v>
      </c>
      <c r="Z6">
        <v>8</v>
      </c>
      <c r="AA6" s="2">
        <v>361037.57700685598</v>
      </c>
      <c r="AB6" s="6">
        <v>195200</v>
      </c>
      <c r="AC6" s="6">
        <v>0</v>
      </c>
      <c r="AD6" s="6">
        <v>0</v>
      </c>
      <c r="AE6" s="6">
        <v>195200</v>
      </c>
      <c r="AF6" s="3">
        <v>1.0454727237970833</v>
      </c>
      <c r="AG6">
        <v>8</v>
      </c>
      <c r="AH6">
        <v>0</v>
      </c>
      <c r="AI6">
        <v>0</v>
      </c>
      <c r="AJ6">
        <v>8</v>
      </c>
      <c r="AK6" s="2">
        <v>499267.31489566038</v>
      </c>
      <c r="AL6" s="6">
        <v>63040</v>
      </c>
      <c r="AM6" s="6">
        <v>0</v>
      </c>
      <c r="AN6" s="6">
        <v>0</v>
      </c>
      <c r="AO6" s="6">
        <v>63040</v>
      </c>
      <c r="AP6" s="3">
        <v>2.3686194772407587E-2</v>
      </c>
      <c r="AQ6">
        <v>0</v>
      </c>
      <c r="AR6">
        <v>0</v>
      </c>
      <c r="AS6">
        <v>0</v>
      </c>
      <c r="AT6">
        <v>0</v>
      </c>
      <c r="AU6" s="2">
        <v>0</v>
      </c>
      <c r="AV6" s="6">
        <v>0</v>
      </c>
      <c r="AW6" s="6">
        <v>0</v>
      </c>
      <c r="AX6" s="6">
        <v>0</v>
      </c>
      <c r="AY6" s="6">
        <v>0</v>
      </c>
      <c r="AZ6" s="3">
        <v>0</v>
      </c>
      <c r="BA6">
        <v>29</v>
      </c>
      <c r="BB6">
        <v>1</v>
      </c>
      <c r="BC6">
        <v>0</v>
      </c>
      <c r="BD6">
        <v>30</v>
      </c>
      <c r="BE6" s="2">
        <v>604249.25755477499</v>
      </c>
      <c r="BF6" s="6">
        <v>171390</v>
      </c>
      <c r="BG6" s="6">
        <v>84800</v>
      </c>
      <c r="BH6" s="6">
        <v>0</v>
      </c>
      <c r="BI6" s="6">
        <v>256190</v>
      </c>
      <c r="BJ6" s="3">
        <v>38.268123784873687</v>
      </c>
      <c r="BK6" s="6">
        <v>429630</v>
      </c>
      <c r="BL6" s="6">
        <v>84800</v>
      </c>
      <c r="BM6" s="6">
        <v>0</v>
      </c>
      <c r="BN6" s="6">
        <v>514430</v>
      </c>
      <c r="BO6" s="3">
        <v>39.337282703443179</v>
      </c>
      <c r="BP6" s="7">
        <v>35877230</v>
      </c>
      <c r="BQ6" s="2">
        <v>15.448051477699622</v>
      </c>
      <c r="BR6" s="2">
        <v>66.941556403365027</v>
      </c>
    </row>
    <row r="7" spans="1:70">
      <c r="A7">
        <v>1980</v>
      </c>
      <c r="B7" s="1">
        <v>89358</v>
      </c>
      <c r="C7" s="2">
        <v>1640087.7718276111</v>
      </c>
      <c r="D7" s="3">
        <v>15.804007098742892</v>
      </c>
      <c r="E7" s="1">
        <v>53614</v>
      </c>
      <c r="F7" s="4">
        <v>0.41578505248885289</v>
      </c>
      <c r="G7" s="4">
        <v>0.22619468238329479</v>
      </c>
      <c r="H7" s="4">
        <v>9.0831925759485913E-2</v>
      </c>
      <c r="I7" s="4">
        <v>0.20442308044837024</v>
      </c>
      <c r="J7" s="5">
        <v>3.3929202357494219</v>
      </c>
      <c r="K7">
        <v>172</v>
      </c>
      <c r="L7">
        <v>8093</v>
      </c>
      <c r="M7">
        <v>12344</v>
      </c>
      <c r="N7">
        <v>20609</v>
      </c>
      <c r="O7" s="6">
        <v>1290000</v>
      </c>
      <c r="P7" s="6">
        <v>20232500</v>
      </c>
      <c r="Q7" s="6">
        <v>14812800</v>
      </c>
      <c r="R7" s="6">
        <f t="shared" si="0"/>
        <v>36335300</v>
      </c>
      <c r="S7" s="2">
        <v>1.2433333333333334</v>
      </c>
      <c r="T7" s="2">
        <v>7.7973333333333334</v>
      </c>
      <c r="U7" s="2">
        <v>3.5681333333333334</v>
      </c>
      <c r="V7" s="2">
        <v>12.6088</v>
      </c>
      <c r="W7">
        <v>9</v>
      </c>
      <c r="X7">
        <v>0</v>
      </c>
      <c r="Y7">
        <v>0</v>
      </c>
      <c r="Z7">
        <v>9</v>
      </c>
      <c r="AA7" s="2">
        <v>421637.94210963213</v>
      </c>
      <c r="AB7" s="6">
        <v>222300</v>
      </c>
      <c r="AC7" s="6">
        <v>0</v>
      </c>
      <c r="AD7" s="6">
        <v>0</v>
      </c>
      <c r="AE7" s="6">
        <v>222300</v>
      </c>
      <c r="AF7" s="3">
        <v>1.3259786196221448</v>
      </c>
      <c r="AG7">
        <v>9</v>
      </c>
      <c r="AH7">
        <v>0</v>
      </c>
      <c r="AI7">
        <v>0</v>
      </c>
      <c r="AJ7">
        <v>9</v>
      </c>
      <c r="AK7" s="2">
        <v>583049.36203549581</v>
      </c>
      <c r="AL7" s="6">
        <v>71280</v>
      </c>
      <c r="AM7" s="6">
        <v>0</v>
      </c>
      <c r="AN7" s="6">
        <v>0</v>
      </c>
      <c r="AO7" s="6">
        <v>71280</v>
      </c>
      <c r="AP7" s="3">
        <v>3.0126322663670498E-2</v>
      </c>
      <c r="AQ7">
        <v>0</v>
      </c>
      <c r="AR7">
        <v>0</v>
      </c>
      <c r="AS7">
        <v>0</v>
      </c>
      <c r="AT7">
        <v>0</v>
      </c>
      <c r="AU7" s="2">
        <v>0</v>
      </c>
      <c r="AV7" s="6">
        <v>0</v>
      </c>
      <c r="AW7" s="6">
        <v>0</v>
      </c>
      <c r="AX7" s="6">
        <v>0</v>
      </c>
      <c r="AY7" s="6">
        <v>0</v>
      </c>
      <c r="AZ7" s="3">
        <v>0</v>
      </c>
      <c r="BA7">
        <v>30</v>
      </c>
      <c r="BB7">
        <v>1</v>
      </c>
      <c r="BC7">
        <v>0</v>
      </c>
      <c r="BD7">
        <v>31</v>
      </c>
      <c r="BE7" s="2">
        <v>635400.46768248302</v>
      </c>
      <c r="BF7" s="6">
        <v>169200</v>
      </c>
      <c r="BG7" s="6">
        <v>84800</v>
      </c>
      <c r="BH7" s="6">
        <v>0</v>
      </c>
      <c r="BI7" s="6">
        <v>254000</v>
      </c>
      <c r="BJ7" s="3">
        <v>45.882453381482534</v>
      </c>
      <c r="BK7" s="6">
        <v>462780</v>
      </c>
      <c r="BL7" s="6">
        <v>84800</v>
      </c>
      <c r="BM7" s="6">
        <v>0</v>
      </c>
      <c r="BN7" s="6">
        <v>547580</v>
      </c>
      <c r="BO7" s="3">
        <v>47.238558323768352</v>
      </c>
      <c r="BP7" s="7">
        <v>36882880</v>
      </c>
      <c r="BQ7" s="2">
        <v>17.954207497130504</v>
      </c>
      <c r="BR7" s="2">
        <v>77.801565820898858</v>
      </c>
    </row>
    <row r="8" spans="1:70">
      <c r="A8">
        <v>1981</v>
      </c>
      <c r="B8" s="1">
        <v>91364</v>
      </c>
      <c r="C8" s="2">
        <v>1821876.2905903365</v>
      </c>
      <c r="D8" s="3">
        <v>15.884133525716868</v>
      </c>
      <c r="E8" s="1">
        <v>54818</v>
      </c>
      <c r="F8" s="4">
        <v>0.41644547318337233</v>
      </c>
      <c r="G8" s="4">
        <v>0.24315319239248534</v>
      </c>
      <c r="H8" s="4">
        <v>9.1629090980849287E-2</v>
      </c>
      <c r="I8" s="4">
        <v>0.21013118025849306</v>
      </c>
      <c r="J8" s="5">
        <v>3.64729788588728</v>
      </c>
      <c r="K8">
        <v>203</v>
      </c>
      <c r="L8">
        <v>8280</v>
      </c>
      <c r="M8">
        <v>12598</v>
      </c>
      <c r="N8">
        <v>21081</v>
      </c>
      <c r="O8" s="6">
        <v>1522500</v>
      </c>
      <c r="P8" s="6">
        <v>20700000</v>
      </c>
      <c r="Q8" s="6">
        <v>15117600</v>
      </c>
      <c r="R8" s="6">
        <f t="shared" si="0"/>
        <v>37340100</v>
      </c>
      <c r="S8" s="2">
        <v>1.4716666666666667</v>
      </c>
      <c r="T8" s="2">
        <v>7.974444444444444</v>
      </c>
      <c r="U8" s="2">
        <v>3.6396000000000002</v>
      </c>
      <c r="V8" s="2">
        <v>13.085711111111111</v>
      </c>
      <c r="W8">
        <v>10</v>
      </c>
      <c r="X8">
        <v>0</v>
      </c>
      <c r="Y8">
        <v>0</v>
      </c>
      <c r="Z8">
        <v>10</v>
      </c>
      <c r="AA8" s="2">
        <v>483466.43007727596</v>
      </c>
      <c r="AB8" s="6">
        <v>246000</v>
      </c>
      <c r="AC8" s="6">
        <v>0</v>
      </c>
      <c r="AD8" s="6">
        <v>0</v>
      </c>
      <c r="AE8" s="6">
        <v>246000</v>
      </c>
      <c r="AF8" s="3">
        <v>1.6174185795470684</v>
      </c>
      <c r="AG8">
        <v>10</v>
      </c>
      <c r="AH8">
        <v>0</v>
      </c>
      <c r="AI8">
        <v>0</v>
      </c>
      <c r="AJ8">
        <v>10</v>
      </c>
      <c r="AK8" s="2">
        <v>672089.4136788348</v>
      </c>
      <c r="AL8" s="6">
        <v>76000</v>
      </c>
      <c r="AM8" s="6">
        <v>0</v>
      </c>
      <c r="AN8" s="6">
        <v>0</v>
      </c>
      <c r="AO8" s="6">
        <v>76000</v>
      </c>
      <c r="AP8" s="3">
        <v>3.6951672090057307E-2</v>
      </c>
      <c r="AQ8">
        <v>0</v>
      </c>
      <c r="AR8">
        <v>0</v>
      </c>
      <c r="AS8">
        <v>0</v>
      </c>
      <c r="AT8">
        <v>0</v>
      </c>
      <c r="AU8" s="2">
        <v>0</v>
      </c>
      <c r="AV8" s="6">
        <v>0</v>
      </c>
      <c r="AW8" s="6">
        <v>0</v>
      </c>
      <c r="AX8" s="6">
        <v>0</v>
      </c>
      <c r="AY8" s="6">
        <v>0</v>
      </c>
      <c r="AZ8" s="3">
        <v>0</v>
      </c>
      <c r="BA8">
        <v>32</v>
      </c>
      <c r="BB8">
        <v>2</v>
      </c>
      <c r="BC8">
        <v>0</v>
      </c>
      <c r="BD8">
        <v>34</v>
      </c>
      <c r="BE8" s="2">
        <v>666320.44683422567</v>
      </c>
      <c r="BF8" s="6">
        <v>181920</v>
      </c>
      <c r="BG8" s="6">
        <v>177400</v>
      </c>
      <c r="BH8" s="6">
        <v>0</v>
      </c>
      <c r="BI8" s="6">
        <v>359320</v>
      </c>
      <c r="BJ8" s="3">
        <v>53.66083061340936</v>
      </c>
      <c r="BK8" s="6">
        <v>503920</v>
      </c>
      <c r="BL8" s="6">
        <v>177400</v>
      </c>
      <c r="BM8" s="6">
        <v>0</v>
      </c>
      <c r="BN8" s="6">
        <v>681320</v>
      </c>
      <c r="BO8" s="3">
        <v>55.315200865046485</v>
      </c>
      <c r="BP8" s="7">
        <v>38021420</v>
      </c>
      <c r="BQ8" s="2">
        <v>20.520273592847278</v>
      </c>
      <c r="BR8" s="2">
        <v>88.921185569004876</v>
      </c>
    </row>
    <row r="9" spans="1:70">
      <c r="A9">
        <v>1982</v>
      </c>
      <c r="B9" s="1">
        <v>93415</v>
      </c>
      <c r="C9" s="2">
        <v>2011578.2720236764</v>
      </c>
      <c r="D9" s="3">
        <v>15.972245260668416</v>
      </c>
      <c r="E9" s="1">
        <v>56049</v>
      </c>
      <c r="F9" s="4">
        <v>0.41719872471212061</v>
      </c>
      <c r="G9" s="4">
        <v>0.25961050268654196</v>
      </c>
      <c r="H9" s="4">
        <v>9.2512957776322458E-2</v>
      </c>
      <c r="I9" s="4">
        <v>0.21558701474676278</v>
      </c>
      <c r="J9" s="5">
        <v>3.8941575402981297</v>
      </c>
      <c r="K9">
        <v>238</v>
      </c>
      <c r="L9">
        <v>8474</v>
      </c>
      <c r="M9">
        <v>12854</v>
      </c>
      <c r="N9">
        <v>21566</v>
      </c>
      <c r="O9" s="6">
        <v>1785000</v>
      </c>
      <c r="P9" s="6">
        <v>21185000</v>
      </c>
      <c r="Q9" s="6">
        <v>15424800</v>
      </c>
      <c r="R9" s="6">
        <f t="shared" si="0"/>
        <v>38394800</v>
      </c>
      <c r="S9" s="2">
        <v>1.72</v>
      </c>
      <c r="T9" s="2">
        <v>8.1568888888888882</v>
      </c>
      <c r="U9" s="2">
        <v>3.7117333333333336</v>
      </c>
      <c r="V9" s="2">
        <v>13.588622222222222</v>
      </c>
      <c r="W9">
        <v>11</v>
      </c>
      <c r="X9">
        <v>0</v>
      </c>
      <c r="Y9">
        <v>0</v>
      </c>
      <c r="Z9">
        <v>11</v>
      </c>
      <c r="AA9" s="2">
        <v>547140.41961996665</v>
      </c>
      <c r="AB9" s="6">
        <v>268400</v>
      </c>
      <c r="AC9" s="6">
        <v>0</v>
      </c>
      <c r="AD9" s="6">
        <v>0</v>
      </c>
      <c r="AE9" s="6">
        <v>268400</v>
      </c>
      <c r="AF9" s="3">
        <v>1.9194473727316685</v>
      </c>
      <c r="AG9">
        <v>11</v>
      </c>
      <c r="AH9">
        <v>0</v>
      </c>
      <c r="AI9">
        <v>0</v>
      </c>
      <c r="AJ9">
        <v>11</v>
      </c>
      <c r="AK9" s="2">
        <v>767196.19944226462</v>
      </c>
      <c r="AL9" s="6">
        <v>86240</v>
      </c>
      <c r="AM9" s="6">
        <v>0</v>
      </c>
      <c r="AN9" s="6">
        <v>0</v>
      </c>
      <c r="AO9" s="6">
        <v>86240</v>
      </c>
      <c r="AP9" s="3">
        <v>4.415716167646859E-2</v>
      </c>
      <c r="AQ9">
        <v>0</v>
      </c>
      <c r="AR9">
        <v>0</v>
      </c>
      <c r="AS9">
        <v>0</v>
      </c>
      <c r="AT9">
        <v>0</v>
      </c>
      <c r="AU9" s="2">
        <v>0</v>
      </c>
      <c r="AV9" s="6">
        <v>0</v>
      </c>
      <c r="AW9" s="6">
        <v>0</v>
      </c>
      <c r="AX9" s="6">
        <v>0</v>
      </c>
      <c r="AY9" s="6">
        <v>0</v>
      </c>
      <c r="AZ9" s="3">
        <v>0</v>
      </c>
      <c r="BA9">
        <v>33</v>
      </c>
      <c r="BB9">
        <v>2</v>
      </c>
      <c r="BC9">
        <v>0</v>
      </c>
      <c r="BD9">
        <v>35</v>
      </c>
      <c r="BE9" s="2">
        <v>697241.65296144516</v>
      </c>
      <c r="BF9" s="6">
        <v>190575</v>
      </c>
      <c r="BG9" s="6">
        <v>173500</v>
      </c>
      <c r="BH9" s="6">
        <v>0</v>
      </c>
      <c r="BI9" s="6">
        <v>364075</v>
      </c>
      <c r="BJ9" s="3">
        <v>61.597211150649237</v>
      </c>
      <c r="BK9" s="6">
        <v>545215</v>
      </c>
      <c r="BL9" s="6">
        <v>173500</v>
      </c>
      <c r="BM9" s="6">
        <v>0</v>
      </c>
      <c r="BN9" s="6">
        <v>718715</v>
      </c>
      <c r="BO9" s="3">
        <v>63.560815685057371</v>
      </c>
      <c r="BP9" s="7">
        <v>39113515</v>
      </c>
      <c r="BQ9" s="2">
        <v>23.144831372183877</v>
      </c>
      <c r="BR9" s="2">
        <v>100.29426927946346</v>
      </c>
    </row>
    <row r="10" spans="1:70">
      <c r="A10">
        <v>1983</v>
      </c>
      <c r="B10" s="1">
        <v>95513</v>
      </c>
      <c r="C10" s="2">
        <v>2210489.0434641307</v>
      </c>
      <c r="D10" s="3">
        <v>16.06913811024841</v>
      </c>
      <c r="E10" s="1">
        <v>57307</v>
      </c>
      <c r="F10" s="4">
        <v>0.41804611578908296</v>
      </c>
      <c r="G10" s="4">
        <v>0.27558142595563101</v>
      </c>
      <c r="H10" s="4">
        <v>9.3493742279885342E-2</v>
      </c>
      <c r="I10" s="4">
        <v>0.22084397718353085</v>
      </c>
      <c r="J10" s="5">
        <v>4.1337213893344655</v>
      </c>
      <c r="K10">
        <v>275</v>
      </c>
      <c r="L10">
        <v>8675</v>
      </c>
      <c r="M10">
        <v>13114</v>
      </c>
      <c r="N10">
        <v>22064</v>
      </c>
      <c r="O10" s="6">
        <v>2062500</v>
      </c>
      <c r="P10" s="6">
        <v>21687500</v>
      </c>
      <c r="Q10" s="6">
        <v>15736800</v>
      </c>
      <c r="R10" s="6">
        <f t="shared" si="0"/>
        <v>39486800</v>
      </c>
      <c r="S10" s="2">
        <v>1.9866666666666666</v>
      </c>
      <c r="T10" s="2">
        <v>8.3448888888888888</v>
      </c>
      <c r="U10" s="2">
        <v>3.7844666666666669</v>
      </c>
      <c r="V10" s="2">
        <v>14.116022222222222</v>
      </c>
      <c r="W10">
        <v>13</v>
      </c>
      <c r="X10">
        <v>0</v>
      </c>
      <c r="Y10">
        <v>0</v>
      </c>
      <c r="Z10">
        <v>13</v>
      </c>
      <c r="AA10" s="2">
        <v>613103.13088693249</v>
      </c>
      <c r="AB10" s="6">
        <v>317200</v>
      </c>
      <c r="AC10" s="6">
        <v>0</v>
      </c>
      <c r="AD10" s="6">
        <v>0</v>
      </c>
      <c r="AE10" s="6">
        <v>317200</v>
      </c>
      <c r="AF10" s="3">
        <v>2.2318393834557724</v>
      </c>
      <c r="AG10">
        <v>13</v>
      </c>
      <c r="AH10">
        <v>0</v>
      </c>
      <c r="AI10">
        <v>0</v>
      </c>
      <c r="AJ10">
        <v>13</v>
      </c>
      <c r="AK10" s="2">
        <v>869056.20297242561</v>
      </c>
      <c r="AL10" s="6">
        <v>99840</v>
      </c>
      <c r="AM10" s="6">
        <v>0</v>
      </c>
      <c r="AN10" s="6">
        <v>0</v>
      </c>
      <c r="AO10" s="6">
        <v>99840</v>
      </c>
      <c r="AP10" s="3">
        <v>5.1739922932174616E-2</v>
      </c>
      <c r="AQ10">
        <v>0</v>
      </c>
      <c r="AR10">
        <v>0</v>
      </c>
      <c r="AS10">
        <v>0</v>
      </c>
      <c r="AT10">
        <v>0</v>
      </c>
      <c r="AU10" s="2">
        <v>0</v>
      </c>
      <c r="AV10" s="6">
        <v>0</v>
      </c>
      <c r="AW10" s="6">
        <v>0</v>
      </c>
      <c r="AX10" s="6">
        <v>0</v>
      </c>
      <c r="AY10" s="6">
        <v>0</v>
      </c>
      <c r="AZ10" s="3">
        <v>0</v>
      </c>
      <c r="BA10">
        <v>35</v>
      </c>
      <c r="BB10">
        <v>2</v>
      </c>
      <c r="BC10">
        <v>0</v>
      </c>
      <c r="BD10">
        <v>37</v>
      </c>
      <c r="BE10" s="2">
        <v>728329.70960477286</v>
      </c>
      <c r="BF10" s="6">
        <v>195825</v>
      </c>
      <c r="BG10" s="6">
        <v>172200</v>
      </c>
      <c r="BH10" s="6">
        <v>0</v>
      </c>
      <c r="BI10" s="6">
        <v>368025</v>
      </c>
      <c r="BJ10" s="3">
        <v>69.689451805184447</v>
      </c>
      <c r="BK10" s="6">
        <v>612865</v>
      </c>
      <c r="BL10" s="6">
        <v>172200</v>
      </c>
      <c r="BM10" s="6">
        <v>0</v>
      </c>
      <c r="BN10" s="6">
        <v>785065</v>
      </c>
      <c r="BO10" s="3">
        <v>71.973031111572396</v>
      </c>
      <c r="BP10" s="7">
        <v>40271865</v>
      </c>
      <c r="BQ10" s="2">
        <v>25.826716000138386</v>
      </c>
      <c r="BR10" s="2">
        <v>111.91576933393301</v>
      </c>
    </row>
    <row r="11" spans="1:70">
      <c r="A11">
        <v>1984</v>
      </c>
      <c r="B11" s="1">
        <v>97658</v>
      </c>
      <c r="C11" s="2">
        <v>2419770.2841645479</v>
      </c>
      <c r="D11" s="3">
        <v>16.175687190287452</v>
      </c>
      <c r="E11" s="1">
        <v>58594</v>
      </c>
      <c r="F11" s="4">
        <v>0.41899047502915221</v>
      </c>
      <c r="G11" s="4">
        <v>0.29108033710876458</v>
      </c>
      <c r="H11" s="4">
        <v>9.4583027232532882E-2</v>
      </c>
      <c r="I11" s="4">
        <v>0.22594881940589845</v>
      </c>
      <c r="J11" s="5">
        <v>4.3662050566314683</v>
      </c>
      <c r="K11">
        <v>315</v>
      </c>
      <c r="L11">
        <v>8882</v>
      </c>
      <c r="M11">
        <v>13377</v>
      </c>
      <c r="N11">
        <v>22574</v>
      </c>
      <c r="O11" s="6">
        <v>2362500</v>
      </c>
      <c r="P11" s="6">
        <v>22205000</v>
      </c>
      <c r="Q11" s="6">
        <v>16052400</v>
      </c>
      <c r="R11" s="6">
        <f t="shared" si="0"/>
        <v>40619900</v>
      </c>
      <c r="S11" s="2">
        <v>2.2733333333333334</v>
      </c>
      <c r="T11" s="2">
        <v>8.538666666666666</v>
      </c>
      <c r="U11" s="2">
        <v>3.8578666666666668</v>
      </c>
      <c r="V11" s="2">
        <v>14.669866666666666</v>
      </c>
      <c r="W11">
        <v>14</v>
      </c>
      <c r="X11">
        <v>0</v>
      </c>
      <c r="Y11">
        <v>0</v>
      </c>
      <c r="Z11">
        <v>14</v>
      </c>
      <c r="AA11" s="2">
        <v>681718.13609302277</v>
      </c>
      <c r="AB11" s="6">
        <v>347200</v>
      </c>
      <c r="AC11" s="6">
        <v>0</v>
      </c>
      <c r="AD11" s="6">
        <v>0</v>
      </c>
      <c r="AE11" s="6">
        <v>347200</v>
      </c>
      <c r="AF11" s="3">
        <v>2.5544951637484705</v>
      </c>
      <c r="AG11">
        <v>14</v>
      </c>
      <c r="AH11">
        <v>0</v>
      </c>
      <c r="AI11">
        <v>0</v>
      </c>
      <c r="AJ11">
        <v>14</v>
      </c>
      <c r="AK11" s="2">
        <v>978324.22083405533</v>
      </c>
      <c r="AL11" s="6">
        <v>109760</v>
      </c>
      <c r="AM11" s="6">
        <v>0</v>
      </c>
      <c r="AN11" s="6">
        <v>0</v>
      </c>
      <c r="AO11" s="6">
        <v>109760</v>
      </c>
      <c r="AP11" s="3">
        <v>5.9699519896293643E-2</v>
      </c>
      <c r="AQ11">
        <v>0</v>
      </c>
      <c r="AR11">
        <v>0</v>
      </c>
      <c r="AS11">
        <v>0</v>
      </c>
      <c r="AT11">
        <v>0</v>
      </c>
      <c r="AU11" s="2">
        <v>0</v>
      </c>
      <c r="AV11" s="6">
        <v>0</v>
      </c>
      <c r="AW11" s="6">
        <v>0</v>
      </c>
      <c r="AX11" s="6">
        <v>0</v>
      </c>
      <c r="AY11" s="6">
        <v>0</v>
      </c>
      <c r="AZ11" s="3">
        <v>0</v>
      </c>
      <c r="BA11">
        <v>36</v>
      </c>
      <c r="BB11">
        <v>2</v>
      </c>
      <c r="BC11">
        <v>0</v>
      </c>
      <c r="BD11">
        <v>38</v>
      </c>
      <c r="BE11" s="2">
        <v>759727.92723746994</v>
      </c>
      <c r="BF11" s="6">
        <v>212760</v>
      </c>
      <c r="BG11" s="6">
        <v>173500</v>
      </c>
      <c r="BH11" s="6">
        <v>0</v>
      </c>
      <c r="BI11" s="6">
        <v>386260</v>
      </c>
      <c r="BJ11" s="3">
        <v>77.939378068000835</v>
      </c>
      <c r="BK11" s="6">
        <v>669720</v>
      </c>
      <c r="BL11" s="6">
        <v>173500</v>
      </c>
      <c r="BM11" s="6">
        <v>0</v>
      </c>
      <c r="BN11" s="6">
        <v>843220</v>
      </c>
      <c r="BO11" s="3">
        <v>80.553572751645603</v>
      </c>
      <c r="BP11" s="7">
        <v>41463120</v>
      </c>
      <c r="BQ11" s="2">
        <v>28.567031825493679</v>
      </c>
      <c r="BR11" s="2">
        <v>123.79047124380594</v>
      </c>
    </row>
    <row r="12" spans="1:70">
      <c r="A12">
        <v>1985</v>
      </c>
      <c r="B12" s="1">
        <v>99852</v>
      </c>
      <c r="C12" s="2">
        <v>2640466.9077749397</v>
      </c>
      <c r="D12" s="3">
        <v>16.292854829657923</v>
      </c>
      <c r="E12" s="1">
        <v>59911</v>
      </c>
      <c r="F12" s="4">
        <v>0.42003594267494404</v>
      </c>
      <c r="G12" s="4">
        <v>0.30612118621218809</v>
      </c>
      <c r="H12" s="4">
        <v>9.5793977268296263E-2</v>
      </c>
      <c r="I12" s="4">
        <v>0.23094364487816421</v>
      </c>
      <c r="J12" s="5">
        <v>4.5918177931828215</v>
      </c>
      <c r="K12">
        <v>358</v>
      </c>
      <c r="L12">
        <v>9096</v>
      </c>
      <c r="M12">
        <v>13643</v>
      </c>
      <c r="N12">
        <v>23097</v>
      </c>
      <c r="O12" s="6">
        <v>2685000</v>
      </c>
      <c r="P12" s="6">
        <v>22740000</v>
      </c>
      <c r="Q12" s="6">
        <v>16371600</v>
      </c>
      <c r="R12" s="6">
        <f t="shared" si="0"/>
        <v>41796600</v>
      </c>
      <c r="S12" s="2">
        <v>2.5783333333333331</v>
      </c>
      <c r="T12" s="2">
        <v>8.7388888888888889</v>
      </c>
      <c r="U12" s="2">
        <v>3.9319333333333333</v>
      </c>
      <c r="V12" s="2">
        <v>15.249155555555555</v>
      </c>
      <c r="W12">
        <v>15</v>
      </c>
      <c r="X12">
        <v>0</v>
      </c>
      <c r="Y12">
        <v>0</v>
      </c>
      <c r="Z12">
        <v>15</v>
      </c>
      <c r="AA12" s="2">
        <v>753294.49758533249</v>
      </c>
      <c r="AB12" s="6">
        <v>369000</v>
      </c>
      <c r="AC12" s="6">
        <v>0</v>
      </c>
      <c r="AD12" s="6">
        <v>0</v>
      </c>
      <c r="AE12" s="6">
        <v>369000</v>
      </c>
      <c r="AF12" s="3">
        <v>2.8874225690040518</v>
      </c>
      <c r="AG12">
        <v>15</v>
      </c>
      <c r="AH12">
        <v>0</v>
      </c>
      <c r="AI12">
        <v>0</v>
      </c>
      <c r="AJ12">
        <v>15</v>
      </c>
      <c r="AK12" s="2">
        <v>1095632.0853400228</v>
      </c>
      <c r="AL12" s="6">
        <v>117600</v>
      </c>
      <c r="AM12" s="6">
        <v>0</v>
      </c>
      <c r="AN12" s="6">
        <v>0</v>
      </c>
      <c r="AO12" s="6">
        <v>117600</v>
      </c>
      <c r="AP12" s="3">
        <v>6.8037640863581703E-2</v>
      </c>
      <c r="AQ12">
        <v>0</v>
      </c>
      <c r="AR12">
        <v>0</v>
      </c>
      <c r="AS12">
        <v>0</v>
      </c>
      <c r="AT12">
        <v>0</v>
      </c>
      <c r="AU12" s="2">
        <v>0</v>
      </c>
      <c r="AV12" s="6">
        <v>0</v>
      </c>
      <c r="AW12" s="6">
        <v>0</v>
      </c>
      <c r="AX12" s="6">
        <v>0</v>
      </c>
      <c r="AY12" s="6">
        <v>0</v>
      </c>
      <c r="AZ12" s="3">
        <v>0</v>
      </c>
      <c r="BA12">
        <v>37</v>
      </c>
      <c r="BB12">
        <v>2</v>
      </c>
      <c r="BC12">
        <v>0</v>
      </c>
      <c r="BD12">
        <v>39</v>
      </c>
      <c r="BE12" s="2">
        <v>791540.32484958426</v>
      </c>
      <c r="BF12" s="6">
        <v>207015</v>
      </c>
      <c r="BG12" s="6">
        <v>169600</v>
      </c>
      <c r="BH12" s="6">
        <v>0</v>
      </c>
      <c r="BI12" s="6">
        <v>376615</v>
      </c>
      <c r="BJ12" s="3">
        <v>86.35201076388374</v>
      </c>
      <c r="BK12" s="6">
        <v>693615</v>
      </c>
      <c r="BL12" s="6">
        <v>169600</v>
      </c>
      <c r="BM12" s="6">
        <v>0</v>
      </c>
      <c r="BN12" s="6">
        <v>863215</v>
      </c>
      <c r="BO12" s="3">
        <v>89.307470973751379</v>
      </c>
      <c r="BP12" s="7">
        <v>42659815</v>
      </c>
      <c r="BQ12" s="2">
        <v>31.36698795879208</v>
      </c>
      <c r="BR12" s="2">
        <v>135.92361448809902</v>
      </c>
    </row>
    <row r="13" spans="1:70">
      <c r="A13">
        <v>1986</v>
      </c>
      <c r="B13" s="1">
        <v>102097</v>
      </c>
      <c r="C13" s="2">
        <v>2873554.5714036291</v>
      </c>
      <c r="D13" s="3">
        <v>16.421699261825886</v>
      </c>
      <c r="E13" s="1">
        <v>61258</v>
      </c>
      <c r="F13" s="4">
        <v>0.42118789734868495</v>
      </c>
      <c r="G13" s="4">
        <v>0.32071751104538254</v>
      </c>
      <c r="H13" s="4">
        <v>9.7141594216212948E-2</v>
      </c>
      <c r="I13" s="4">
        <v>0.23586740425051286</v>
      </c>
      <c r="J13" s="5">
        <v>4.8107626656807385</v>
      </c>
      <c r="K13">
        <v>403</v>
      </c>
      <c r="L13">
        <v>9318</v>
      </c>
      <c r="M13">
        <v>13912</v>
      </c>
      <c r="N13">
        <v>23633</v>
      </c>
      <c r="O13" s="6">
        <v>3022500</v>
      </c>
      <c r="P13" s="6">
        <v>23295000</v>
      </c>
      <c r="Q13" s="6">
        <v>16694400</v>
      </c>
      <c r="R13" s="6">
        <f t="shared" si="0"/>
        <v>43011900</v>
      </c>
      <c r="S13" s="2">
        <v>2.9049999999999998</v>
      </c>
      <c r="T13" s="2">
        <v>8.945333333333334</v>
      </c>
      <c r="U13" s="2">
        <v>4.0065333333333335</v>
      </c>
      <c r="V13" s="2">
        <v>15.856866666666667</v>
      </c>
      <c r="W13">
        <v>17</v>
      </c>
      <c r="X13">
        <v>0</v>
      </c>
      <c r="Y13">
        <v>0</v>
      </c>
      <c r="Z13">
        <v>17</v>
      </c>
      <c r="AA13" s="2">
        <v>828108.28300624224</v>
      </c>
      <c r="AB13" s="6">
        <v>419900</v>
      </c>
      <c r="AC13" s="6">
        <v>0</v>
      </c>
      <c r="AD13" s="6">
        <v>0</v>
      </c>
      <c r="AE13" s="6">
        <v>419900</v>
      </c>
      <c r="AF13" s="3">
        <v>3.2307344516137335</v>
      </c>
      <c r="AG13">
        <v>17</v>
      </c>
      <c r="AH13">
        <v>0</v>
      </c>
      <c r="AI13">
        <v>0</v>
      </c>
      <c r="AJ13">
        <v>17</v>
      </c>
      <c r="AK13" s="2">
        <v>1221605.7805357035</v>
      </c>
      <c r="AL13" s="6">
        <v>132600</v>
      </c>
      <c r="AM13" s="6">
        <v>0</v>
      </c>
      <c r="AN13" s="6">
        <v>0</v>
      </c>
      <c r="AO13" s="6">
        <v>132600</v>
      </c>
      <c r="AP13" s="3">
        <v>7.6758120736631019E-2</v>
      </c>
      <c r="AQ13">
        <v>0</v>
      </c>
      <c r="AR13">
        <v>0</v>
      </c>
      <c r="AS13">
        <v>0</v>
      </c>
      <c r="AT13">
        <v>0</v>
      </c>
      <c r="AU13" s="2">
        <v>0</v>
      </c>
      <c r="AV13" s="6">
        <v>0</v>
      </c>
      <c r="AW13" s="6">
        <v>0</v>
      </c>
      <c r="AX13" s="6">
        <v>0</v>
      </c>
      <c r="AY13" s="6">
        <v>0</v>
      </c>
      <c r="AZ13" s="3">
        <v>0</v>
      </c>
      <c r="BA13">
        <v>39</v>
      </c>
      <c r="BB13">
        <v>2</v>
      </c>
      <c r="BC13">
        <v>0</v>
      </c>
      <c r="BD13">
        <v>41</v>
      </c>
      <c r="BE13" s="2">
        <v>823840.50786168315</v>
      </c>
      <c r="BF13" s="6">
        <v>230490</v>
      </c>
      <c r="BG13" s="6">
        <v>176100</v>
      </c>
      <c r="BH13" s="6">
        <v>0</v>
      </c>
      <c r="BI13" s="6">
        <v>406590</v>
      </c>
      <c r="BJ13" s="3">
        <v>94.935384245826199</v>
      </c>
      <c r="BK13" s="6">
        <v>782990</v>
      </c>
      <c r="BL13" s="6">
        <v>176100</v>
      </c>
      <c r="BM13" s="6">
        <v>0</v>
      </c>
      <c r="BN13" s="6">
        <v>959090</v>
      </c>
      <c r="BO13" s="3">
        <v>98.242876818176569</v>
      </c>
      <c r="BP13" s="7">
        <v>43970990</v>
      </c>
      <c r="BQ13" s="2">
        <v>34.229923045452971</v>
      </c>
      <c r="BR13" s="2">
        <v>148.32966653029621</v>
      </c>
    </row>
    <row r="14" spans="1:70">
      <c r="A14">
        <v>1987</v>
      </c>
      <c r="B14" s="1">
        <v>104393</v>
      </c>
      <c r="C14" s="2">
        <v>3119995.010114383</v>
      </c>
      <c r="D14" s="3">
        <v>16.563384182593079</v>
      </c>
      <c r="E14" s="1">
        <v>62635</v>
      </c>
      <c r="F14" s="4">
        <v>0.42245282337575946</v>
      </c>
      <c r="G14" s="4">
        <v>0.33488244928597932</v>
      </c>
      <c r="H14" s="4">
        <v>9.8643020933462347E-2</v>
      </c>
      <c r="I14" s="4">
        <v>0.24075703680036933</v>
      </c>
      <c r="J14" s="5">
        <v>5.0232367392896897</v>
      </c>
      <c r="K14">
        <v>452</v>
      </c>
      <c r="L14">
        <v>9549</v>
      </c>
      <c r="M14">
        <v>14185</v>
      </c>
      <c r="N14">
        <v>24186</v>
      </c>
      <c r="O14" s="6">
        <v>3390000</v>
      </c>
      <c r="P14" s="6">
        <v>23872500</v>
      </c>
      <c r="Q14" s="6">
        <v>17022000</v>
      </c>
      <c r="R14" s="6">
        <f t="shared" si="0"/>
        <v>44284500</v>
      </c>
      <c r="S14" s="2">
        <v>3.2533333333333334</v>
      </c>
      <c r="T14" s="2">
        <v>9.1588888888888889</v>
      </c>
      <c r="U14" s="2">
        <v>4.0815999999999999</v>
      </c>
      <c r="V14" s="2">
        <v>16.493822222222221</v>
      </c>
      <c r="W14">
        <v>18</v>
      </c>
      <c r="X14">
        <v>0</v>
      </c>
      <c r="Y14">
        <v>0</v>
      </c>
      <c r="Z14">
        <v>18</v>
      </c>
      <c r="AA14" s="2">
        <v>906419.64871095004</v>
      </c>
      <c r="AB14" s="6">
        <v>444600</v>
      </c>
      <c r="AC14" s="6">
        <v>0</v>
      </c>
      <c r="AD14" s="6">
        <v>0</v>
      </c>
      <c r="AE14" s="6">
        <v>444600</v>
      </c>
      <c r="AF14" s="3">
        <v>3.5846209790980912</v>
      </c>
      <c r="AG14">
        <v>18</v>
      </c>
      <c r="AH14">
        <v>0</v>
      </c>
      <c r="AI14">
        <v>0</v>
      </c>
      <c r="AJ14">
        <v>18</v>
      </c>
      <c r="AK14" s="2">
        <v>1356886.8984621563</v>
      </c>
      <c r="AL14" s="6">
        <v>137520</v>
      </c>
      <c r="AM14" s="6">
        <v>0</v>
      </c>
      <c r="AN14" s="6">
        <v>0</v>
      </c>
      <c r="AO14" s="6">
        <v>137520</v>
      </c>
      <c r="AP14" s="3">
        <v>8.5866431168306723E-2</v>
      </c>
      <c r="AQ14">
        <v>0</v>
      </c>
      <c r="AR14">
        <v>0</v>
      </c>
      <c r="AS14">
        <v>0</v>
      </c>
      <c r="AT14">
        <v>0</v>
      </c>
      <c r="AU14" s="2">
        <v>0</v>
      </c>
      <c r="AV14" s="6">
        <v>0</v>
      </c>
      <c r="AW14" s="6">
        <v>0</v>
      </c>
      <c r="AX14" s="6">
        <v>0</v>
      </c>
      <c r="AY14" s="6">
        <v>0</v>
      </c>
      <c r="AZ14" s="3">
        <v>0</v>
      </c>
      <c r="BA14">
        <v>40</v>
      </c>
      <c r="BB14">
        <v>2</v>
      </c>
      <c r="BC14">
        <v>0</v>
      </c>
      <c r="BD14">
        <v>42</v>
      </c>
      <c r="BE14" s="2">
        <v>856688.46294127707</v>
      </c>
      <c r="BF14" s="6">
        <v>232800</v>
      </c>
      <c r="BG14" s="6">
        <v>177400</v>
      </c>
      <c r="BH14" s="6">
        <v>0</v>
      </c>
      <c r="BI14" s="6">
        <v>410200</v>
      </c>
      <c r="BJ14" s="3">
        <v>103.69953230728298</v>
      </c>
      <c r="BK14" s="6">
        <v>814920</v>
      </c>
      <c r="BL14" s="6">
        <v>177400</v>
      </c>
      <c r="BM14" s="6">
        <v>0</v>
      </c>
      <c r="BN14" s="6">
        <v>992320</v>
      </c>
      <c r="BO14" s="3">
        <v>107.37001971754938</v>
      </c>
      <c r="BP14" s="7">
        <v>45276820</v>
      </c>
      <c r="BQ14" s="2">
        <v>37.15915258193148</v>
      </c>
      <c r="BR14" s="2">
        <v>161.02299452170308</v>
      </c>
    </row>
    <row r="15" spans="1:70">
      <c r="A15">
        <v>1988</v>
      </c>
      <c r="B15" s="1">
        <v>106742</v>
      </c>
      <c r="C15" s="2">
        <v>3380869.1441484136</v>
      </c>
      <c r="D15" s="3">
        <v>16.719189260352561</v>
      </c>
      <c r="E15" s="1">
        <v>64045</v>
      </c>
      <c r="F15" s="4">
        <v>0.42383821227403029</v>
      </c>
      <c r="G15" s="4">
        <v>0.34862875033455687</v>
      </c>
      <c r="H15" s="4">
        <v>0.10031790417837101</v>
      </c>
      <c r="I15" s="4">
        <v>0.24564838857730156</v>
      </c>
      <c r="J15" s="5">
        <v>5.229431255018353</v>
      </c>
      <c r="K15">
        <v>504</v>
      </c>
      <c r="L15">
        <v>9788</v>
      </c>
      <c r="M15">
        <v>14461</v>
      </c>
      <c r="N15">
        <v>24753</v>
      </c>
      <c r="O15" s="6">
        <v>3780000</v>
      </c>
      <c r="P15" s="6">
        <v>24470000</v>
      </c>
      <c r="Q15" s="6">
        <v>17353200</v>
      </c>
      <c r="R15" s="6">
        <f t="shared" si="0"/>
        <v>45603200</v>
      </c>
      <c r="S15" s="2">
        <v>3.6233333333333335</v>
      </c>
      <c r="T15" s="2">
        <v>9.3797777777777771</v>
      </c>
      <c r="U15" s="2">
        <v>4.1571999999999996</v>
      </c>
      <c r="V15" s="2">
        <v>17.16031111111111</v>
      </c>
      <c r="W15">
        <v>20</v>
      </c>
      <c r="X15">
        <v>0</v>
      </c>
      <c r="Y15">
        <v>0</v>
      </c>
      <c r="Z15">
        <v>20</v>
      </c>
      <c r="AA15" s="2">
        <v>988506.30606696638</v>
      </c>
      <c r="AB15" s="6">
        <v>496000</v>
      </c>
      <c r="AC15" s="6">
        <v>0</v>
      </c>
      <c r="AD15" s="6">
        <v>0</v>
      </c>
      <c r="AE15" s="6">
        <v>496000</v>
      </c>
      <c r="AF15" s="3">
        <v>3.9493325218099899</v>
      </c>
      <c r="AG15">
        <v>20</v>
      </c>
      <c r="AH15">
        <v>0</v>
      </c>
      <c r="AI15">
        <v>0</v>
      </c>
      <c r="AJ15">
        <v>20</v>
      </c>
      <c r="AK15" s="2">
        <v>1502190.8607568878</v>
      </c>
      <c r="AL15" s="6">
        <v>158400</v>
      </c>
      <c r="AM15" s="6">
        <v>0</v>
      </c>
      <c r="AN15" s="6">
        <v>0</v>
      </c>
      <c r="AO15" s="6">
        <v>158400</v>
      </c>
      <c r="AP15" s="3">
        <v>9.5369371596961364E-2</v>
      </c>
      <c r="AQ15">
        <v>0</v>
      </c>
      <c r="AR15">
        <v>0</v>
      </c>
      <c r="AS15">
        <v>0</v>
      </c>
      <c r="AT15">
        <v>0</v>
      </c>
      <c r="AU15" s="2">
        <v>0</v>
      </c>
      <c r="AV15" s="6">
        <v>0</v>
      </c>
      <c r="AW15" s="6">
        <v>0</v>
      </c>
      <c r="AX15" s="6">
        <v>0</v>
      </c>
      <c r="AY15" s="6">
        <v>0</v>
      </c>
      <c r="AZ15" s="3">
        <v>0</v>
      </c>
      <c r="BA15">
        <v>42</v>
      </c>
      <c r="BB15">
        <v>2</v>
      </c>
      <c r="BC15">
        <v>0</v>
      </c>
      <c r="BD15">
        <v>44</v>
      </c>
      <c r="BE15" s="2">
        <v>890171.97732455947</v>
      </c>
      <c r="BF15" s="6">
        <v>233100</v>
      </c>
      <c r="BG15" s="6">
        <v>174800</v>
      </c>
      <c r="BH15" s="6">
        <v>0</v>
      </c>
      <c r="BI15" s="6">
        <v>407900</v>
      </c>
      <c r="BJ15" s="3">
        <v>112.65587245848084</v>
      </c>
      <c r="BK15" s="6">
        <v>887500</v>
      </c>
      <c r="BL15" s="6">
        <v>174800</v>
      </c>
      <c r="BM15" s="6">
        <v>0</v>
      </c>
      <c r="BN15" s="6">
        <v>1062300</v>
      </c>
      <c r="BO15" s="3">
        <v>116.70057435188779</v>
      </c>
      <c r="BP15" s="7">
        <v>46665500</v>
      </c>
      <c r="BQ15" s="2">
        <v>40.158265638899671</v>
      </c>
      <c r="BR15" s="2">
        <v>174.01915110189859</v>
      </c>
    </row>
    <row r="16" spans="1:70">
      <c r="A16">
        <v>1989</v>
      </c>
      <c r="B16" s="1">
        <v>109145</v>
      </c>
      <c r="C16" s="2">
        <v>3657146.8258660608</v>
      </c>
      <c r="D16" s="3">
        <v>16.89052169378439</v>
      </c>
      <c r="E16" s="1">
        <v>65487</v>
      </c>
      <c r="F16" s="4">
        <v>0.42535243831352959</v>
      </c>
      <c r="G16" s="4">
        <v>0.36196878678996214</v>
      </c>
      <c r="H16" s="4">
        <v>0.10218882951841408</v>
      </c>
      <c r="I16" s="4">
        <v>0.25057697257725581</v>
      </c>
      <c r="J16" s="5">
        <v>5.4295318018494321</v>
      </c>
      <c r="K16">
        <v>559</v>
      </c>
      <c r="L16">
        <v>10037</v>
      </c>
      <c r="M16">
        <v>14740</v>
      </c>
      <c r="N16">
        <v>25336</v>
      </c>
      <c r="O16" s="6">
        <v>4192500</v>
      </c>
      <c r="P16" s="6">
        <v>25092500</v>
      </c>
      <c r="Q16" s="6">
        <v>17688000</v>
      </c>
      <c r="R16" s="6">
        <f t="shared" si="0"/>
        <v>46973000</v>
      </c>
      <c r="S16" s="2">
        <v>4.0149999999999997</v>
      </c>
      <c r="T16" s="2">
        <v>9.6084444444444443</v>
      </c>
      <c r="U16" s="2">
        <v>4.233133333333333</v>
      </c>
      <c r="V16" s="2">
        <v>17.85657777777778</v>
      </c>
      <c r="W16">
        <v>22</v>
      </c>
      <c r="X16">
        <v>0</v>
      </c>
      <c r="Y16">
        <v>0</v>
      </c>
      <c r="Z16">
        <v>22</v>
      </c>
      <c r="AA16" s="2">
        <v>1074613.8801598123</v>
      </c>
      <c r="AB16" s="6">
        <v>530200</v>
      </c>
      <c r="AC16" s="6">
        <v>0</v>
      </c>
      <c r="AD16" s="6">
        <v>0</v>
      </c>
      <c r="AE16" s="6">
        <v>530200</v>
      </c>
      <c r="AF16" s="3">
        <v>4.3251661177448604</v>
      </c>
      <c r="AG16">
        <v>22</v>
      </c>
      <c r="AH16">
        <v>0</v>
      </c>
      <c r="AI16">
        <v>0</v>
      </c>
      <c r="AJ16">
        <v>22</v>
      </c>
      <c r="AK16" s="2">
        <v>1658209.6027357739</v>
      </c>
      <c r="AL16" s="6">
        <v>170720</v>
      </c>
      <c r="AM16" s="6">
        <v>0</v>
      </c>
      <c r="AN16" s="6">
        <v>0</v>
      </c>
      <c r="AO16" s="6">
        <v>170720</v>
      </c>
      <c r="AP16" s="3">
        <v>0.10527482268329148</v>
      </c>
      <c r="AQ16">
        <v>0</v>
      </c>
      <c r="AR16">
        <v>0</v>
      </c>
      <c r="AS16">
        <v>0</v>
      </c>
      <c r="AT16">
        <v>0</v>
      </c>
      <c r="AU16" s="2">
        <v>0</v>
      </c>
      <c r="AV16" s="6">
        <v>0</v>
      </c>
      <c r="AW16" s="6">
        <v>0</v>
      </c>
      <c r="AX16" s="6">
        <v>0</v>
      </c>
      <c r="AY16" s="6">
        <v>0</v>
      </c>
      <c r="AZ16" s="3">
        <v>0</v>
      </c>
      <c r="BA16">
        <v>43</v>
      </c>
      <c r="BB16">
        <v>2</v>
      </c>
      <c r="BC16">
        <v>0</v>
      </c>
      <c r="BD16">
        <v>45</v>
      </c>
      <c r="BE16" s="2">
        <v>924323.34297047474</v>
      </c>
      <c r="BF16" s="6">
        <v>238650</v>
      </c>
      <c r="BG16" s="6">
        <v>176100</v>
      </c>
      <c r="BH16" s="6">
        <v>0</v>
      </c>
      <c r="BI16" s="6">
        <v>414750</v>
      </c>
      <c r="BJ16" s="3">
        <v>121.8167367874151</v>
      </c>
      <c r="BK16" s="6">
        <v>939570</v>
      </c>
      <c r="BL16" s="6">
        <v>176100</v>
      </c>
      <c r="BM16" s="6">
        <v>0</v>
      </c>
      <c r="BN16" s="6">
        <v>1115670</v>
      </c>
      <c r="BO16" s="3">
        <v>126.24717772784325</v>
      </c>
      <c r="BP16" s="7">
        <v>48088670</v>
      </c>
      <c r="BQ16" s="2">
        <v>43.231126651686303</v>
      </c>
      <c r="BR16" s="2">
        <v>187.33488215730733</v>
      </c>
    </row>
    <row r="17" spans="1:70">
      <c r="A17">
        <v>1990</v>
      </c>
      <c r="B17" s="1">
        <v>111603</v>
      </c>
      <c r="C17" s="2">
        <v>3949864.7128818249</v>
      </c>
      <c r="D17" s="3">
        <v>17.078928921378004</v>
      </c>
      <c r="E17" s="1">
        <v>66961</v>
      </c>
      <c r="F17" s="4">
        <v>0.42700465232000517</v>
      </c>
      <c r="G17" s="4">
        <v>0.37491456558548447</v>
      </c>
      <c r="H17" s="4">
        <v>0.10428184436906492</v>
      </c>
      <c r="I17" s="4">
        <v>0.25557863201242242</v>
      </c>
      <c r="J17" s="5">
        <v>5.6237184837822669</v>
      </c>
      <c r="K17">
        <v>617</v>
      </c>
      <c r="L17">
        <v>10296</v>
      </c>
      <c r="M17">
        <v>15022</v>
      </c>
      <c r="N17">
        <v>25935</v>
      </c>
      <c r="O17" s="6">
        <v>4627500</v>
      </c>
      <c r="P17" s="6">
        <v>25740000</v>
      </c>
      <c r="Q17" s="6">
        <v>18026400</v>
      </c>
      <c r="R17" s="6">
        <f t="shared" si="0"/>
        <v>48393900</v>
      </c>
      <c r="S17" s="2">
        <v>4.4316666666666666</v>
      </c>
      <c r="T17" s="2">
        <v>9.8453333333333326</v>
      </c>
      <c r="U17" s="2">
        <v>4.3092666666666668</v>
      </c>
      <c r="V17" s="2">
        <v>18.586266666666667</v>
      </c>
      <c r="W17">
        <v>23</v>
      </c>
      <c r="X17">
        <v>0</v>
      </c>
      <c r="Y17">
        <v>0</v>
      </c>
      <c r="Z17">
        <v>23</v>
      </c>
      <c r="AA17" s="2">
        <v>1164996.1726125677</v>
      </c>
      <c r="AB17" s="6">
        <v>554300</v>
      </c>
      <c r="AC17" s="6">
        <v>0</v>
      </c>
      <c r="AD17" s="6">
        <v>0</v>
      </c>
      <c r="AE17" s="6">
        <v>554300</v>
      </c>
      <c r="AF17" s="3">
        <v>4.7124459368010552</v>
      </c>
      <c r="AG17">
        <v>23</v>
      </c>
      <c r="AH17">
        <v>0</v>
      </c>
      <c r="AI17">
        <v>0</v>
      </c>
      <c r="AJ17">
        <v>23</v>
      </c>
      <c r="AK17" s="2">
        <v>1825686.8810850456</v>
      </c>
      <c r="AL17" s="6">
        <v>176640</v>
      </c>
      <c r="AM17" s="6">
        <v>0</v>
      </c>
      <c r="AN17" s="6">
        <v>0</v>
      </c>
      <c r="AO17" s="6">
        <v>176640</v>
      </c>
      <c r="AP17" s="3">
        <v>0.11559136521364455</v>
      </c>
      <c r="AQ17">
        <v>0</v>
      </c>
      <c r="AR17">
        <v>0</v>
      </c>
      <c r="AS17">
        <v>0</v>
      </c>
      <c r="AT17">
        <v>0</v>
      </c>
      <c r="AU17" s="2">
        <v>0</v>
      </c>
      <c r="AV17" s="6">
        <v>0</v>
      </c>
      <c r="AW17" s="6">
        <v>0</v>
      </c>
      <c r="AX17" s="6">
        <v>0</v>
      </c>
      <c r="AY17" s="6">
        <v>0</v>
      </c>
      <c r="AZ17" s="3">
        <v>0</v>
      </c>
      <c r="BA17">
        <v>44</v>
      </c>
      <c r="BB17">
        <v>2</v>
      </c>
      <c r="BC17">
        <v>0</v>
      </c>
      <c r="BD17">
        <v>46</v>
      </c>
      <c r="BE17" s="2">
        <v>959181.65918421198</v>
      </c>
      <c r="BF17" s="6">
        <v>254100</v>
      </c>
      <c r="BG17" s="6">
        <v>177400</v>
      </c>
      <c r="BH17" s="6">
        <v>0</v>
      </c>
      <c r="BI17" s="6">
        <v>431500</v>
      </c>
      <c r="BJ17" s="3">
        <v>131.1947226460365</v>
      </c>
      <c r="BK17" s="6">
        <v>985040</v>
      </c>
      <c r="BL17" s="6">
        <v>177400</v>
      </c>
      <c r="BM17" s="6">
        <v>0</v>
      </c>
      <c r="BN17" s="6">
        <v>1162440</v>
      </c>
      <c r="BO17" s="3">
        <v>136.0227599480512</v>
      </c>
      <c r="BP17" s="7">
        <v>49556340</v>
      </c>
      <c r="BQ17" s="2">
        <v>46.382707984415354</v>
      </c>
      <c r="BR17" s="2">
        <v>200.99173459913322</v>
      </c>
    </row>
    <row r="18" spans="1:70">
      <c r="A18">
        <v>1991</v>
      </c>
      <c r="B18" s="1">
        <v>114118</v>
      </c>
      <c r="C18" s="2">
        <v>4260235.5117436899</v>
      </c>
      <c r="D18" s="3">
        <v>17.28611259757108</v>
      </c>
      <c r="E18" s="1">
        <v>68470</v>
      </c>
      <c r="F18" s="4">
        <v>0.42880572122296318</v>
      </c>
      <c r="G18" s="4">
        <v>0.38747773879590608</v>
      </c>
      <c r="H18" s="4">
        <v>0.10662708912136859</v>
      </c>
      <c r="I18" s="4">
        <v>0.26069035314134875</v>
      </c>
      <c r="J18" s="5">
        <v>5.8121660819385914</v>
      </c>
      <c r="K18">
        <v>680</v>
      </c>
      <c r="L18">
        <v>10566</v>
      </c>
      <c r="M18">
        <v>15307</v>
      </c>
      <c r="N18">
        <v>26553</v>
      </c>
      <c r="O18" s="6">
        <v>5100000</v>
      </c>
      <c r="P18" s="6">
        <v>26415000</v>
      </c>
      <c r="Q18" s="6">
        <v>18368400</v>
      </c>
      <c r="R18" s="6">
        <f t="shared" si="0"/>
        <v>49883400</v>
      </c>
      <c r="S18" s="2">
        <v>4.871666666666667</v>
      </c>
      <c r="T18" s="2">
        <v>10.091111111111111</v>
      </c>
      <c r="U18" s="2">
        <v>4.3856000000000002</v>
      </c>
      <c r="V18" s="2">
        <v>19.348377777777777</v>
      </c>
      <c r="W18">
        <v>25</v>
      </c>
      <c r="X18">
        <v>0</v>
      </c>
      <c r="Y18">
        <v>0</v>
      </c>
      <c r="Z18">
        <v>25</v>
      </c>
      <c r="AA18" s="2">
        <v>1259941.6863756657</v>
      </c>
      <c r="AB18" s="6">
        <v>615000</v>
      </c>
      <c r="AC18" s="6">
        <v>0</v>
      </c>
      <c r="AD18" s="6">
        <v>0</v>
      </c>
      <c r="AE18" s="6">
        <v>615000</v>
      </c>
      <c r="AF18" s="3">
        <v>5.1115179150157477</v>
      </c>
      <c r="AG18">
        <v>25</v>
      </c>
      <c r="AH18">
        <v>0</v>
      </c>
      <c r="AI18">
        <v>0</v>
      </c>
      <c r="AJ18">
        <v>25</v>
      </c>
      <c r="AK18" s="2">
        <v>2005472.2200316244</v>
      </c>
      <c r="AL18" s="6">
        <v>192000</v>
      </c>
      <c r="AM18" s="6">
        <v>0</v>
      </c>
      <c r="AN18" s="6">
        <v>0</v>
      </c>
      <c r="AO18" s="6">
        <v>192000</v>
      </c>
      <c r="AP18" s="3">
        <v>0.12632818122437597</v>
      </c>
      <c r="AQ18">
        <v>0</v>
      </c>
      <c r="AR18">
        <v>0</v>
      </c>
      <c r="AS18">
        <v>0</v>
      </c>
      <c r="AT18">
        <v>0</v>
      </c>
      <c r="AU18" s="2">
        <v>0</v>
      </c>
      <c r="AV18" s="6">
        <v>0</v>
      </c>
      <c r="AW18" s="6">
        <v>0</v>
      </c>
      <c r="AX18" s="6">
        <v>0</v>
      </c>
      <c r="AY18" s="6">
        <v>0</v>
      </c>
      <c r="AZ18" s="3">
        <v>0</v>
      </c>
      <c r="BA18">
        <v>46</v>
      </c>
      <c r="BB18">
        <v>2</v>
      </c>
      <c r="BC18">
        <v>0</v>
      </c>
      <c r="BD18">
        <v>48</v>
      </c>
      <c r="BE18" s="2">
        <v>994821.6053363994</v>
      </c>
      <c r="BF18" s="6">
        <v>267720</v>
      </c>
      <c r="BG18" s="6">
        <v>174800</v>
      </c>
      <c r="BH18" s="6">
        <v>0</v>
      </c>
      <c r="BI18" s="6">
        <v>442520</v>
      </c>
      <c r="BJ18" s="3">
        <v>140.80254152885806</v>
      </c>
      <c r="BK18" s="6">
        <v>1074720</v>
      </c>
      <c r="BL18" s="6">
        <v>174800</v>
      </c>
      <c r="BM18" s="6">
        <v>0</v>
      </c>
      <c r="BN18" s="6">
        <v>1249520</v>
      </c>
      <c r="BO18" s="3">
        <v>146.04038762509819</v>
      </c>
      <c r="BP18" s="7">
        <v>51132920</v>
      </c>
      <c r="BQ18" s="2">
        <v>49.616629620862788</v>
      </c>
      <c r="BR18" s="2">
        <v>215.00539502373877</v>
      </c>
    </row>
    <row r="19" spans="1:70">
      <c r="A19">
        <v>1992</v>
      </c>
      <c r="B19" s="1">
        <v>116692</v>
      </c>
      <c r="C19" s="2">
        <v>4589460.2867771806</v>
      </c>
      <c r="D19" s="3">
        <v>17.513943961734373</v>
      </c>
      <c r="E19" s="1">
        <v>70015</v>
      </c>
      <c r="F19" s="4">
        <v>0.43076486298554539</v>
      </c>
      <c r="G19" s="4">
        <v>0.39966961412515606</v>
      </c>
      <c r="H19" s="4">
        <v>0.10925956111332245</v>
      </c>
      <c r="I19" s="4">
        <v>0.26595017759521028</v>
      </c>
      <c r="J19" s="5">
        <v>5.9950442118773406</v>
      </c>
      <c r="K19">
        <v>746</v>
      </c>
      <c r="L19">
        <v>10848</v>
      </c>
      <c r="M19">
        <v>15595</v>
      </c>
      <c r="N19">
        <v>27189</v>
      </c>
      <c r="O19" s="6">
        <v>5595000</v>
      </c>
      <c r="P19" s="6">
        <v>27120000</v>
      </c>
      <c r="Q19" s="6">
        <v>18714000</v>
      </c>
      <c r="R19" s="6">
        <f t="shared" si="0"/>
        <v>51429000</v>
      </c>
      <c r="S19" s="2">
        <v>5.3383333333333329</v>
      </c>
      <c r="T19" s="2">
        <v>10.346222222222222</v>
      </c>
      <c r="U19" s="2">
        <v>4.4619333333333335</v>
      </c>
      <c r="V19" s="2">
        <v>20.146488888888889</v>
      </c>
      <c r="W19">
        <v>27</v>
      </c>
      <c r="X19">
        <v>0</v>
      </c>
      <c r="Y19">
        <v>0</v>
      </c>
      <c r="Z19">
        <v>27</v>
      </c>
      <c r="AA19" s="2">
        <v>1359730.6295245702</v>
      </c>
      <c r="AB19" s="6">
        <v>650700</v>
      </c>
      <c r="AC19" s="6">
        <v>0</v>
      </c>
      <c r="AD19" s="6">
        <v>0</v>
      </c>
      <c r="AE19" s="6">
        <v>650700</v>
      </c>
      <c r="AF19" s="3">
        <v>5.522736132334737</v>
      </c>
      <c r="AG19">
        <v>27</v>
      </c>
      <c r="AH19">
        <v>0</v>
      </c>
      <c r="AI19">
        <v>0</v>
      </c>
      <c r="AJ19">
        <v>27</v>
      </c>
      <c r="AK19" s="2">
        <v>2198438.708253568</v>
      </c>
      <c r="AL19" s="6">
        <v>206280</v>
      </c>
      <c r="AM19" s="6">
        <v>0</v>
      </c>
      <c r="AN19" s="6">
        <v>0</v>
      </c>
      <c r="AO19" s="6">
        <v>206280</v>
      </c>
      <c r="AP19" s="3">
        <v>0.13749477937555998</v>
      </c>
      <c r="AQ19">
        <v>0</v>
      </c>
      <c r="AR19">
        <v>0</v>
      </c>
      <c r="AS19">
        <v>0</v>
      </c>
      <c r="AT19">
        <v>0</v>
      </c>
      <c r="AU19" s="2">
        <v>0</v>
      </c>
      <c r="AV19" s="6">
        <v>0</v>
      </c>
      <c r="AW19" s="6">
        <v>0</v>
      </c>
      <c r="AX19" s="6">
        <v>0</v>
      </c>
      <c r="AY19" s="6">
        <v>0</v>
      </c>
      <c r="AZ19" s="3">
        <v>0</v>
      </c>
      <c r="BA19">
        <v>47</v>
      </c>
      <c r="BB19">
        <v>2</v>
      </c>
      <c r="BC19">
        <v>0</v>
      </c>
      <c r="BD19">
        <v>49</v>
      </c>
      <c r="BE19" s="2">
        <v>1031290.948999043</v>
      </c>
      <c r="BF19" s="6">
        <v>265080</v>
      </c>
      <c r="BG19" s="6">
        <v>173500</v>
      </c>
      <c r="BH19" s="6">
        <v>0</v>
      </c>
      <c r="BI19" s="6">
        <v>438580</v>
      </c>
      <c r="BJ19" s="3">
        <v>150.65259711663674</v>
      </c>
      <c r="BK19" s="6">
        <v>1122060</v>
      </c>
      <c r="BL19" s="6">
        <v>173500</v>
      </c>
      <c r="BM19" s="6">
        <v>0</v>
      </c>
      <c r="BN19" s="6">
        <v>1295560</v>
      </c>
      <c r="BO19" s="3">
        <v>156.31282802834704</v>
      </c>
      <c r="BP19" s="7">
        <v>52724560</v>
      </c>
      <c r="BQ19" s="2">
        <v>52.937795075170776</v>
      </c>
      <c r="BR19" s="2">
        <v>229.39711199240671</v>
      </c>
    </row>
    <row r="20" spans="1:70">
      <c r="A20">
        <v>1993</v>
      </c>
      <c r="B20" s="1">
        <v>119326</v>
      </c>
      <c r="C20" s="2">
        <v>4938720.9572953098</v>
      </c>
      <c r="D20" s="3">
        <v>17.764480738812001</v>
      </c>
      <c r="E20" s="1">
        <v>71595</v>
      </c>
      <c r="F20" s="4">
        <v>0.43289293510082688</v>
      </c>
      <c r="G20" s="4">
        <v>0.41150116508400691</v>
      </c>
      <c r="H20" s="4">
        <v>0.11222004213058151</v>
      </c>
      <c r="I20" s="4">
        <v>0.27139843034936179</v>
      </c>
      <c r="J20" s="5">
        <v>6.1725174762601034</v>
      </c>
      <c r="K20">
        <v>816</v>
      </c>
      <c r="L20">
        <v>11143</v>
      </c>
      <c r="M20">
        <v>15885</v>
      </c>
      <c r="N20">
        <v>27844</v>
      </c>
      <c r="O20" s="6">
        <v>6120000</v>
      </c>
      <c r="P20" s="6">
        <v>27857500</v>
      </c>
      <c r="Q20" s="6">
        <v>19062000</v>
      </c>
      <c r="R20" s="6">
        <f t="shared" si="0"/>
        <v>53039500</v>
      </c>
      <c r="S20" s="2">
        <v>5.833333333333333</v>
      </c>
      <c r="T20" s="2">
        <v>10.611555555555556</v>
      </c>
      <c r="U20" s="2">
        <v>4.5381999999999998</v>
      </c>
      <c r="V20" s="2">
        <v>20.98308888888889</v>
      </c>
      <c r="W20">
        <v>29</v>
      </c>
      <c r="X20">
        <v>0</v>
      </c>
      <c r="Y20">
        <v>0</v>
      </c>
      <c r="Z20">
        <v>29</v>
      </c>
      <c r="AA20" s="2">
        <v>1464633.4974865955</v>
      </c>
      <c r="AB20" s="6">
        <v>719200</v>
      </c>
      <c r="AC20" s="6">
        <v>0</v>
      </c>
      <c r="AD20" s="6">
        <v>0</v>
      </c>
      <c r="AE20" s="6">
        <v>719200</v>
      </c>
      <c r="AF20" s="3">
        <v>5.9464706603211273</v>
      </c>
      <c r="AG20">
        <v>29</v>
      </c>
      <c r="AH20">
        <v>0</v>
      </c>
      <c r="AI20">
        <v>0</v>
      </c>
      <c r="AJ20">
        <v>29</v>
      </c>
      <c r="AK20" s="2">
        <v>2405477.4207070149</v>
      </c>
      <c r="AL20" s="6">
        <v>221560</v>
      </c>
      <c r="AM20" s="6">
        <v>0</v>
      </c>
      <c r="AN20" s="6">
        <v>0</v>
      </c>
      <c r="AO20" s="6">
        <v>221560</v>
      </c>
      <c r="AP20" s="3">
        <v>0.14910115882609473</v>
      </c>
      <c r="AQ20">
        <v>0</v>
      </c>
      <c r="AR20">
        <v>0</v>
      </c>
      <c r="AS20">
        <v>0</v>
      </c>
      <c r="AT20">
        <v>0</v>
      </c>
      <c r="AU20" s="2">
        <v>0</v>
      </c>
      <c r="AV20" s="6">
        <v>0</v>
      </c>
      <c r="AW20" s="6">
        <v>0</v>
      </c>
      <c r="AX20" s="6">
        <v>0</v>
      </c>
      <c r="AY20" s="6">
        <v>0</v>
      </c>
      <c r="AZ20" s="3">
        <v>0</v>
      </c>
      <c r="BA20">
        <v>49</v>
      </c>
      <c r="BB20">
        <v>2</v>
      </c>
      <c r="BC20">
        <v>0</v>
      </c>
      <c r="BD20">
        <v>51</v>
      </c>
      <c r="BE20" s="2">
        <v>1068610.0391016998</v>
      </c>
      <c r="BF20" s="6">
        <v>274155</v>
      </c>
      <c r="BG20" s="6">
        <v>168300</v>
      </c>
      <c r="BH20" s="6">
        <v>0</v>
      </c>
      <c r="BI20" s="6">
        <v>442455</v>
      </c>
      <c r="BJ20" s="3">
        <v>160.75729393585556</v>
      </c>
      <c r="BK20" s="6">
        <v>1214915</v>
      </c>
      <c r="BL20" s="6">
        <v>168300</v>
      </c>
      <c r="BM20" s="6">
        <v>0</v>
      </c>
      <c r="BN20" s="6">
        <v>1383215</v>
      </c>
      <c r="BO20" s="3">
        <v>166.85286575500277</v>
      </c>
      <c r="BP20" s="7">
        <v>54422715</v>
      </c>
      <c r="BQ20" s="2">
        <v>56.350786393167496</v>
      </c>
      <c r="BR20" s="2">
        <v>244.18674103705916</v>
      </c>
    </row>
    <row r="21" spans="1:70">
      <c r="A21">
        <v>1994</v>
      </c>
      <c r="B21" s="1">
        <v>122022</v>
      </c>
      <c r="C21" s="2">
        <v>5309469.1476983689</v>
      </c>
      <c r="D21" s="3">
        <v>18.03998572426017</v>
      </c>
      <c r="E21" s="1">
        <v>73213</v>
      </c>
      <c r="F21" s="4">
        <v>0.43520118436309679</v>
      </c>
      <c r="G21" s="4">
        <v>0.42298304086697525</v>
      </c>
      <c r="H21" s="4">
        <v>0.11555622739685892</v>
      </c>
      <c r="I21" s="4">
        <v>0.27707805232105348</v>
      </c>
      <c r="J21" s="5">
        <v>6.3447456130046289</v>
      </c>
      <c r="K21">
        <v>891</v>
      </c>
      <c r="L21">
        <v>11451</v>
      </c>
      <c r="M21">
        <v>16177</v>
      </c>
      <c r="N21">
        <v>28519</v>
      </c>
      <c r="O21" s="6">
        <v>6682500</v>
      </c>
      <c r="P21" s="6">
        <v>28627500</v>
      </c>
      <c r="Q21" s="6">
        <v>19412400</v>
      </c>
      <c r="R21" s="6">
        <f t="shared" si="0"/>
        <v>54722400</v>
      </c>
      <c r="S21" s="2">
        <v>6.3566666666666665</v>
      </c>
      <c r="T21" s="2">
        <v>10.887555555555556</v>
      </c>
      <c r="U21" s="2">
        <v>4.6141333333333332</v>
      </c>
      <c r="V21" s="2">
        <v>21.858355555555555</v>
      </c>
      <c r="W21">
        <v>31</v>
      </c>
      <c r="X21">
        <v>0</v>
      </c>
      <c r="Y21">
        <v>0</v>
      </c>
      <c r="Z21">
        <v>31</v>
      </c>
      <c r="AA21" s="2">
        <v>1574977.6486322149</v>
      </c>
      <c r="AB21" s="6">
        <v>759500</v>
      </c>
      <c r="AC21" s="6">
        <v>0</v>
      </c>
      <c r="AD21" s="6">
        <v>0</v>
      </c>
      <c r="AE21" s="6">
        <v>759500</v>
      </c>
      <c r="AF21" s="3">
        <v>6.3830924131829097</v>
      </c>
      <c r="AG21">
        <v>31</v>
      </c>
      <c r="AH21">
        <v>0</v>
      </c>
      <c r="AI21">
        <v>0</v>
      </c>
      <c r="AJ21">
        <v>31</v>
      </c>
      <c r="AK21" s="2">
        <v>2627639.145899476</v>
      </c>
      <c r="AL21" s="6">
        <v>241800</v>
      </c>
      <c r="AM21" s="6">
        <v>0</v>
      </c>
      <c r="AN21" s="6">
        <v>0</v>
      </c>
      <c r="AO21" s="6">
        <v>241800</v>
      </c>
      <c r="AP21" s="3">
        <v>0.1611574989046671</v>
      </c>
      <c r="AQ21">
        <v>0</v>
      </c>
      <c r="AR21">
        <v>0</v>
      </c>
      <c r="AS21">
        <v>0</v>
      </c>
      <c r="AT21">
        <v>0</v>
      </c>
      <c r="AU21" s="2">
        <v>0</v>
      </c>
      <c r="AV21" s="6">
        <v>0</v>
      </c>
      <c r="AW21" s="6">
        <v>0</v>
      </c>
      <c r="AX21" s="6">
        <v>0</v>
      </c>
      <c r="AY21" s="6">
        <v>0</v>
      </c>
      <c r="AZ21" s="3">
        <v>0</v>
      </c>
      <c r="BA21">
        <v>50</v>
      </c>
      <c r="BB21">
        <v>2</v>
      </c>
      <c r="BC21">
        <v>0</v>
      </c>
      <c r="BD21">
        <v>52</v>
      </c>
      <c r="BE21" s="2">
        <v>1106852.353166678</v>
      </c>
      <c r="BF21" s="6">
        <v>293250</v>
      </c>
      <c r="BG21" s="6">
        <v>169600</v>
      </c>
      <c r="BH21" s="6">
        <v>0</v>
      </c>
      <c r="BI21" s="6">
        <v>462850</v>
      </c>
      <c r="BJ21" s="3">
        <v>171.12856429163836</v>
      </c>
      <c r="BK21" s="6">
        <v>1294550</v>
      </c>
      <c r="BL21" s="6">
        <v>169600</v>
      </c>
      <c r="BM21" s="6">
        <v>0</v>
      </c>
      <c r="BN21" s="6">
        <v>1464150</v>
      </c>
      <c r="BO21" s="3">
        <v>177.67281420372592</v>
      </c>
      <c r="BP21" s="7">
        <v>56186550</v>
      </c>
      <c r="BQ21" s="2">
        <v>59.85935092778444</v>
      </c>
      <c r="BR21" s="2">
        <v>259.39052068706593</v>
      </c>
    </row>
    <row r="22" spans="1:70">
      <c r="A22">
        <v>1995</v>
      </c>
      <c r="B22" s="1">
        <v>124782</v>
      </c>
      <c r="C22" s="2">
        <v>5703115.643655804</v>
      </c>
      <c r="D22" s="3">
        <v>18.342947221139635</v>
      </c>
      <c r="E22" s="1">
        <v>74869</v>
      </c>
      <c r="F22" s="4">
        <v>0.43770115767271239</v>
      </c>
      <c r="G22" s="4">
        <v>0.43412557593731571</v>
      </c>
      <c r="H22" s="4">
        <v>0.11932410283101737</v>
      </c>
      <c r="I22" s="4">
        <v>0.28303517701566588</v>
      </c>
      <c r="J22" s="5">
        <v>6.5118836390597359</v>
      </c>
      <c r="K22">
        <v>971</v>
      </c>
      <c r="L22">
        <v>11774</v>
      </c>
      <c r="M22">
        <v>16471</v>
      </c>
      <c r="N22">
        <v>29216</v>
      </c>
      <c r="O22" s="6">
        <v>7282500</v>
      </c>
      <c r="P22" s="6">
        <v>29435000</v>
      </c>
      <c r="Q22" s="6">
        <v>19765200</v>
      </c>
      <c r="R22" s="6">
        <f t="shared" si="0"/>
        <v>56482700</v>
      </c>
      <c r="S22" s="2">
        <v>6.9133333333333331</v>
      </c>
      <c r="T22" s="2">
        <v>11.174888888888889</v>
      </c>
      <c r="U22" s="2">
        <v>4.6897333333333338</v>
      </c>
      <c r="V22" s="2">
        <v>22.777955555555554</v>
      </c>
      <c r="W22">
        <v>33</v>
      </c>
      <c r="X22">
        <v>0</v>
      </c>
      <c r="Y22">
        <v>0</v>
      </c>
      <c r="Z22">
        <v>33</v>
      </c>
      <c r="AA22" s="2">
        <v>1691074.9395343058</v>
      </c>
      <c r="AB22" s="6">
        <v>795300</v>
      </c>
      <c r="AC22" s="6">
        <v>0</v>
      </c>
      <c r="AD22" s="6">
        <v>0</v>
      </c>
      <c r="AE22" s="6">
        <v>795300</v>
      </c>
      <c r="AF22" s="3">
        <v>6.8329725362803142</v>
      </c>
      <c r="AG22">
        <v>33</v>
      </c>
      <c r="AH22">
        <v>0</v>
      </c>
      <c r="AI22">
        <v>0</v>
      </c>
      <c r="AJ22">
        <v>33</v>
      </c>
      <c r="AK22" s="2">
        <v>2865988.2572228145</v>
      </c>
      <c r="AL22" s="6">
        <v>257400</v>
      </c>
      <c r="AM22" s="6">
        <v>0</v>
      </c>
      <c r="AN22" s="6">
        <v>0</v>
      </c>
      <c r="AO22" s="6">
        <v>257400</v>
      </c>
      <c r="AP22" s="3">
        <v>0.17367414201853498</v>
      </c>
      <c r="AQ22">
        <v>0</v>
      </c>
      <c r="AR22">
        <v>0</v>
      </c>
      <c r="AS22">
        <v>0</v>
      </c>
      <c r="AT22">
        <v>0</v>
      </c>
      <c r="AU22" s="2">
        <v>0</v>
      </c>
      <c r="AV22" s="6">
        <v>0</v>
      </c>
      <c r="AW22" s="6">
        <v>0</v>
      </c>
      <c r="AX22" s="6">
        <v>0</v>
      </c>
      <c r="AY22" s="6">
        <v>0</v>
      </c>
      <c r="AZ22" s="3">
        <v>0</v>
      </c>
      <c r="BA22">
        <v>52</v>
      </c>
      <c r="BB22">
        <v>2</v>
      </c>
      <c r="BC22">
        <v>0</v>
      </c>
      <c r="BD22">
        <v>54</v>
      </c>
      <c r="BE22" s="2">
        <v>1146052.4468986839</v>
      </c>
      <c r="BF22" s="6">
        <v>293280</v>
      </c>
      <c r="BG22" s="6">
        <v>168300</v>
      </c>
      <c r="BH22" s="6">
        <v>0</v>
      </c>
      <c r="BI22" s="6">
        <v>461580</v>
      </c>
      <c r="BJ22" s="3">
        <v>181.77789679208715</v>
      </c>
      <c r="BK22" s="6">
        <v>1345980</v>
      </c>
      <c r="BL22" s="6">
        <v>168300</v>
      </c>
      <c r="BM22" s="6">
        <v>0</v>
      </c>
      <c r="BN22" s="6">
        <v>1514280</v>
      </c>
      <c r="BO22" s="3">
        <v>188.78454347038598</v>
      </c>
      <c r="BP22" s="7">
        <v>57996980</v>
      </c>
      <c r="BQ22" s="2">
        <v>63.468749707782464</v>
      </c>
      <c r="BR22" s="2">
        <v>275.031248733724</v>
      </c>
    </row>
    <row r="23" spans="1:70">
      <c r="A23">
        <v>1996</v>
      </c>
      <c r="B23" s="1">
        <v>127608</v>
      </c>
      <c r="C23" s="2">
        <v>6121233.0283054681</v>
      </c>
      <c r="D23" s="3">
        <v>18.676101513945397</v>
      </c>
      <c r="E23" s="1">
        <v>76564</v>
      </c>
      <c r="F23" s="4">
        <v>0.44040467436283276</v>
      </c>
      <c r="G23" s="4">
        <v>0.4449387993287352</v>
      </c>
      <c r="H23" s="4">
        <v>0.12358962783303393</v>
      </c>
      <c r="I23" s="4">
        <v>0.28931974541351413</v>
      </c>
      <c r="J23" s="5">
        <v>6.674081989931028</v>
      </c>
      <c r="K23">
        <v>1056</v>
      </c>
      <c r="L23">
        <v>12113</v>
      </c>
      <c r="M23">
        <v>16767</v>
      </c>
      <c r="N23">
        <v>29936</v>
      </c>
      <c r="O23" s="6">
        <v>7920000</v>
      </c>
      <c r="P23" s="6">
        <v>30282500</v>
      </c>
      <c r="Q23" s="6">
        <v>20120400</v>
      </c>
      <c r="R23" s="6">
        <f t="shared" si="0"/>
        <v>58322900</v>
      </c>
      <c r="S23" s="2">
        <v>7.5016666666666669</v>
      </c>
      <c r="T23" s="2">
        <v>11.474222222222222</v>
      </c>
      <c r="U23" s="2">
        <v>4.764733333333333</v>
      </c>
      <c r="V23" s="2">
        <v>23.740622222222221</v>
      </c>
      <c r="W23">
        <v>36</v>
      </c>
      <c r="X23">
        <v>0</v>
      </c>
      <c r="Y23">
        <v>0</v>
      </c>
      <c r="Z23">
        <v>36</v>
      </c>
      <c r="AA23" s="2">
        <v>1813269.1629163937</v>
      </c>
      <c r="AB23" s="6">
        <v>878400</v>
      </c>
      <c r="AC23" s="6">
        <v>0</v>
      </c>
      <c r="AD23" s="6">
        <v>0</v>
      </c>
      <c r="AE23" s="6">
        <v>878400</v>
      </c>
      <c r="AF23" s="3">
        <v>7.2964912172630223</v>
      </c>
      <c r="AG23">
        <v>36</v>
      </c>
      <c r="AH23">
        <v>0</v>
      </c>
      <c r="AI23">
        <v>0</v>
      </c>
      <c r="AJ23">
        <v>36</v>
      </c>
      <c r="AK23" s="2">
        <v>3121703.6401964463</v>
      </c>
      <c r="AL23" s="6">
        <v>283680</v>
      </c>
      <c r="AM23" s="6">
        <v>0</v>
      </c>
      <c r="AN23" s="6">
        <v>0</v>
      </c>
      <c r="AO23" s="6">
        <v>283680</v>
      </c>
      <c r="AP23" s="3">
        <v>0.1866617726154691</v>
      </c>
      <c r="AQ23">
        <v>0</v>
      </c>
      <c r="AR23">
        <v>0</v>
      </c>
      <c r="AS23">
        <v>0</v>
      </c>
      <c r="AT23">
        <v>0</v>
      </c>
      <c r="AU23" s="2">
        <v>0</v>
      </c>
      <c r="AV23" s="6">
        <v>0</v>
      </c>
      <c r="AW23" s="6">
        <v>0</v>
      </c>
      <c r="AX23" s="6">
        <v>0</v>
      </c>
      <c r="AY23" s="6">
        <v>0</v>
      </c>
      <c r="AZ23" s="3">
        <v>0</v>
      </c>
      <c r="BA23">
        <v>53</v>
      </c>
      <c r="BB23">
        <v>2</v>
      </c>
      <c r="BC23">
        <v>0</v>
      </c>
      <c r="BD23">
        <v>55</v>
      </c>
      <c r="BE23" s="2">
        <v>1186260.2251926276</v>
      </c>
      <c r="BF23" s="6">
        <v>298920</v>
      </c>
      <c r="BG23" s="6">
        <v>172200</v>
      </c>
      <c r="BH23" s="6">
        <v>0</v>
      </c>
      <c r="BI23" s="6">
        <v>471120</v>
      </c>
      <c r="BJ23" s="3">
        <v>192.71667488486264</v>
      </c>
      <c r="BK23" s="6">
        <v>1461000</v>
      </c>
      <c r="BL23" s="6">
        <v>172200</v>
      </c>
      <c r="BM23" s="6">
        <v>0</v>
      </c>
      <c r="BN23" s="6">
        <v>1633200</v>
      </c>
      <c r="BO23" s="3">
        <v>200.19982787474115</v>
      </c>
      <c r="BP23" s="7">
        <v>59956100</v>
      </c>
      <c r="BQ23" s="2">
        <v>67.182135029089011</v>
      </c>
      <c r="BR23" s="2">
        <v>291.1225851260524</v>
      </c>
    </row>
    <row r="24" spans="1:70">
      <c r="A24">
        <v>1997</v>
      </c>
      <c r="B24" s="1">
        <v>130502</v>
      </c>
      <c r="C24" s="2">
        <v>6565639.3692106111</v>
      </c>
      <c r="D24" s="3">
        <v>19.042457582152529</v>
      </c>
      <c r="E24" s="1">
        <v>78301</v>
      </c>
      <c r="F24" s="4">
        <v>0.44332373236508216</v>
      </c>
      <c r="G24" s="4">
        <v>0.45543244367220048</v>
      </c>
      <c r="H24" s="4">
        <v>0.12843079296076426</v>
      </c>
      <c r="I24" s="4">
        <v>0.29598613660497491</v>
      </c>
      <c r="J24" s="5">
        <v>6.8314866550830073</v>
      </c>
      <c r="K24">
        <v>1146</v>
      </c>
      <c r="L24">
        <v>12470</v>
      </c>
      <c r="M24">
        <v>17065</v>
      </c>
      <c r="N24">
        <v>30681</v>
      </c>
      <c r="O24" s="6">
        <v>8595000</v>
      </c>
      <c r="P24" s="6">
        <v>31175000</v>
      </c>
      <c r="Q24" s="6">
        <v>20478000</v>
      </c>
      <c r="R24" s="6">
        <f t="shared" si="0"/>
        <v>60248000</v>
      </c>
      <c r="S24" s="2">
        <v>8.1283333333333339</v>
      </c>
      <c r="T24" s="2">
        <v>11.786666666666667</v>
      </c>
      <c r="U24" s="2">
        <v>4.8389333333333333</v>
      </c>
      <c r="V24" s="2">
        <v>24.753933333333332</v>
      </c>
      <c r="W24">
        <v>38</v>
      </c>
      <c r="X24">
        <v>0</v>
      </c>
      <c r="Y24">
        <v>0</v>
      </c>
      <c r="Z24">
        <v>38</v>
      </c>
      <c r="AA24" s="2">
        <v>1941954.5972927574</v>
      </c>
      <c r="AB24" s="6">
        <v>942400</v>
      </c>
      <c r="AC24" s="6">
        <v>0</v>
      </c>
      <c r="AD24" s="6">
        <v>0</v>
      </c>
      <c r="AE24" s="6">
        <v>942400</v>
      </c>
      <c r="AF24" s="3">
        <v>7.7740245229449254</v>
      </c>
      <c r="AG24">
        <v>38</v>
      </c>
      <c r="AH24">
        <v>0</v>
      </c>
      <c r="AI24">
        <v>0</v>
      </c>
      <c r="AJ24">
        <v>38</v>
      </c>
      <c r="AK24" s="2">
        <v>3396128.2812508461</v>
      </c>
      <c r="AL24" s="6">
        <v>288800</v>
      </c>
      <c r="AM24" s="6">
        <v>0</v>
      </c>
      <c r="AN24" s="6">
        <v>0</v>
      </c>
      <c r="AO24" s="6">
        <v>288800</v>
      </c>
      <c r="AP24" s="3">
        <v>0.20013114399362347</v>
      </c>
      <c r="AQ24">
        <v>0</v>
      </c>
      <c r="AR24">
        <v>0</v>
      </c>
      <c r="AS24">
        <v>0</v>
      </c>
      <c r="AT24">
        <v>0</v>
      </c>
      <c r="AU24" s="2">
        <v>0</v>
      </c>
      <c r="AV24" s="6">
        <v>0</v>
      </c>
      <c r="AW24" s="6">
        <v>0</v>
      </c>
      <c r="AX24" s="6">
        <v>0</v>
      </c>
      <c r="AY24" s="6">
        <v>0</v>
      </c>
      <c r="AZ24" s="3">
        <v>0</v>
      </c>
      <c r="BA24">
        <v>55</v>
      </c>
      <c r="BB24">
        <v>2</v>
      </c>
      <c r="BC24">
        <v>0</v>
      </c>
      <c r="BD24">
        <v>57</v>
      </c>
      <c r="BE24" s="2">
        <v>1227556.4906670079</v>
      </c>
      <c r="BF24" s="6">
        <v>317625</v>
      </c>
      <c r="BG24" s="6">
        <v>174800</v>
      </c>
      <c r="BH24" s="6">
        <v>0</v>
      </c>
      <c r="BI24" s="6">
        <v>492425</v>
      </c>
      <c r="BJ24" s="3">
        <v>203.95576668696586</v>
      </c>
      <c r="BK24" s="6">
        <v>1548825</v>
      </c>
      <c r="BL24" s="6">
        <v>174800</v>
      </c>
      <c r="BM24" s="6">
        <v>0</v>
      </c>
      <c r="BN24" s="6">
        <v>1723625</v>
      </c>
      <c r="BO24" s="3">
        <v>211.9299223539044</v>
      </c>
      <c r="BP24" s="7">
        <v>61971625</v>
      </c>
      <c r="BQ24" s="2">
        <v>71.00515670617132</v>
      </c>
      <c r="BR24" s="2">
        <v>307.68901239340903</v>
      </c>
    </row>
    <row r="25" spans="1:70">
      <c r="A25">
        <v>1998</v>
      </c>
      <c r="B25" s="1">
        <v>133466</v>
      </c>
      <c r="C25" s="2">
        <v>7038080.0148339551</v>
      </c>
      <c r="D25" s="3">
        <v>19.445324276685685</v>
      </c>
      <c r="E25" s="1">
        <v>80079</v>
      </c>
      <c r="F25" s="4">
        <v>0.44647041778651647</v>
      </c>
      <c r="G25" s="4">
        <v>0.46561595395596295</v>
      </c>
      <c r="H25" s="4">
        <v>0.13394013513405081</v>
      </c>
      <c r="I25" s="4">
        <v>0.30309382702404658</v>
      </c>
      <c r="J25" s="5">
        <v>6.9842393093394444</v>
      </c>
      <c r="K25">
        <v>1243</v>
      </c>
      <c r="L25">
        <v>12845</v>
      </c>
      <c r="M25">
        <v>17363</v>
      </c>
      <c r="N25">
        <v>31451</v>
      </c>
      <c r="O25" s="6">
        <v>9322500</v>
      </c>
      <c r="P25" s="6">
        <v>32112500</v>
      </c>
      <c r="Q25" s="6">
        <v>20835600</v>
      </c>
      <c r="R25" s="6">
        <f t="shared" si="0"/>
        <v>62270600</v>
      </c>
      <c r="S25" s="2">
        <v>8.793333333333333</v>
      </c>
      <c r="T25" s="2">
        <v>12.112666666666666</v>
      </c>
      <c r="U25" s="2">
        <v>4.9121333333333332</v>
      </c>
      <c r="V25" s="2">
        <v>25.818133333333332</v>
      </c>
      <c r="W25">
        <v>40</v>
      </c>
      <c r="X25">
        <v>0</v>
      </c>
      <c r="Y25">
        <v>0</v>
      </c>
      <c r="Z25">
        <v>40</v>
      </c>
      <c r="AA25" s="2">
        <v>2077500.9093491016</v>
      </c>
      <c r="AB25" s="6">
        <v>968000</v>
      </c>
      <c r="AC25" s="6">
        <v>0</v>
      </c>
      <c r="AD25" s="6">
        <v>0</v>
      </c>
      <c r="AE25" s="6">
        <v>968000</v>
      </c>
      <c r="AF25" s="3">
        <v>8.2659486892205187</v>
      </c>
      <c r="AG25">
        <v>40</v>
      </c>
      <c r="AH25">
        <v>0</v>
      </c>
      <c r="AI25">
        <v>0</v>
      </c>
      <c r="AJ25">
        <v>40</v>
      </c>
      <c r="AK25" s="2">
        <v>3690609.1586475903</v>
      </c>
      <c r="AL25" s="6">
        <v>313600</v>
      </c>
      <c r="AM25" s="6">
        <v>0</v>
      </c>
      <c r="AN25" s="6">
        <v>0</v>
      </c>
      <c r="AO25" s="6">
        <v>313600</v>
      </c>
      <c r="AP25" s="3">
        <v>0.21409316045823742</v>
      </c>
      <c r="AQ25">
        <v>0</v>
      </c>
      <c r="AR25">
        <v>0</v>
      </c>
      <c r="AS25">
        <v>0</v>
      </c>
      <c r="AT25">
        <v>0</v>
      </c>
      <c r="AU25" s="2">
        <v>0</v>
      </c>
      <c r="AV25" s="6">
        <v>0</v>
      </c>
      <c r="AW25" s="6">
        <v>0</v>
      </c>
      <c r="AX25" s="6">
        <v>0</v>
      </c>
      <c r="AY25" s="6">
        <v>0</v>
      </c>
      <c r="AZ25" s="3">
        <v>0</v>
      </c>
      <c r="BA25">
        <v>56</v>
      </c>
      <c r="BB25">
        <v>1</v>
      </c>
      <c r="BC25">
        <v>0</v>
      </c>
      <c r="BD25">
        <v>57</v>
      </c>
      <c r="BE25" s="2">
        <v>1269969.9468372629</v>
      </c>
      <c r="BF25" s="6">
        <v>328440</v>
      </c>
      <c r="BG25" s="6">
        <v>83500</v>
      </c>
      <c r="BH25" s="6">
        <v>0</v>
      </c>
      <c r="BI25" s="6">
        <v>411940</v>
      </c>
      <c r="BJ25" s="3">
        <v>215.50571127334555</v>
      </c>
      <c r="BK25" s="6">
        <v>1610040</v>
      </c>
      <c r="BL25" s="6">
        <v>83500</v>
      </c>
      <c r="BM25" s="6">
        <v>0</v>
      </c>
      <c r="BN25" s="6">
        <v>1693540</v>
      </c>
      <c r="BO25" s="3">
        <v>223.98575312302432</v>
      </c>
      <c r="BP25" s="7">
        <v>63964140</v>
      </c>
      <c r="BQ25" s="2">
        <v>74.941165936907296</v>
      </c>
      <c r="BR25" s="2">
        <v>324.74505239326493</v>
      </c>
    </row>
    <row r="26" spans="1:70">
      <c r="A26">
        <v>1999</v>
      </c>
      <c r="B26" s="1">
        <v>136503</v>
      </c>
      <c r="C26" s="2">
        <v>7540705.295192075</v>
      </c>
      <c r="D26" s="3">
        <v>19.888340204764454</v>
      </c>
      <c r="E26" s="1">
        <v>81901</v>
      </c>
      <c r="F26" s="4">
        <v>0.44985683434096885</v>
      </c>
      <c r="G26" s="4">
        <v>0.47549849602668554</v>
      </c>
      <c r="H26" s="4">
        <v>0.1402278062580784</v>
      </c>
      <c r="I26" s="4">
        <v>0.31070807248661481</v>
      </c>
      <c r="J26" s="5">
        <v>7.1324774404002831</v>
      </c>
      <c r="K26">
        <v>1346</v>
      </c>
      <c r="L26">
        <v>13240</v>
      </c>
      <c r="M26">
        <v>17663</v>
      </c>
      <c r="N26">
        <v>32249</v>
      </c>
      <c r="O26" s="6">
        <v>10095000</v>
      </c>
      <c r="P26" s="6">
        <v>33100000</v>
      </c>
      <c r="Q26" s="6">
        <v>21195600</v>
      </c>
      <c r="R26" s="6">
        <f t="shared" si="0"/>
        <v>64390600</v>
      </c>
      <c r="S26" s="2">
        <v>9.5</v>
      </c>
      <c r="T26" s="2">
        <v>12.453333333333333</v>
      </c>
      <c r="U26" s="2">
        <v>4.9841333333333333</v>
      </c>
      <c r="V26" s="2">
        <v>26.937466666666666</v>
      </c>
      <c r="W26">
        <v>43</v>
      </c>
      <c r="X26">
        <v>0</v>
      </c>
      <c r="Y26">
        <v>0</v>
      </c>
      <c r="Z26">
        <v>43</v>
      </c>
      <c r="AA26" s="2">
        <v>2220364.7053228021</v>
      </c>
      <c r="AB26" s="6">
        <v>1062100</v>
      </c>
      <c r="AC26" s="6">
        <v>0</v>
      </c>
      <c r="AD26" s="6">
        <v>0</v>
      </c>
      <c r="AE26" s="6">
        <v>1062100</v>
      </c>
      <c r="AF26" s="3">
        <v>8.7726454311122861</v>
      </c>
      <c r="AG26">
        <v>43</v>
      </c>
      <c r="AH26">
        <v>0</v>
      </c>
      <c r="AI26">
        <v>0</v>
      </c>
      <c r="AJ26">
        <v>43</v>
      </c>
      <c r="AK26" s="2">
        <v>4006750.1103265067</v>
      </c>
      <c r="AL26" s="6">
        <v>338840</v>
      </c>
      <c r="AM26" s="6">
        <v>0</v>
      </c>
      <c r="AN26" s="6">
        <v>0</v>
      </c>
      <c r="AO26" s="6">
        <v>338840</v>
      </c>
      <c r="AP26" s="3">
        <v>0.22855898362876115</v>
      </c>
      <c r="AQ26">
        <v>0</v>
      </c>
      <c r="AR26">
        <v>0</v>
      </c>
      <c r="AS26">
        <v>0</v>
      </c>
      <c r="AT26">
        <v>0</v>
      </c>
      <c r="AU26" s="2">
        <v>0</v>
      </c>
      <c r="AV26" s="6">
        <v>0</v>
      </c>
      <c r="AW26" s="6">
        <v>0</v>
      </c>
      <c r="AX26" s="6">
        <v>0</v>
      </c>
      <c r="AY26" s="6">
        <v>0</v>
      </c>
      <c r="AZ26" s="3">
        <v>0</v>
      </c>
      <c r="BA26">
        <v>58</v>
      </c>
      <c r="BB26">
        <v>1</v>
      </c>
      <c r="BC26">
        <v>0</v>
      </c>
      <c r="BD26">
        <v>59</v>
      </c>
      <c r="BE26" s="2">
        <v>1313590.4795427669</v>
      </c>
      <c r="BF26" s="6">
        <v>337560</v>
      </c>
      <c r="BG26" s="6">
        <v>86100</v>
      </c>
      <c r="BH26" s="6">
        <v>0</v>
      </c>
      <c r="BI26" s="6">
        <v>423660</v>
      </c>
      <c r="BJ26" s="3">
        <v>227.37692892084434</v>
      </c>
      <c r="BK26" s="6">
        <v>1738500</v>
      </c>
      <c r="BL26" s="6">
        <v>86100</v>
      </c>
      <c r="BM26" s="6">
        <v>0</v>
      </c>
      <c r="BN26" s="6">
        <v>1824600</v>
      </c>
      <c r="BO26" s="3">
        <v>236.37813333558537</v>
      </c>
      <c r="BP26" s="7">
        <v>66215200</v>
      </c>
      <c r="BQ26" s="2">
        <v>78.994680000675615</v>
      </c>
      <c r="BR26" s="2">
        <v>342.31028000292764</v>
      </c>
    </row>
    <row r="27" spans="1:70">
      <c r="A27">
        <v>2000</v>
      </c>
      <c r="B27" s="1">
        <v>139615</v>
      </c>
      <c r="C27" s="2">
        <v>8075817.9243453536</v>
      </c>
      <c r="D27" s="3">
        <v>20.375506593038178</v>
      </c>
      <c r="E27" s="1">
        <v>83769</v>
      </c>
      <c r="F27" s="4">
        <v>0.45349495199806528</v>
      </c>
      <c r="G27" s="4">
        <v>0.48508896483932351</v>
      </c>
      <c r="H27" s="4">
        <v>0.14742530179730148</v>
      </c>
      <c r="I27" s="4">
        <v>0.31890056785745746</v>
      </c>
      <c r="J27" s="5">
        <v>7.2763344725898529</v>
      </c>
      <c r="K27">
        <v>1457</v>
      </c>
      <c r="L27">
        <v>13657</v>
      </c>
      <c r="M27">
        <v>17964</v>
      </c>
      <c r="N27">
        <v>33078</v>
      </c>
      <c r="O27" s="6">
        <v>10927500</v>
      </c>
      <c r="P27" s="6">
        <v>34142500</v>
      </c>
      <c r="Q27" s="6">
        <v>21556800</v>
      </c>
      <c r="R27" s="6">
        <f t="shared" si="0"/>
        <v>66626800</v>
      </c>
      <c r="S27" s="2">
        <v>10.251666666666667</v>
      </c>
      <c r="T27" s="2">
        <v>12.809333333333333</v>
      </c>
      <c r="U27" s="2">
        <v>5.0546666666666669</v>
      </c>
      <c r="V27" s="2">
        <v>28.115666666666666</v>
      </c>
      <c r="W27">
        <v>46</v>
      </c>
      <c r="X27">
        <v>0</v>
      </c>
      <c r="Y27">
        <v>0</v>
      </c>
      <c r="Z27">
        <v>46</v>
      </c>
      <c r="AA27" s="2">
        <v>2371028.8639383079</v>
      </c>
      <c r="AB27" s="6">
        <v>1113200</v>
      </c>
      <c r="AC27" s="6">
        <v>0</v>
      </c>
      <c r="AD27" s="6">
        <v>0</v>
      </c>
      <c r="AE27" s="6">
        <v>1113200</v>
      </c>
      <c r="AF27" s="3">
        <v>9.2944974221799885</v>
      </c>
      <c r="AG27">
        <v>46</v>
      </c>
      <c r="AH27">
        <v>0</v>
      </c>
      <c r="AI27">
        <v>0</v>
      </c>
      <c r="AJ27">
        <v>46</v>
      </c>
      <c r="AK27" s="2">
        <v>4346288.678891873</v>
      </c>
      <c r="AL27" s="6">
        <v>358800</v>
      </c>
      <c r="AM27" s="6">
        <v>0</v>
      </c>
      <c r="AN27" s="6">
        <v>0</v>
      </c>
      <c r="AO27" s="6">
        <v>358800</v>
      </c>
      <c r="AP27" s="3">
        <v>0.24353993738936577</v>
      </c>
      <c r="AQ27">
        <v>0</v>
      </c>
      <c r="AR27">
        <v>0</v>
      </c>
      <c r="AS27">
        <v>0</v>
      </c>
      <c r="AT27">
        <v>0</v>
      </c>
      <c r="AU27" s="2">
        <v>0</v>
      </c>
      <c r="AV27" s="6">
        <v>0</v>
      </c>
      <c r="AW27" s="6">
        <v>0</v>
      </c>
      <c r="AX27" s="6">
        <v>0</v>
      </c>
      <c r="AY27" s="6">
        <v>0</v>
      </c>
      <c r="AZ27" s="3">
        <v>0</v>
      </c>
      <c r="BA27">
        <v>60</v>
      </c>
      <c r="BB27">
        <v>2</v>
      </c>
      <c r="BC27">
        <v>0</v>
      </c>
      <c r="BD27">
        <v>62</v>
      </c>
      <c r="BE27" s="2">
        <v>1358500.3815151735</v>
      </c>
      <c r="BF27" s="6">
        <v>341100</v>
      </c>
      <c r="BG27" s="6">
        <v>176100</v>
      </c>
      <c r="BH27" s="6">
        <v>0</v>
      </c>
      <c r="BI27" s="6">
        <v>517200</v>
      </c>
      <c r="BJ27" s="3">
        <v>239.57959325990785</v>
      </c>
      <c r="BK27" s="6">
        <v>1813100</v>
      </c>
      <c r="BL27" s="6">
        <v>176100</v>
      </c>
      <c r="BM27" s="6">
        <v>0</v>
      </c>
      <c r="BN27" s="6">
        <v>1989200</v>
      </c>
      <c r="BO27" s="3">
        <v>249.11763061947721</v>
      </c>
      <c r="BP27" s="7">
        <v>68616000</v>
      </c>
      <c r="BQ27" s="2">
        <v>83.16998918584315</v>
      </c>
      <c r="BR27" s="2">
        <v>360.40328647198703</v>
      </c>
    </row>
    <row r="28" spans="1:70">
      <c r="A28">
        <v>2001</v>
      </c>
      <c r="B28" s="1">
        <v>142805</v>
      </c>
      <c r="C28" s="2">
        <v>8645817.1279021949</v>
      </c>
      <c r="D28" s="3">
        <v>20.911223425823181</v>
      </c>
      <c r="E28" s="1">
        <v>85683</v>
      </c>
      <c r="F28" s="4">
        <v>0.45707099515552485</v>
      </c>
      <c r="G28" s="4">
        <v>0.49439599246318433</v>
      </c>
      <c r="H28" s="4">
        <v>0.15568995874208938</v>
      </c>
      <c r="I28" s="4">
        <v>0.327672304852971</v>
      </c>
      <c r="J28" s="5">
        <v>7.4159398869477648</v>
      </c>
      <c r="K28">
        <v>1573</v>
      </c>
      <c r="L28">
        <v>14088</v>
      </c>
      <c r="M28">
        <v>18276</v>
      </c>
      <c r="N28">
        <v>33937</v>
      </c>
      <c r="O28" s="6">
        <v>11797500</v>
      </c>
      <c r="P28" s="6">
        <v>35220000</v>
      </c>
      <c r="Q28" s="6">
        <v>21931200</v>
      </c>
      <c r="R28" s="6">
        <f t="shared" si="0"/>
        <v>68948700</v>
      </c>
      <c r="S28" s="2">
        <v>11.036666666666667</v>
      </c>
      <c r="T28" s="2">
        <v>13.173333333333334</v>
      </c>
      <c r="U28" s="2">
        <v>5.1267333333333331</v>
      </c>
      <c r="V28" s="2">
        <v>29.336733333333335</v>
      </c>
      <c r="W28">
        <v>49</v>
      </c>
      <c r="X28">
        <v>0</v>
      </c>
      <c r="Y28">
        <v>0</v>
      </c>
      <c r="Z28">
        <v>49</v>
      </c>
      <c r="AA28" s="2">
        <v>2529987.5078224773</v>
      </c>
      <c r="AB28" s="6">
        <v>1215200</v>
      </c>
      <c r="AC28" s="6">
        <v>0</v>
      </c>
      <c r="AD28" s="6">
        <v>0</v>
      </c>
      <c r="AE28" s="6">
        <v>1215200</v>
      </c>
      <c r="AF28" s="3">
        <v>9.8318772374704242</v>
      </c>
      <c r="AG28">
        <v>49</v>
      </c>
      <c r="AH28">
        <v>0</v>
      </c>
      <c r="AI28">
        <v>0</v>
      </c>
      <c r="AJ28">
        <v>49</v>
      </c>
      <c r="AK28" s="2">
        <v>4711069.867558849</v>
      </c>
      <c r="AL28" s="6">
        <v>382200</v>
      </c>
      <c r="AM28" s="6">
        <v>0</v>
      </c>
      <c r="AN28" s="6">
        <v>0</v>
      </c>
      <c r="AO28" s="6">
        <v>382200</v>
      </c>
      <c r="AP28" s="3">
        <v>0.25904727386396054</v>
      </c>
      <c r="AQ28">
        <v>0</v>
      </c>
      <c r="AR28">
        <v>0</v>
      </c>
      <c r="AS28">
        <v>0</v>
      </c>
      <c r="AT28">
        <v>0</v>
      </c>
      <c r="AU28" s="2">
        <v>0</v>
      </c>
      <c r="AV28" s="6">
        <v>0</v>
      </c>
      <c r="AW28" s="6">
        <v>0</v>
      </c>
      <c r="AX28" s="6">
        <v>0</v>
      </c>
      <c r="AY28" s="6">
        <v>0</v>
      </c>
      <c r="AZ28" s="3">
        <v>0</v>
      </c>
      <c r="BA28">
        <v>61</v>
      </c>
      <c r="BB28">
        <v>2</v>
      </c>
      <c r="BC28">
        <v>0</v>
      </c>
      <c r="BD28">
        <v>63</v>
      </c>
      <c r="BE28" s="2">
        <v>1404759.752520869</v>
      </c>
      <c r="BF28" s="6">
        <v>349530</v>
      </c>
      <c r="BG28" s="6">
        <v>168300</v>
      </c>
      <c r="BH28" s="6">
        <v>0</v>
      </c>
      <c r="BI28" s="6">
        <v>517830</v>
      </c>
      <c r="BJ28" s="3">
        <v>252.1232892879583</v>
      </c>
      <c r="BK28" s="6">
        <v>1946930</v>
      </c>
      <c r="BL28" s="6">
        <v>168300</v>
      </c>
      <c r="BM28" s="6">
        <v>0</v>
      </c>
      <c r="BN28" s="6">
        <v>2115230</v>
      </c>
      <c r="BO28" s="3">
        <v>262.21421379929268</v>
      </c>
      <c r="BP28" s="7">
        <v>71063930</v>
      </c>
      <c r="BQ28" s="2">
        <v>87.465284139787798</v>
      </c>
      <c r="BR28" s="2">
        <v>379.01623127241379</v>
      </c>
    </row>
    <row r="29" spans="1:70">
      <c r="A29">
        <v>2002</v>
      </c>
      <c r="B29" s="1">
        <v>146077</v>
      </c>
      <c r="C29" s="2">
        <v>9253572.8973971233</v>
      </c>
      <c r="D29" s="3">
        <v>21.500329184835319</v>
      </c>
      <c r="E29" s="1">
        <v>87646</v>
      </c>
      <c r="F29" s="4">
        <v>0.46089993916736366</v>
      </c>
      <c r="G29" s="4">
        <v>0.50342795585137257</v>
      </c>
      <c r="H29" s="4">
        <v>0.1652103180960765</v>
      </c>
      <c r="I29" s="4">
        <v>0.33717889440571241</v>
      </c>
      <c r="J29" s="5">
        <v>7.5514193377705885</v>
      </c>
      <c r="K29">
        <v>1698</v>
      </c>
      <c r="L29">
        <v>14544</v>
      </c>
      <c r="M29">
        <v>18590</v>
      </c>
      <c r="N29">
        <v>34832</v>
      </c>
      <c r="O29" s="6">
        <v>12735000</v>
      </c>
      <c r="P29" s="6">
        <v>36360000</v>
      </c>
      <c r="Q29" s="6">
        <v>22308000</v>
      </c>
      <c r="R29" s="6">
        <f t="shared" si="0"/>
        <v>71403000</v>
      </c>
      <c r="S29" s="2">
        <v>11.873333333333333</v>
      </c>
      <c r="T29" s="2">
        <v>13.554</v>
      </c>
      <c r="U29" s="2">
        <v>5.1971999999999996</v>
      </c>
      <c r="V29" s="2">
        <v>30.624533333333332</v>
      </c>
      <c r="W29">
        <v>52</v>
      </c>
      <c r="X29">
        <v>0</v>
      </c>
      <c r="Y29">
        <v>0</v>
      </c>
      <c r="Z29">
        <v>52</v>
      </c>
      <c r="AA29" s="2">
        <v>2697833.6030395101</v>
      </c>
      <c r="AB29" s="6">
        <v>1279200</v>
      </c>
      <c r="AC29" s="6">
        <v>0</v>
      </c>
      <c r="AD29" s="6">
        <v>0</v>
      </c>
      <c r="AE29" s="6">
        <v>1279200</v>
      </c>
      <c r="AF29" s="3">
        <v>10.385175599052083</v>
      </c>
      <c r="AG29">
        <v>52</v>
      </c>
      <c r="AH29">
        <v>0</v>
      </c>
      <c r="AI29">
        <v>0</v>
      </c>
      <c r="AJ29">
        <v>52</v>
      </c>
      <c r="AK29" s="2">
        <v>5103257.9447880648</v>
      </c>
      <c r="AL29" s="6">
        <v>399360</v>
      </c>
      <c r="AM29" s="6">
        <v>0</v>
      </c>
      <c r="AN29" s="6">
        <v>0</v>
      </c>
      <c r="AO29" s="6">
        <v>399360</v>
      </c>
      <c r="AP29" s="3">
        <v>0.27509275139449768</v>
      </c>
      <c r="AQ29">
        <v>0</v>
      </c>
      <c r="AR29">
        <v>0</v>
      </c>
      <c r="AS29">
        <v>0</v>
      </c>
      <c r="AT29">
        <v>0</v>
      </c>
      <c r="AU29" s="2">
        <v>0</v>
      </c>
      <c r="AV29" s="6">
        <v>0</v>
      </c>
      <c r="AW29" s="6">
        <v>0</v>
      </c>
      <c r="AX29" s="6">
        <v>0</v>
      </c>
      <c r="AY29" s="6">
        <v>0</v>
      </c>
      <c r="AZ29" s="3">
        <v>0</v>
      </c>
      <c r="BA29">
        <v>63</v>
      </c>
      <c r="BB29">
        <v>2</v>
      </c>
      <c r="BC29">
        <v>0</v>
      </c>
      <c r="BD29">
        <v>65</v>
      </c>
      <c r="BE29" s="2">
        <v>1452481.3495695472</v>
      </c>
      <c r="BF29" s="6">
        <v>366660</v>
      </c>
      <c r="BG29" s="6">
        <v>168300</v>
      </c>
      <c r="BH29" s="6">
        <v>0</v>
      </c>
      <c r="BI29" s="6">
        <v>534960</v>
      </c>
      <c r="BJ29" s="3">
        <v>265.01799355349198</v>
      </c>
      <c r="BK29" s="6">
        <v>2045220</v>
      </c>
      <c r="BL29" s="6">
        <v>168300</v>
      </c>
      <c r="BM29" s="6">
        <v>0</v>
      </c>
      <c r="BN29" s="6">
        <v>2213520</v>
      </c>
      <c r="BO29" s="3">
        <v>275.67826190393856</v>
      </c>
      <c r="BP29" s="7">
        <v>73616520</v>
      </c>
      <c r="BQ29" s="2">
        <v>91.890838571181561</v>
      </c>
      <c r="BR29" s="2">
        <v>398.19363380845346</v>
      </c>
    </row>
    <row r="30" spans="1:70">
      <c r="A30">
        <v>2003</v>
      </c>
      <c r="B30" s="1">
        <v>149434</v>
      </c>
      <c r="C30" s="2">
        <v>9902203.7767505851</v>
      </c>
      <c r="D30" s="3">
        <v>22.148144549338802</v>
      </c>
      <c r="E30" s="1">
        <v>89660</v>
      </c>
      <c r="F30" s="4">
        <v>0.46499232236448562</v>
      </c>
      <c r="G30" s="4">
        <v>0.51219298438061356</v>
      </c>
      <c r="H30" s="4">
        <v>0.17621239855012075</v>
      </c>
      <c r="I30" s="4">
        <v>0.34751372112363316</v>
      </c>
      <c r="J30" s="5">
        <v>7.6828947657092028</v>
      </c>
      <c r="K30">
        <v>1833</v>
      </c>
      <c r="L30">
        <v>15027</v>
      </c>
      <c r="M30">
        <v>18905</v>
      </c>
      <c r="N30">
        <v>35765</v>
      </c>
      <c r="O30" s="6">
        <v>13747500</v>
      </c>
      <c r="P30" s="6">
        <v>37567500</v>
      </c>
      <c r="Q30" s="6">
        <v>22686000</v>
      </c>
      <c r="R30" s="6">
        <f t="shared" si="0"/>
        <v>74001000</v>
      </c>
      <c r="S30" s="2">
        <v>12.763333333333334</v>
      </c>
      <c r="T30" s="2">
        <v>13.952222222222222</v>
      </c>
      <c r="U30" s="2">
        <v>5.2659333333333329</v>
      </c>
      <c r="V30" s="2">
        <v>31.981488888888887</v>
      </c>
      <c r="W30">
        <v>55</v>
      </c>
      <c r="X30">
        <v>0</v>
      </c>
      <c r="Y30">
        <v>0</v>
      </c>
      <c r="Z30">
        <v>55</v>
      </c>
      <c r="AA30" s="2">
        <v>2875203.1405839329</v>
      </c>
      <c r="AB30" s="6">
        <v>1347500</v>
      </c>
      <c r="AC30" s="6">
        <v>0</v>
      </c>
      <c r="AD30" s="6">
        <v>0</v>
      </c>
      <c r="AE30" s="6">
        <v>1347500</v>
      </c>
      <c r="AF30" s="3">
        <v>10.954773389486958</v>
      </c>
      <c r="AG30">
        <v>55</v>
      </c>
      <c r="AH30">
        <v>0</v>
      </c>
      <c r="AI30">
        <v>0</v>
      </c>
      <c r="AJ30">
        <v>55</v>
      </c>
      <c r="AK30" s="2">
        <v>5525226.9756339397</v>
      </c>
      <c r="AL30" s="6">
        <v>435600</v>
      </c>
      <c r="AM30" s="6">
        <v>0</v>
      </c>
      <c r="AN30" s="6">
        <v>0</v>
      </c>
      <c r="AO30" s="6">
        <v>435600</v>
      </c>
      <c r="AP30" s="3">
        <v>0.29168805898553773</v>
      </c>
      <c r="AQ30">
        <v>0</v>
      </c>
      <c r="AR30">
        <v>0</v>
      </c>
      <c r="AS30">
        <v>0</v>
      </c>
      <c r="AT30">
        <v>0</v>
      </c>
      <c r="AU30" s="2">
        <v>0</v>
      </c>
      <c r="AV30" s="6">
        <v>0</v>
      </c>
      <c r="AW30" s="6">
        <v>0</v>
      </c>
      <c r="AX30" s="6">
        <v>0</v>
      </c>
      <c r="AY30" s="6">
        <v>0</v>
      </c>
      <c r="AZ30" s="3">
        <v>0</v>
      </c>
      <c r="BA30">
        <v>65</v>
      </c>
      <c r="BB30">
        <v>2</v>
      </c>
      <c r="BC30">
        <v>0</v>
      </c>
      <c r="BD30">
        <v>67</v>
      </c>
      <c r="BE30" s="2">
        <v>1501773.6605327136</v>
      </c>
      <c r="BF30" s="6">
        <v>378300</v>
      </c>
      <c r="BG30" s="6">
        <v>169600</v>
      </c>
      <c r="BH30" s="6">
        <v>0</v>
      </c>
      <c r="BI30" s="6">
        <v>547900</v>
      </c>
      <c r="BJ30" s="3">
        <v>278.27313841074277</v>
      </c>
      <c r="BK30" s="6">
        <v>2161400</v>
      </c>
      <c r="BL30" s="6">
        <v>169600</v>
      </c>
      <c r="BM30" s="6">
        <v>0</v>
      </c>
      <c r="BN30" s="6">
        <v>2331000</v>
      </c>
      <c r="BO30" s="3">
        <v>289.51959985921525</v>
      </c>
      <c r="BP30" s="7">
        <v>76332000</v>
      </c>
      <c r="BQ30" s="2">
        <v>96.450326624431227</v>
      </c>
      <c r="BR30" s="2">
        <v>417.95141537253534</v>
      </c>
    </row>
    <row r="31" spans="1:70">
      <c r="A31">
        <v>2004</v>
      </c>
      <c r="B31" s="1">
        <v>152880</v>
      </c>
      <c r="C31" s="2">
        <v>10595271.823952923</v>
      </c>
      <c r="D31" s="3">
        <v>22.860520451401797</v>
      </c>
      <c r="E31" s="1">
        <v>91728</v>
      </c>
      <c r="F31" s="4">
        <v>0.46935787136837032</v>
      </c>
      <c r="G31" s="4">
        <v>0.5206989671682406</v>
      </c>
      <c r="H31" s="4">
        <v>0.18896681629238779</v>
      </c>
      <c r="I31" s="4">
        <v>0.35877771203249859</v>
      </c>
      <c r="J31" s="5">
        <v>7.8104845075236096</v>
      </c>
      <c r="K31">
        <v>1977</v>
      </c>
      <c r="L31">
        <v>15538</v>
      </c>
      <c r="M31">
        <v>19222</v>
      </c>
      <c r="N31">
        <v>36737</v>
      </c>
      <c r="O31" s="6">
        <v>14827500</v>
      </c>
      <c r="P31" s="6">
        <v>38845000</v>
      </c>
      <c r="Q31" s="6">
        <v>23066400</v>
      </c>
      <c r="R31" s="6">
        <f t="shared" si="0"/>
        <v>76738900</v>
      </c>
      <c r="S31" s="2">
        <v>13.713333333333333</v>
      </c>
      <c r="T31" s="2">
        <v>14.36888888888889</v>
      </c>
      <c r="U31" s="2">
        <v>5.3327333333333335</v>
      </c>
      <c r="V31" s="2">
        <v>33.414955555555551</v>
      </c>
      <c r="W31">
        <v>58</v>
      </c>
      <c r="X31">
        <v>0</v>
      </c>
      <c r="Y31">
        <v>0</v>
      </c>
      <c r="Z31">
        <v>58</v>
      </c>
      <c r="AA31" s="2">
        <v>3062818.7098743408</v>
      </c>
      <c r="AB31" s="6">
        <v>1432600</v>
      </c>
      <c r="AC31" s="6">
        <v>0</v>
      </c>
      <c r="AD31" s="6">
        <v>0</v>
      </c>
      <c r="AE31" s="6">
        <v>1432600</v>
      </c>
      <c r="AF31" s="3">
        <v>11.541053211957227</v>
      </c>
      <c r="AG31">
        <v>58</v>
      </c>
      <c r="AH31">
        <v>0</v>
      </c>
      <c r="AI31">
        <v>0</v>
      </c>
      <c r="AJ31">
        <v>58</v>
      </c>
      <c r="AK31" s="2">
        <v>5979680.5592005206</v>
      </c>
      <c r="AL31" s="6">
        <v>452400</v>
      </c>
      <c r="AM31" s="6">
        <v>0</v>
      </c>
      <c r="AN31" s="6">
        <v>0</v>
      </c>
      <c r="AO31" s="6">
        <v>452400</v>
      </c>
      <c r="AP31" s="3">
        <v>0.30884504692096088</v>
      </c>
      <c r="AQ31">
        <v>0</v>
      </c>
      <c r="AR31">
        <v>0</v>
      </c>
      <c r="AS31">
        <v>0</v>
      </c>
      <c r="AT31">
        <v>0</v>
      </c>
      <c r="AU31" s="2">
        <v>0</v>
      </c>
      <c r="AV31" s="6">
        <v>0</v>
      </c>
      <c r="AW31" s="6">
        <v>0</v>
      </c>
      <c r="AX31" s="6">
        <v>0</v>
      </c>
      <c r="AY31" s="6">
        <v>0</v>
      </c>
      <c r="AZ31" s="3">
        <v>0</v>
      </c>
      <c r="BA31">
        <v>66</v>
      </c>
      <c r="BB31">
        <v>2</v>
      </c>
      <c r="BC31">
        <v>0</v>
      </c>
      <c r="BD31">
        <v>68</v>
      </c>
      <c r="BE31" s="2">
        <v>1552772.5548780621</v>
      </c>
      <c r="BF31" s="6">
        <v>369270</v>
      </c>
      <c r="BG31" s="6">
        <v>170900</v>
      </c>
      <c r="BH31" s="6">
        <v>0</v>
      </c>
      <c r="BI31" s="6">
        <v>540170</v>
      </c>
      <c r="BJ31" s="3">
        <v>291.89803209765142</v>
      </c>
      <c r="BK31" s="6">
        <v>2254270</v>
      </c>
      <c r="BL31" s="6">
        <v>170900</v>
      </c>
      <c r="BM31" s="6">
        <v>0</v>
      </c>
      <c r="BN31" s="6">
        <v>2425170</v>
      </c>
      <c r="BO31" s="3">
        <v>303.74793035652959</v>
      </c>
      <c r="BP31" s="7">
        <v>79164070</v>
      </c>
      <c r="BQ31" s="2">
        <v>101.14886577362553</v>
      </c>
      <c r="BR31" s="2">
        <v>438.31175168571065</v>
      </c>
    </row>
    <row r="32" spans="1:70">
      <c r="A32">
        <v>2005</v>
      </c>
      <c r="B32" s="1">
        <v>156419</v>
      </c>
      <c r="C32" s="2">
        <v>11336614.128597187</v>
      </c>
      <c r="D32" s="3">
        <v>23.64389092028382</v>
      </c>
      <c r="E32" s="1">
        <v>93851</v>
      </c>
      <c r="F32" s="4">
        <v>0.47400538588295077</v>
      </c>
      <c r="G32" s="4">
        <v>0.52895356017293393</v>
      </c>
      <c r="H32" s="4">
        <v>0.20379646266797663</v>
      </c>
      <c r="I32" s="4">
        <v>0.37107852430534893</v>
      </c>
      <c r="J32" s="5">
        <v>7.9343034025940087</v>
      </c>
      <c r="K32">
        <v>2132</v>
      </c>
      <c r="L32">
        <v>16080</v>
      </c>
      <c r="M32">
        <v>19540</v>
      </c>
      <c r="N32">
        <v>37752</v>
      </c>
      <c r="O32" s="6">
        <v>15990000</v>
      </c>
      <c r="P32" s="6">
        <v>40200000</v>
      </c>
      <c r="Q32" s="6">
        <v>23448000</v>
      </c>
      <c r="R32" s="6">
        <f t="shared" si="0"/>
        <v>79638000</v>
      </c>
      <c r="S32" s="2">
        <v>14.725</v>
      </c>
      <c r="T32" s="2">
        <v>14.805333333333333</v>
      </c>
      <c r="U32" s="2">
        <v>5.3972666666666669</v>
      </c>
      <c r="V32" s="2">
        <v>34.927599999999998</v>
      </c>
      <c r="W32">
        <v>62</v>
      </c>
      <c r="X32">
        <v>0</v>
      </c>
      <c r="Y32">
        <v>0</v>
      </c>
      <c r="Z32">
        <v>62</v>
      </c>
      <c r="AA32" s="2">
        <v>3261448.0963673643</v>
      </c>
      <c r="AB32" s="6">
        <v>1506600</v>
      </c>
      <c r="AC32" s="6">
        <v>0</v>
      </c>
      <c r="AD32" s="6">
        <v>0</v>
      </c>
      <c r="AE32" s="6">
        <v>1506600</v>
      </c>
      <c r="AF32" s="3">
        <v>12.14441300966036</v>
      </c>
      <c r="AG32">
        <v>62</v>
      </c>
      <c r="AH32">
        <v>0</v>
      </c>
      <c r="AI32">
        <v>0</v>
      </c>
      <c r="AJ32">
        <v>62</v>
      </c>
      <c r="AK32" s="2">
        <v>6469567.864443657</v>
      </c>
      <c r="AL32" s="6">
        <v>473680</v>
      </c>
      <c r="AM32" s="6">
        <v>0</v>
      </c>
      <c r="AN32" s="6">
        <v>0</v>
      </c>
      <c r="AO32" s="6">
        <v>473680</v>
      </c>
      <c r="AP32" s="3">
        <v>0.32657600781376056</v>
      </c>
      <c r="AQ32">
        <v>0</v>
      </c>
      <c r="AR32">
        <v>0</v>
      </c>
      <c r="AS32">
        <v>0</v>
      </c>
      <c r="AT32">
        <v>0</v>
      </c>
      <c r="AU32" s="2">
        <v>0</v>
      </c>
      <c r="AV32" s="6">
        <v>0</v>
      </c>
      <c r="AW32" s="6">
        <v>0</v>
      </c>
      <c r="AX32" s="6">
        <v>0</v>
      </c>
      <c r="AY32" s="6">
        <v>0</v>
      </c>
      <c r="AZ32" s="3">
        <v>0</v>
      </c>
      <c r="BA32">
        <v>68</v>
      </c>
      <c r="BB32">
        <v>2</v>
      </c>
      <c r="BC32">
        <v>0</v>
      </c>
      <c r="BD32">
        <v>70</v>
      </c>
      <c r="BE32" s="2">
        <v>1605598.1677861654</v>
      </c>
      <c r="BF32" s="6">
        <v>380460</v>
      </c>
      <c r="BG32" s="6">
        <v>172200</v>
      </c>
      <c r="BH32" s="6">
        <v>0</v>
      </c>
      <c r="BI32" s="6">
        <v>552660</v>
      </c>
      <c r="BJ32" s="3">
        <v>305.90232856857193</v>
      </c>
      <c r="BK32" s="6">
        <v>2360740</v>
      </c>
      <c r="BL32" s="6">
        <v>172200</v>
      </c>
      <c r="BM32" s="6">
        <v>0</v>
      </c>
      <c r="BN32" s="6">
        <v>2532940</v>
      </c>
      <c r="BO32" s="3">
        <v>318.37331758604603</v>
      </c>
      <c r="BP32" s="7">
        <v>82170940</v>
      </c>
      <c r="BQ32" s="2">
        <v>105.9902752758138</v>
      </c>
      <c r="BR32" s="2">
        <v>459.29119286185983</v>
      </c>
    </row>
    <row r="33" spans="1:70">
      <c r="A33">
        <v>2006</v>
      </c>
      <c r="B33" s="1">
        <v>160057</v>
      </c>
      <c r="C33" s="2">
        <v>12130887.745094782</v>
      </c>
      <c r="D33" s="3">
        <v>24.50533119323422</v>
      </c>
      <c r="E33" s="1">
        <v>96034</v>
      </c>
      <c r="F33" s="4">
        <v>0.47894262634369172</v>
      </c>
      <c r="G33" s="4">
        <v>0.53696419308559917</v>
      </c>
      <c r="H33" s="4">
        <v>0.22108404010560131</v>
      </c>
      <c r="I33" s="4">
        <v>0.38452867956065745</v>
      </c>
      <c r="J33" s="5">
        <v>8.0544628962839884</v>
      </c>
      <c r="K33">
        <v>2300</v>
      </c>
      <c r="L33">
        <v>16657</v>
      </c>
      <c r="M33">
        <v>19860</v>
      </c>
      <c r="N33">
        <v>38817</v>
      </c>
      <c r="O33" s="6">
        <v>17250000</v>
      </c>
      <c r="P33" s="6">
        <v>41642500</v>
      </c>
      <c r="Q33" s="6">
        <v>23832000</v>
      </c>
      <c r="R33" s="6">
        <f t="shared" si="0"/>
        <v>82724500</v>
      </c>
      <c r="S33" s="2">
        <v>15.806666666666667</v>
      </c>
      <c r="T33" s="2">
        <v>15.262444444444444</v>
      </c>
      <c r="U33" s="2">
        <v>5.4593333333333334</v>
      </c>
      <c r="V33" s="2">
        <v>36.528444444444446</v>
      </c>
      <c r="W33">
        <v>66</v>
      </c>
      <c r="X33">
        <v>0</v>
      </c>
      <c r="Y33">
        <v>0</v>
      </c>
      <c r="Z33">
        <v>66</v>
      </c>
      <c r="AA33" s="2">
        <v>3472024.6888361834</v>
      </c>
      <c r="AB33" s="6">
        <v>1636800</v>
      </c>
      <c r="AC33" s="6">
        <v>0</v>
      </c>
      <c r="AD33" s="6">
        <v>0</v>
      </c>
      <c r="AE33" s="6">
        <v>1636800</v>
      </c>
      <c r="AF33" s="3">
        <v>12.765233760670627</v>
      </c>
      <c r="AG33">
        <v>66</v>
      </c>
      <c r="AH33">
        <v>0</v>
      </c>
      <c r="AI33">
        <v>0</v>
      </c>
      <c r="AJ33">
        <v>66</v>
      </c>
      <c r="AK33" s="2">
        <v>6998414.6294360831</v>
      </c>
      <c r="AL33" s="6">
        <v>514800</v>
      </c>
      <c r="AM33" s="6">
        <v>0</v>
      </c>
      <c r="AN33" s="6">
        <v>0</v>
      </c>
      <c r="AO33" s="6">
        <v>514800</v>
      </c>
      <c r="AP33" s="3">
        <v>0.34489300948747043</v>
      </c>
      <c r="AQ33">
        <v>0</v>
      </c>
      <c r="AR33">
        <v>0</v>
      </c>
      <c r="AS33">
        <v>0</v>
      </c>
      <c r="AT33">
        <v>0</v>
      </c>
      <c r="AU33" s="2">
        <v>0</v>
      </c>
      <c r="AV33" s="6">
        <v>0</v>
      </c>
      <c r="AW33" s="6">
        <v>0</v>
      </c>
      <c r="AX33" s="6">
        <v>0</v>
      </c>
      <c r="AY33" s="6">
        <v>0</v>
      </c>
      <c r="AZ33" s="3">
        <v>0</v>
      </c>
      <c r="BA33">
        <v>70</v>
      </c>
      <c r="BB33">
        <v>2</v>
      </c>
      <c r="BC33">
        <v>0</v>
      </c>
      <c r="BD33">
        <v>72</v>
      </c>
      <c r="BE33" s="2">
        <v>1660448.4268225152</v>
      </c>
      <c r="BF33" s="6">
        <v>413700</v>
      </c>
      <c r="BG33" s="6">
        <v>176100</v>
      </c>
      <c r="BH33" s="6">
        <v>0</v>
      </c>
      <c r="BI33" s="6">
        <v>589800</v>
      </c>
      <c r="BJ33" s="3">
        <v>320.29494676471103</v>
      </c>
      <c r="BK33" s="6">
        <v>2565300</v>
      </c>
      <c r="BL33" s="6">
        <v>176100</v>
      </c>
      <c r="BM33" s="6">
        <v>0</v>
      </c>
      <c r="BN33" s="6">
        <v>2741400</v>
      </c>
      <c r="BO33" s="3">
        <v>333.40507353486913</v>
      </c>
      <c r="BP33" s="7">
        <v>85465900</v>
      </c>
      <c r="BQ33" s="2">
        <v>110.98005539379407</v>
      </c>
      <c r="BR33" s="2">
        <v>480.91357337310768</v>
      </c>
    </row>
    <row r="34" spans="1:70">
      <c r="A34">
        <v>2007</v>
      </c>
      <c r="B34" s="1">
        <v>163799</v>
      </c>
      <c r="C34" s="2">
        <v>12983107.201120114</v>
      </c>
      <c r="D34" s="3">
        <v>25.452621617546377</v>
      </c>
      <c r="E34" s="1">
        <v>98279</v>
      </c>
      <c r="F34" s="4">
        <v>0.48417619887261548</v>
      </c>
      <c r="G34" s="4">
        <v>0.54473807601659208</v>
      </c>
      <c r="H34" s="4">
        <v>0.24127804344763082</v>
      </c>
      <c r="I34" s="4">
        <v>0.39924209317809106</v>
      </c>
      <c r="J34" s="5">
        <v>8.1710711402488805</v>
      </c>
      <c r="K34">
        <v>2481</v>
      </c>
      <c r="L34">
        <v>17269</v>
      </c>
      <c r="M34">
        <v>20182</v>
      </c>
      <c r="N34">
        <v>39932</v>
      </c>
      <c r="O34" s="6">
        <v>18607500</v>
      </c>
      <c r="P34" s="6">
        <v>43172500</v>
      </c>
      <c r="Q34" s="6">
        <v>24218400</v>
      </c>
      <c r="R34" s="6">
        <f t="shared" si="0"/>
        <v>85998400</v>
      </c>
      <c r="S34" s="2">
        <v>16.961666666666666</v>
      </c>
      <c r="T34" s="2">
        <v>15.741555555555555</v>
      </c>
      <c r="U34" s="2">
        <v>5.5188666666666668</v>
      </c>
      <c r="V34" s="2">
        <v>38.222088888888891</v>
      </c>
      <c r="W34">
        <v>70</v>
      </c>
      <c r="X34">
        <v>0</v>
      </c>
      <c r="Y34">
        <v>0</v>
      </c>
      <c r="Z34">
        <v>70</v>
      </c>
      <c r="AA34" s="2">
        <v>3695538.0283971811</v>
      </c>
      <c r="AB34" s="6">
        <v>1715000</v>
      </c>
      <c r="AC34" s="6">
        <v>0</v>
      </c>
      <c r="AD34" s="6">
        <v>0</v>
      </c>
      <c r="AE34" s="6">
        <v>1715000</v>
      </c>
      <c r="AF34" s="3">
        <v>13.403920199739007</v>
      </c>
      <c r="AG34">
        <v>70</v>
      </c>
      <c r="AH34">
        <v>0</v>
      </c>
      <c r="AI34">
        <v>0</v>
      </c>
      <c r="AJ34">
        <v>70</v>
      </c>
      <c r="AK34" s="2">
        <v>7570073.4097471666</v>
      </c>
      <c r="AL34" s="6">
        <v>554400</v>
      </c>
      <c r="AM34" s="6">
        <v>0</v>
      </c>
      <c r="AN34" s="6">
        <v>0</v>
      </c>
      <c r="AO34" s="6">
        <v>554400</v>
      </c>
      <c r="AP34" s="3">
        <v>0.36380872888427579</v>
      </c>
      <c r="AQ34">
        <v>0</v>
      </c>
      <c r="AR34">
        <v>0</v>
      </c>
      <c r="AS34">
        <v>0</v>
      </c>
      <c r="AT34">
        <v>0</v>
      </c>
      <c r="AU34" s="2">
        <v>0</v>
      </c>
      <c r="AV34" s="6">
        <v>0</v>
      </c>
      <c r="AW34" s="6">
        <v>0</v>
      </c>
      <c r="AX34" s="6">
        <v>0</v>
      </c>
      <c r="AY34" s="6">
        <v>0</v>
      </c>
      <c r="AZ34" s="3">
        <v>0</v>
      </c>
      <c r="BA34">
        <v>72</v>
      </c>
      <c r="BB34">
        <v>2</v>
      </c>
      <c r="BC34">
        <v>0</v>
      </c>
      <c r="BD34">
        <v>74</v>
      </c>
      <c r="BE34" s="2">
        <v>1717495.7629757661</v>
      </c>
      <c r="BF34" s="6">
        <v>422280</v>
      </c>
      <c r="BG34" s="6">
        <v>169600</v>
      </c>
      <c r="BH34" s="6">
        <v>0</v>
      </c>
      <c r="BI34" s="6">
        <v>591880</v>
      </c>
      <c r="BJ34" s="3">
        <v>335.08546757852719</v>
      </c>
      <c r="BK34" s="6">
        <v>2691680</v>
      </c>
      <c r="BL34" s="6">
        <v>169600</v>
      </c>
      <c r="BM34" s="6">
        <v>0</v>
      </c>
      <c r="BN34" s="6">
        <v>2861280</v>
      </c>
      <c r="BO34" s="3">
        <v>348.85319650715047</v>
      </c>
      <c r="BP34" s="7">
        <v>88859680</v>
      </c>
      <c r="BQ34" s="2">
        <v>116.1225856188118</v>
      </c>
      <c r="BR34" s="2">
        <v>503.19787101485116</v>
      </c>
    </row>
    <row r="35" spans="1:70">
      <c r="A35">
        <v>2008</v>
      </c>
      <c r="B35" s="1">
        <v>167652</v>
      </c>
      <c r="C35" s="2">
        <v>13899247.026173569</v>
      </c>
      <c r="D35" s="3">
        <v>26.494317921017405</v>
      </c>
      <c r="E35" s="1">
        <v>100591</v>
      </c>
      <c r="F35" s="4">
        <v>0.48971150669465763</v>
      </c>
      <c r="G35" s="4">
        <v>0.55228220598530287</v>
      </c>
      <c r="H35" s="4">
        <v>0.26489460580188268</v>
      </c>
      <c r="I35" s="4">
        <v>0.41532826839038689</v>
      </c>
      <c r="J35" s="5">
        <v>8.2842330897795424</v>
      </c>
      <c r="K35">
        <v>2677</v>
      </c>
      <c r="L35">
        <v>17922</v>
      </c>
      <c r="M35">
        <v>20505</v>
      </c>
      <c r="N35">
        <v>41104</v>
      </c>
      <c r="O35" s="6">
        <v>20077500</v>
      </c>
      <c r="P35" s="6">
        <v>44805000</v>
      </c>
      <c r="Q35" s="6">
        <v>24606000</v>
      </c>
      <c r="R35" s="6">
        <f t="shared" si="0"/>
        <v>89488500</v>
      </c>
      <c r="S35" s="2">
        <v>18.196666666666665</v>
      </c>
      <c r="T35" s="2">
        <v>16.244222222222223</v>
      </c>
      <c r="U35" s="2">
        <v>5.5755999999999997</v>
      </c>
      <c r="V35" s="2">
        <v>40.016488888888894</v>
      </c>
      <c r="W35">
        <v>74</v>
      </c>
      <c r="X35">
        <v>0</v>
      </c>
      <c r="Y35">
        <v>0</v>
      </c>
      <c r="Z35">
        <v>74</v>
      </c>
      <c r="AA35" s="2">
        <v>3933164.6594693433</v>
      </c>
      <c r="AB35" s="6">
        <v>1805600</v>
      </c>
      <c r="AC35" s="6">
        <v>0</v>
      </c>
      <c r="AD35" s="6">
        <v>0</v>
      </c>
      <c r="AE35" s="6">
        <v>1805600</v>
      </c>
      <c r="AF35" s="3">
        <v>14.060866792011366</v>
      </c>
      <c r="AG35">
        <v>74</v>
      </c>
      <c r="AH35">
        <v>0</v>
      </c>
      <c r="AI35">
        <v>0</v>
      </c>
      <c r="AJ35">
        <v>74</v>
      </c>
      <c r="AK35" s="2">
        <v>8189099.6861865036</v>
      </c>
      <c r="AL35" s="6">
        <v>574240</v>
      </c>
      <c r="AM35" s="6">
        <v>0</v>
      </c>
      <c r="AN35" s="6">
        <v>0</v>
      </c>
      <c r="AO35" s="6">
        <v>574240</v>
      </c>
      <c r="AP35" s="3">
        <v>0.38333575460642877</v>
      </c>
      <c r="AQ35">
        <v>0</v>
      </c>
      <c r="AR35">
        <v>0</v>
      </c>
      <c r="AS35">
        <v>0</v>
      </c>
      <c r="AT35">
        <v>0</v>
      </c>
      <c r="AU35" s="2">
        <v>0</v>
      </c>
      <c r="AV35" s="6">
        <v>0</v>
      </c>
      <c r="AW35" s="6">
        <v>0</v>
      </c>
      <c r="AX35" s="6">
        <v>0</v>
      </c>
      <c r="AY35" s="6">
        <v>0</v>
      </c>
      <c r="AZ35" s="3">
        <v>0</v>
      </c>
      <c r="BA35">
        <v>74</v>
      </c>
      <c r="BB35">
        <v>2</v>
      </c>
      <c r="BC35">
        <v>0</v>
      </c>
      <c r="BD35">
        <v>76</v>
      </c>
      <c r="BE35" s="2">
        <v>1776982.6805177215</v>
      </c>
      <c r="BF35" s="6">
        <v>427350</v>
      </c>
      <c r="BG35" s="6">
        <v>174800</v>
      </c>
      <c r="BH35" s="6">
        <v>0</v>
      </c>
      <c r="BI35" s="6">
        <v>602150</v>
      </c>
      <c r="BJ35" s="3">
        <v>350.28298096256447</v>
      </c>
      <c r="BK35" s="6">
        <v>2807190</v>
      </c>
      <c r="BL35" s="6">
        <v>174800</v>
      </c>
      <c r="BM35" s="6">
        <v>0</v>
      </c>
      <c r="BN35" s="6">
        <v>2981990</v>
      </c>
      <c r="BO35" s="3">
        <v>364.72718350918228</v>
      </c>
      <c r="BP35" s="7">
        <v>92470490</v>
      </c>
      <c r="BQ35" s="2">
        <v>121.42310171942134</v>
      </c>
      <c r="BR35" s="2">
        <v>526.16677411749254</v>
      </c>
    </row>
    <row r="36" spans="1:70">
      <c r="A36">
        <v>2009</v>
      </c>
      <c r="B36" s="1">
        <v>171623</v>
      </c>
      <c r="C36" s="2">
        <v>14885937.418840628</v>
      </c>
      <c r="D36" s="3">
        <v>27.639828485481445</v>
      </c>
      <c r="E36" s="1">
        <v>102973</v>
      </c>
      <c r="F36" s="4">
        <v>0.4955525582019073</v>
      </c>
      <c r="G36" s="4">
        <v>0.55960337321794784</v>
      </c>
      <c r="H36" s="4">
        <v>0.29251084005975575</v>
      </c>
      <c r="I36" s="4">
        <v>0.43288313924062349</v>
      </c>
      <c r="J36" s="5">
        <v>8.3940505982692173</v>
      </c>
      <c r="K36">
        <v>2889</v>
      </c>
      <c r="L36">
        <v>18619</v>
      </c>
      <c r="M36">
        <v>20832</v>
      </c>
      <c r="N36">
        <v>42340</v>
      </c>
      <c r="O36" s="6">
        <v>21667500</v>
      </c>
      <c r="P36" s="6">
        <v>46547500</v>
      </c>
      <c r="Q36" s="6">
        <v>24998400</v>
      </c>
      <c r="R36" s="6">
        <f t="shared" si="0"/>
        <v>93213400</v>
      </c>
      <c r="S36" s="2">
        <v>19.518333333333334</v>
      </c>
      <c r="T36" s="2">
        <v>16.771111111111111</v>
      </c>
      <c r="U36" s="2">
        <v>5.6293333333333333</v>
      </c>
      <c r="V36" s="2">
        <v>41.918777777777777</v>
      </c>
      <c r="W36">
        <v>78</v>
      </c>
      <c r="X36">
        <v>0</v>
      </c>
      <c r="Y36">
        <v>0</v>
      </c>
      <c r="Z36">
        <v>78</v>
      </c>
      <c r="AA36" s="2">
        <v>4186191.6990985079</v>
      </c>
      <c r="AB36" s="6">
        <v>1934400</v>
      </c>
      <c r="AC36" s="6">
        <v>0</v>
      </c>
      <c r="AD36" s="6">
        <v>0</v>
      </c>
      <c r="AE36" s="6">
        <v>1934400</v>
      </c>
      <c r="AF36" s="3">
        <v>14.736471802293241</v>
      </c>
      <c r="AG36">
        <v>78</v>
      </c>
      <c r="AH36">
        <v>0</v>
      </c>
      <c r="AI36">
        <v>0</v>
      </c>
      <c r="AJ36">
        <v>78</v>
      </c>
      <c r="AK36" s="2">
        <v>8860597.6087611187</v>
      </c>
      <c r="AL36" s="6">
        <v>595920</v>
      </c>
      <c r="AM36" s="6">
        <v>0</v>
      </c>
      <c r="AN36" s="6">
        <v>0</v>
      </c>
      <c r="AO36" s="6">
        <v>595920</v>
      </c>
      <c r="AP36" s="3">
        <v>0.40348686983912252</v>
      </c>
      <c r="AQ36">
        <v>0</v>
      </c>
      <c r="AR36">
        <v>0</v>
      </c>
      <c r="AS36">
        <v>0</v>
      </c>
      <c r="AT36">
        <v>0</v>
      </c>
      <c r="AU36" s="2">
        <v>0</v>
      </c>
      <c r="AV36" s="6">
        <v>0</v>
      </c>
      <c r="AW36" s="6">
        <v>0</v>
      </c>
      <c r="AX36" s="6">
        <v>0</v>
      </c>
      <c r="AY36" s="6">
        <v>0</v>
      </c>
      <c r="AZ36" s="3">
        <v>0</v>
      </c>
      <c r="BA36">
        <v>76</v>
      </c>
      <c r="BB36">
        <v>2</v>
      </c>
      <c r="BC36">
        <v>0</v>
      </c>
      <c r="BD36">
        <v>78</v>
      </c>
      <c r="BE36" s="2">
        <v>1839148.1109810015</v>
      </c>
      <c r="BF36" s="6">
        <v>428640</v>
      </c>
      <c r="BG36" s="6">
        <v>172200</v>
      </c>
      <c r="BH36" s="6">
        <v>0</v>
      </c>
      <c r="BI36" s="6">
        <v>600840</v>
      </c>
      <c r="BJ36" s="3">
        <v>365.89658345972668</v>
      </c>
      <c r="BK36" s="6">
        <v>2958960</v>
      </c>
      <c r="BL36" s="6">
        <v>172200</v>
      </c>
      <c r="BM36" s="6">
        <v>0</v>
      </c>
      <c r="BN36" s="6">
        <v>3131160</v>
      </c>
      <c r="BO36" s="3">
        <v>381.03654213185905</v>
      </c>
      <c r="BP36" s="7">
        <v>96344560</v>
      </c>
      <c r="BQ36" s="2">
        <v>126.88659597289104</v>
      </c>
      <c r="BR36" s="2">
        <v>549.84191588252793</v>
      </c>
    </row>
    <row r="37" spans="1:70">
      <c r="A37">
        <v>2010</v>
      </c>
      <c r="B37" s="1">
        <v>175720</v>
      </c>
      <c r="C37" s="2">
        <v>17093793.501377255</v>
      </c>
      <c r="D37" s="3">
        <v>28.899499321334833</v>
      </c>
      <c r="E37" s="1">
        <v>105432</v>
      </c>
      <c r="F37" s="4">
        <v>0.50170196964684355</v>
      </c>
      <c r="G37" s="4">
        <v>0.5667081672592299</v>
      </c>
      <c r="H37" s="4">
        <v>0.32474281962366086</v>
      </c>
      <c r="I37" s="4">
        <v>0.45197555315606763</v>
      </c>
      <c r="J37" s="5">
        <v>8.5006225088884477</v>
      </c>
      <c r="K37">
        <v>3119</v>
      </c>
      <c r="L37">
        <v>19363</v>
      </c>
      <c r="M37">
        <v>21161</v>
      </c>
      <c r="N37">
        <v>43643</v>
      </c>
      <c r="O37" s="6">
        <v>23392500</v>
      </c>
      <c r="P37" s="6">
        <v>48407500</v>
      </c>
      <c r="Q37" s="6">
        <v>25393200</v>
      </c>
      <c r="R37" s="6">
        <f t="shared" si="0"/>
        <v>97193200</v>
      </c>
      <c r="S37" s="2">
        <v>20.934999999999999</v>
      </c>
      <c r="T37" s="2">
        <v>17.324222222222222</v>
      </c>
      <c r="U37" s="2">
        <v>5.6799333333333335</v>
      </c>
      <c r="V37" s="2">
        <v>43.939155555555551</v>
      </c>
      <c r="W37">
        <v>83</v>
      </c>
      <c r="X37">
        <v>0</v>
      </c>
      <c r="Y37">
        <v>0</v>
      </c>
      <c r="Z37">
        <v>83</v>
      </c>
      <c r="AA37" s="2">
        <v>4456175.4925284171</v>
      </c>
      <c r="AB37" s="6">
        <v>2025200</v>
      </c>
      <c r="AC37" s="6">
        <v>0</v>
      </c>
      <c r="AD37" s="6">
        <v>0</v>
      </c>
      <c r="AE37" s="6">
        <v>2025200</v>
      </c>
      <c r="AF37" s="3">
        <v>15.431153591424716</v>
      </c>
      <c r="AG37">
        <v>83</v>
      </c>
      <c r="AH37">
        <v>0</v>
      </c>
      <c r="AI37">
        <v>0</v>
      </c>
      <c r="AJ37">
        <v>83</v>
      </c>
      <c r="AK37" s="2">
        <v>9590693.0390305202</v>
      </c>
      <c r="AL37" s="6">
        <v>637440</v>
      </c>
      <c r="AM37" s="6">
        <v>0</v>
      </c>
      <c r="AN37" s="6">
        <v>0</v>
      </c>
      <c r="AO37" s="6">
        <v>637440</v>
      </c>
      <c r="AP37" s="3">
        <v>0.42427539077038778</v>
      </c>
      <c r="AQ37">
        <v>0</v>
      </c>
      <c r="AR37">
        <v>0</v>
      </c>
      <c r="AS37">
        <v>0</v>
      </c>
      <c r="AT37">
        <v>0</v>
      </c>
      <c r="AU37" s="2">
        <v>0</v>
      </c>
      <c r="AV37" s="6">
        <v>0</v>
      </c>
      <c r="AW37" s="6">
        <v>0</v>
      </c>
      <c r="AX37" s="6">
        <v>0</v>
      </c>
      <c r="AY37" s="6">
        <v>0</v>
      </c>
      <c r="AZ37" s="3">
        <v>0</v>
      </c>
      <c r="BA37">
        <v>124</v>
      </c>
      <c r="BB37">
        <v>4</v>
      </c>
      <c r="BC37">
        <v>0</v>
      </c>
      <c r="BD37">
        <v>128</v>
      </c>
      <c r="BE37" s="2">
        <v>3046924.9698183145</v>
      </c>
      <c r="BF37" s="6">
        <v>699360</v>
      </c>
      <c r="BG37" s="6">
        <v>341800</v>
      </c>
      <c r="BH37" s="6">
        <v>0</v>
      </c>
      <c r="BI37" s="6">
        <v>1041160</v>
      </c>
      <c r="BJ37" s="3">
        <v>381.93592835605631</v>
      </c>
      <c r="BK37" s="6">
        <v>3362000</v>
      </c>
      <c r="BL37" s="6">
        <v>341800</v>
      </c>
      <c r="BM37" s="6">
        <v>0</v>
      </c>
      <c r="BN37" s="6">
        <v>3703800</v>
      </c>
      <c r="BO37" s="3">
        <v>397.79135733825143</v>
      </c>
      <c r="BP37" s="7">
        <v>100897000</v>
      </c>
      <c r="BQ37" s="2">
        <v>132.5191538681421</v>
      </c>
      <c r="BR37" s="2">
        <v>574.24966676194913</v>
      </c>
    </row>
    <row r="38" spans="1:70">
      <c r="A38">
        <v>2011</v>
      </c>
      <c r="B38" s="1">
        <v>179951</v>
      </c>
      <c r="C38" s="2">
        <v>18466580.325686399</v>
      </c>
      <c r="D38" s="3">
        <v>30.284707510525102</v>
      </c>
      <c r="E38" s="1">
        <v>107970</v>
      </c>
      <c r="F38" s="4">
        <v>0.50799594502851697</v>
      </c>
      <c r="G38" s="4">
        <v>0.57360298290337397</v>
      </c>
      <c r="H38" s="4">
        <v>0.36219840842463358</v>
      </c>
      <c r="I38" s="4">
        <v>0.47257716009367867</v>
      </c>
      <c r="J38" s="5">
        <v>8.6040447435506096</v>
      </c>
      <c r="K38">
        <v>3368</v>
      </c>
      <c r="L38">
        <v>20153</v>
      </c>
      <c r="M38">
        <v>21502</v>
      </c>
      <c r="N38">
        <v>45023</v>
      </c>
      <c r="O38" s="6">
        <v>25260000</v>
      </c>
      <c r="P38" s="6">
        <v>50382500</v>
      </c>
      <c r="Q38" s="6">
        <v>25802400</v>
      </c>
      <c r="R38" s="6">
        <f t="shared" si="0"/>
        <v>101444900</v>
      </c>
      <c r="S38" s="2">
        <v>22.436666666666667</v>
      </c>
      <c r="T38" s="2">
        <v>17.899333333333335</v>
      </c>
      <c r="U38" s="2">
        <v>5.7293333333333329</v>
      </c>
      <c r="V38" s="2">
        <v>46.065333333333328</v>
      </c>
      <c r="W38">
        <v>86</v>
      </c>
      <c r="X38">
        <v>0</v>
      </c>
      <c r="Y38">
        <v>0</v>
      </c>
      <c r="Z38">
        <v>86</v>
      </c>
      <c r="AA38" s="2">
        <v>4612384.0733464183</v>
      </c>
      <c r="AB38" s="6">
        <v>2089800</v>
      </c>
      <c r="AC38" s="6">
        <v>0</v>
      </c>
      <c r="AD38" s="6">
        <v>0</v>
      </c>
      <c r="AE38" s="6">
        <v>2089800</v>
      </c>
      <c r="AF38" s="3">
        <v>15.161298592137253</v>
      </c>
      <c r="AG38">
        <v>86</v>
      </c>
      <c r="AH38">
        <v>0</v>
      </c>
      <c r="AI38">
        <v>0</v>
      </c>
      <c r="AJ38">
        <v>86</v>
      </c>
      <c r="AK38" s="2">
        <v>10708688.644273648</v>
      </c>
      <c r="AL38" s="6">
        <v>681120</v>
      </c>
      <c r="AM38" s="6">
        <v>0</v>
      </c>
      <c r="AN38" s="6">
        <v>0</v>
      </c>
      <c r="AO38" s="6">
        <v>681120</v>
      </c>
      <c r="AP38" s="3">
        <v>0.49354890607202878</v>
      </c>
      <c r="AQ38">
        <v>0</v>
      </c>
      <c r="AR38">
        <v>0</v>
      </c>
      <c r="AS38">
        <v>0</v>
      </c>
      <c r="AT38">
        <v>0</v>
      </c>
      <c r="AU38" s="2">
        <v>0</v>
      </c>
      <c r="AV38" s="6">
        <v>0</v>
      </c>
      <c r="AW38" s="6">
        <v>0</v>
      </c>
      <c r="AX38" s="6">
        <v>0</v>
      </c>
      <c r="AY38" s="6">
        <v>0</v>
      </c>
      <c r="AZ38" s="3">
        <v>0</v>
      </c>
      <c r="BA38">
        <v>127</v>
      </c>
      <c r="BB38">
        <v>4</v>
      </c>
      <c r="BC38">
        <v>0</v>
      </c>
      <c r="BD38">
        <v>131</v>
      </c>
      <c r="BE38" s="2">
        <v>3145507.6080663307</v>
      </c>
      <c r="BF38" s="6">
        <v>716280</v>
      </c>
      <c r="BG38" s="6">
        <v>344400</v>
      </c>
      <c r="BH38" s="6">
        <v>0</v>
      </c>
      <c r="BI38" s="6">
        <v>1060680</v>
      </c>
      <c r="BJ38" s="3">
        <v>384.74322403282696</v>
      </c>
      <c r="BK38" s="6">
        <v>3487200</v>
      </c>
      <c r="BL38" s="6">
        <v>344400</v>
      </c>
      <c r="BM38" s="6">
        <v>0</v>
      </c>
      <c r="BN38" s="6">
        <v>3831600</v>
      </c>
      <c r="BO38" s="3">
        <v>400.39807153103624</v>
      </c>
      <c r="BP38" s="7">
        <v>105276500</v>
      </c>
      <c r="BQ38" s="2">
        <v>133.93902145931088</v>
      </c>
      <c r="BR38" s="2">
        <v>580.4024263236804</v>
      </c>
    </row>
    <row r="39" spans="1:70">
      <c r="A39">
        <v>2012</v>
      </c>
      <c r="B39" s="1">
        <v>184325</v>
      </c>
      <c r="C39" s="2">
        <v>19937294.02185804</v>
      </c>
      <c r="D39" s="3">
        <v>31.807963961961388</v>
      </c>
      <c r="E39" s="1">
        <v>110595</v>
      </c>
      <c r="F39" s="4">
        <v>0.51460881951015314</v>
      </c>
      <c r="G39" s="4">
        <v>0.58029402594987389</v>
      </c>
      <c r="H39" s="4">
        <v>0.40539285334027231</v>
      </c>
      <c r="I39" s="4">
        <v>0.49469076653637895</v>
      </c>
      <c r="J39" s="5">
        <v>8.7044103892481086</v>
      </c>
      <c r="K39">
        <v>3638</v>
      </c>
      <c r="L39">
        <v>20999</v>
      </c>
      <c r="M39">
        <v>21847</v>
      </c>
      <c r="N39">
        <v>46484</v>
      </c>
      <c r="O39" s="6">
        <v>27285000</v>
      </c>
      <c r="P39" s="6">
        <v>52497500</v>
      </c>
      <c r="Q39" s="6">
        <v>26216400</v>
      </c>
      <c r="R39" s="6">
        <f t="shared" si="0"/>
        <v>105998900</v>
      </c>
      <c r="S39" s="2">
        <v>24.048333333333332</v>
      </c>
      <c r="T39" s="2">
        <v>18.503555555555554</v>
      </c>
      <c r="U39" s="2">
        <v>5.775266666666667</v>
      </c>
      <c r="V39" s="2">
        <v>48.327155555555549</v>
      </c>
      <c r="W39">
        <v>89</v>
      </c>
      <c r="X39">
        <v>0</v>
      </c>
      <c r="Y39">
        <v>0</v>
      </c>
      <c r="Z39">
        <v>89</v>
      </c>
      <c r="AA39" s="2">
        <v>4782871.5902410354</v>
      </c>
      <c r="AB39" s="6">
        <v>2162700</v>
      </c>
      <c r="AC39" s="6">
        <v>0</v>
      </c>
      <c r="AD39" s="6">
        <v>0</v>
      </c>
      <c r="AE39" s="6">
        <v>2162700</v>
      </c>
      <c r="AF39" s="3">
        <v>14.932733829707592</v>
      </c>
      <c r="AG39">
        <v>89</v>
      </c>
      <c r="AH39">
        <v>0</v>
      </c>
      <c r="AI39">
        <v>0</v>
      </c>
      <c r="AJ39">
        <v>89</v>
      </c>
      <c r="AK39" s="2">
        <v>11903835.809962928</v>
      </c>
      <c r="AL39" s="6">
        <v>683520</v>
      </c>
      <c r="AM39" s="6">
        <v>0</v>
      </c>
      <c r="AN39" s="6">
        <v>0</v>
      </c>
      <c r="AO39" s="6">
        <v>683520</v>
      </c>
      <c r="AP39" s="3">
        <v>0.56388158302718971</v>
      </c>
      <c r="AQ39">
        <v>0</v>
      </c>
      <c r="AR39">
        <v>0</v>
      </c>
      <c r="AS39">
        <v>0</v>
      </c>
      <c r="AT39">
        <v>0</v>
      </c>
      <c r="AU39" s="2">
        <v>0</v>
      </c>
      <c r="AV39" s="6">
        <v>0</v>
      </c>
      <c r="AW39" s="6">
        <v>0</v>
      </c>
      <c r="AX39" s="6">
        <v>0</v>
      </c>
      <c r="AY39" s="6">
        <v>0</v>
      </c>
      <c r="AZ39" s="3">
        <v>0</v>
      </c>
      <c r="BA39">
        <v>131</v>
      </c>
      <c r="BB39">
        <v>4</v>
      </c>
      <c r="BC39">
        <v>0</v>
      </c>
      <c r="BD39">
        <v>135</v>
      </c>
      <c r="BE39" s="2">
        <v>3250586.6216540756</v>
      </c>
      <c r="BF39" s="6">
        <v>744735</v>
      </c>
      <c r="BG39" s="6">
        <v>344400</v>
      </c>
      <c r="BH39" s="6">
        <v>0</v>
      </c>
      <c r="BI39" s="6">
        <v>1089135</v>
      </c>
      <c r="BJ39" s="3">
        <v>388.83847369820518</v>
      </c>
      <c r="BK39" s="6">
        <v>3590955</v>
      </c>
      <c r="BL39" s="6">
        <v>344400</v>
      </c>
      <c r="BM39" s="6">
        <v>0</v>
      </c>
      <c r="BN39" s="6">
        <v>3935355</v>
      </c>
      <c r="BO39" s="3">
        <v>404.33508911093998</v>
      </c>
      <c r="BP39" s="7">
        <v>109934255</v>
      </c>
      <c r="BQ39" s="2">
        <v>135.79867339994865</v>
      </c>
      <c r="BR39" s="2">
        <v>588.46091806644426</v>
      </c>
    </row>
    <row r="40" spans="1:70">
      <c r="A40">
        <v>2013</v>
      </c>
      <c r="B40" s="1">
        <v>188850</v>
      </c>
      <c r="C40" s="2">
        <v>21523586.147123773</v>
      </c>
      <c r="D40" s="3">
        <v>33.483026407411252</v>
      </c>
      <c r="E40" s="1">
        <v>113310</v>
      </c>
      <c r="F40" s="4">
        <v>0.52153811571916409</v>
      </c>
      <c r="G40" s="4">
        <v>0.58678731878913071</v>
      </c>
      <c r="H40" s="4">
        <v>0.4546160486032324</v>
      </c>
      <c r="I40" s="4">
        <v>0.51816790796021373</v>
      </c>
      <c r="J40" s="5">
        <v>8.8018097818369601</v>
      </c>
      <c r="K40">
        <v>3933</v>
      </c>
      <c r="L40">
        <v>21906</v>
      </c>
      <c r="M40">
        <v>22197</v>
      </c>
      <c r="N40">
        <v>48036</v>
      </c>
      <c r="O40" s="6">
        <v>29497500</v>
      </c>
      <c r="P40" s="6">
        <v>54765000</v>
      </c>
      <c r="Q40" s="6">
        <v>26636400</v>
      </c>
      <c r="R40" s="6">
        <f t="shared" si="0"/>
        <v>110898900</v>
      </c>
      <c r="S40" s="2">
        <v>25.774999999999999</v>
      </c>
      <c r="T40" s="2">
        <v>19.137777777777778</v>
      </c>
      <c r="U40" s="2">
        <v>5.8175999999999997</v>
      </c>
      <c r="V40" s="2">
        <v>50.730377777777775</v>
      </c>
      <c r="W40">
        <v>92</v>
      </c>
      <c r="X40">
        <v>0</v>
      </c>
      <c r="Y40">
        <v>0</v>
      </c>
      <c r="Z40">
        <v>92</v>
      </c>
      <c r="AA40" s="2">
        <v>4969281.2448384203</v>
      </c>
      <c r="AB40" s="6">
        <v>2244800</v>
      </c>
      <c r="AC40" s="6">
        <v>0</v>
      </c>
      <c r="AD40" s="6">
        <v>0</v>
      </c>
      <c r="AE40" s="6">
        <v>2244800</v>
      </c>
      <c r="AF40" s="3">
        <v>14.743630268748371</v>
      </c>
      <c r="AG40">
        <v>92</v>
      </c>
      <c r="AH40">
        <v>0</v>
      </c>
      <c r="AI40">
        <v>0</v>
      </c>
      <c r="AJ40">
        <v>92</v>
      </c>
      <c r="AK40" s="2">
        <v>13191543.867835192</v>
      </c>
      <c r="AL40" s="6">
        <v>724960</v>
      </c>
      <c r="AM40" s="6">
        <v>0</v>
      </c>
      <c r="AN40" s="6">
        <v>0</v>
      </c>
      <c r="AO40" s="6">
        <v>724960</v>
      </c>
      <c r="AP40" s="3">
        <v>0.63532269413927833</v>
      </c>
      <c r="AQ40">
        <v>0</v>
      </c>
      <c r="AR40">
        <v>0</v>
      </c>
      <c r="AS40">
        <v>0</v>
      </c>
      <c r="AT40">
        <v>0</v>
      </c>
      <c r="AU40" s="2">
        <v>0</v>
      </c>
      <c r="AV40" s="6">
        <v>0</v>
      </c>
      <c r="AW40" s="6">
        <v>0</v>
      </c>
      <c r="AX40" s="6">
        <v>0</v>
      </c>
      <c r="AY40" s="6">
        <v>0</v>
      </c>
      <c r="AZ40" s="3">
        <v>0</v>
      </c>
      <c r="BA40">
        <v>134</v>
      </c>
      <c r="BB40">
        <v>4</v>
      </c>
      <c r="BC40">
        <v>0</v>
      </c>
      <c r="BD40">
        <v>138</v>
      </c>
      <c r="BE40" s="2">
        <v>3362761.0344501627</v>
      </c>
      <c r="BF40" s="6">
        <v>749730</v>
      </c>
      <c r="BG40" s="6">
        <v>334000</v>
      </c>
      <c r="BH40" s="6">
        <v>0</v>
      </c>
      <c r="BI40" s="6">
        <v>1083730</v>
      </c>
      <c r="BJ40" s="3">
        <v>394.13340562983677</v>
      </c>
      <c r="BK40" s="6">
        <v>3719490</v>
      </c>
      <c r="BL40" s="6">
        <v>334000</v>
      </c>
      <c r="BM40" s="6">
        <v>0</v>
      </c>
      <c r="BN40" s="6">
        <v>4053490</v>
      </c>
      <c r="BO40" s="3">
        <v>409.51235859272441</v>
      </c>
      <c r="BP40" s="7">
        <v>114952390</v>
      </c>
      <c r="BQ40" s="2">
        <v>138.07282091115064</v>
      </c>
      <c r="BR40" s="2">
        <v>598.3155572816529</v>
      </c>
    </row>
    <row r="41" spans="1:70">
      <c r="A41">
        <v>2014</v>
      </c>
      <c r="B41" s="1">
        <v>193530</v>
      </c>
      <c r="C41" s="2">
        <v>23244359.060377393</v>
      </c>
      <c r="D41" s="3">
        <v>35.325023658439392</v>
      </c>
      <c r="E41" s="1">
        <v>116118</v>
      </c>
      <c r="F41" s="4">
        <v>0.52877993778808752</v>
      </c>
      <c r="G41" s="4">
        <v>0.59308870582300999</v>
      </c>
      <c r="H41" s="4">
        <v>0.509749473858785</v>
      </c>
      <c r="I41" s="4">
        <v>0.54272996850855626</v>
      </c>
      <c r="J41" s="5">
        <v>8.8963305873451493</v>
      </c>
      <c r="K41">
        <v>4255</v>
      </c>
      <c r="L41">
        <v>22878</v>
      </c>
      <c r="M41">
        <v>22551</v>
      </c>
      <c r="N41">
        <v>49684</v>
      </c>
      <c r="O41" s="6">
        <v>31912500</v>
      </c>
      <c r="P41" s="6">
        <v>57195000</v>
      </c>
      <c r="Q41" s="6">
        <v>27061200</v>
      </c>
      <c r="R41" s="6">
        <f t="shared" si="0"/>
        <v>116168700</v>
      </c>
      <c r="S41" s="2">
        <v>27.625</v>
      </c>
      <c r="T41" s="2">
        <v>19.803111111111111</v>
      </c>
      <c r="U41" s="2">
        <v>5.8559999999999999</v>
      </c>
      <c r="V41" s="2">
        <v>53.284111111111109</v>
      </c>
      <c r="W41">
        <v>95</v>
      </c>
      <c r="X41">
        <v>0</v>
      </c>
      <c r="Y41">
        <v>0</v>
      </c>
      <c r="Z41">
        <v>95</v>
      </c>
      <c r="AA41" s="2">
        <v>5173482.3610149873</v>
      </c>
      <c r="AB41" s="6">
        <v>2308500</v>
      </c>
      <c r="AC41" s="6">
        <v>0</v>
      </c>
      <c r="AD41" s="6">
        <v>0</v>
      </c>
      <c r="AE41" s="6">
        <v>2308500</v>
      </c>
      <c r="AF41" s="3">
        <v>14.592281462256544</v>
      </c>
      <c r="AG41">
        <v>95</v>
      </c>
      <c r="AH41">
        <v>0</v>
      </c>
      <c r="AI41">
        <v>0</v>
      </c>
      <c r="AJ41">
        <v>95</v>
      </c>
      <c r="AK41" s="2">
        <v>14588153.527799886</v>
      </c>
      <c r="AL41" s="6">
        <v>737200</v>
      </c>
      <c r="AM41" s="6">
        <v>0</v>
      </c>
      <c r="AN41" s="6">
        <v>0</v>
      </c>
      <c r="AO41" s="6">
        <v>737200</v>
      </c>
      <c r="AP41" s="3">
        <v>0.7079216395192347</v>
      </c>
      <c r="AQ41">
        <v>0</v>
      </c>
      <c r="AR41">
        <v>0</v>
      </c>
      <c r="AS41">
        <v>0</v>
      </c>
      <c r="AT41">
        <v>0</v>
      </c>
      <c r="AU41" s="2">
        <v>0</v>
      </c>
      <c r="AV41" s="6">
        <v>0</v>
      </c>
      <c r="AW41" s="6">
        <v>0</v>
      </c>
      <c r="AX41" s="6">
        <v>0</v>
      </c>
      <c r="AY41" s="6">
        <v>0</v>
      </c>
      <c r="AZ41" s="3">
        <v>0</v>
      </c>
      <c r="BA41">
        <v>138</v>
      </c>
      <c r="BB41">
        <v>4</v>
      </c>
      <c r="BC41">
        <v>0</v>
      </c>
      <c r="BD41">
        <v>142</v>
      </c>
      <c r="BE41" s="2">
        <v>3482723.1715625175</v>
      </c>
      <c r="BF41" s="6">
        <v>796950</v>
      </c>
      <c r="BG41" s="6">
        <v>339200</v>
      </c>
      <c r="BH41" s="6">
        <v>0</v>
      </c>
      <c r="BI41" s="6">
        <v>1136150</v>
      </c>
      <c r="BJ41" s="3">
        <v>400.5493781689205</v>
      </c>
      <c r="BK41" s="6">
        <v>3842650</v>
      </c>
      <c r="BL41" s="6">
        <v>339200</v>
      </c>
      <c r="BM41" s="6">
        <v>0</v>
      </c>
      <c r="BN41" s="6">
        <v>4181850</v>
      </c>
      <c r="BO41" s="3">
        <v>415.84958127069626</v>
      </c>
      <c r="BP41" s="7">
        <v>120350550</v>
      </c>
      <c r="BQ41" s="2">
        <v>140.74010771454221</v>
      </c>
      <c r="BR41" s="2">
        <v>609.87380009634956</v>
      </c>
    </row>
    <row r="42" spans="1:70">
      <c r="A42">
        <v>2015</v>
      </c>
      <c r="B42" s="1">
        <v>198366</v>
      </c>
      <c r="C42" s="2">
        <v>29953655.260802716</v>
      </c>
      <c r="D42" s="3">
        <v>37.350592246650407</v>
      </c>
      <c r="E42" s="1">
        <v>119019</v>
      </c>
      <c r="F42" s="4">
        <v>0.53632906694704929</v>
      </c>
      <c r="G42" s="4">
        <v>0.59920385872519855</v>
      </c>
      <c r="H42" s="4">
        <v>0.57005390093874553</v>
      </c>
      <c r="I42" s="4">
        <v>0.56794631494731851</v>
      </c>
      <c r="J42" s="5">
        <v>8.9880578808779781</v>
      </c>
      <c r="K42">
        <v>4606</v>
      </c>
      <c r="L42">
        <v>23921</v>
      </c>
      <c r="M42">
        <v>22910</v>
      </c>
      <c r="N42">
        <v>51437</v>
      </c>
      <c r="O42" s="6">
        <v>34545000</v>
      </c>
      <c r="P42" s="6">
        <v>59802500</v>
      </c>
      <c r="Q42" s="6">
        <v>27492000</v>
      </c>
      <c r="R42" s="6">
        <f t="shared" si="0"/>
        <v>121839500</v>
      </c>
      <c r="S42" s="2">
        <v>29.606666666666666</v>
      </c>
      <c r="T42" s="2">
        <v>20.499777777777776</v>
      </c>
      <c r="U42" s="2">
        <v>5.890133333333333</v>
      </c>
      <c r="V42" s="2">
        <v>55.996577777777773</v>
      </c>
      <c r="W42">
        <v>99</v>
      </c>
      <c r="X42">
        <v>0</v>
      </c>
      <c r="Y42">
        <v>0</v>
      </c>
      <c r="Z42">
        <v>99</v>
      </c>
      <c r="AA42" s="2">
        <v>5397538.7876686286</v>
      </c>
      <c r="AB42" s="6">
        <v>2376000</v>
      </c>
      <c r="AC42" s="6">
        <v>0</v>
      </c>
      <c r="AD42" s="6">
        <v>0</v>
      </c>
      <c r="AE42" s="6">
        <v>2376000</v>
      </c>
      <c r="AF42" s="3">
        <v>14.477092746767649</v>
      </c>
      <c r="AG42">
        <v>99</v>
      </c>
      <c r="AH42">
        <v>0</v>
      </c>
      <c r="AI42">
        <v>0</v>
      </c>
      <c r="AJ42">
        <v>99</v>
      </c>
      <c r="AK42" s="2">
        <v>20944920.958136752</v>
      </c>
      <c r="AL42" s="6">
        <v>780120</v>
      </c>
      <c r="AM42" s="6">
        <v>0</v>
      </c>
      <c r="AN42" s="6">
        <v>0</v>
      </c>
      <c r="AO42" s="6">
        <v>780120</v>
      </c>
      <c r="AP42" s="3">
        <v>0.78172751186446998</v>
      </c>
      <c r="AQ42">
        <v>0</v>
      </c>
      <c r="AR42">
        <v>0</v>
      </c>
      <c r="AS42">
        <v>0</v>
      </c>
      <c r="AT42">
        <v>0</v>
      </c>
      <c r="AU42" s="2">
        <v>0</v>
      </c>
      <c r="AV42" s="6">
        <v>0</v>
      </c>
      <c r="AW42" s="6">
        <v>0</v>
      </c>
      <c r="AX42" s="6">
        <v>0</v>
      </c>
      <c r="AY42" s="6">
        <v>0</v>
      </c>
      <c r="AZ42" s="3">
        <v>0</v>
      </c>
      <c r="BA42">
        <v>142</v>
      </c>
      <c r="BB42">
        <v>5</v>
      </c>
      <c r="BC42">
        <v>0</v>
      </c>
      <c r="BD42">
        <v>147</v>
      </c>
      <c r="BE42" s="2">
        <v>3611195.5149973328</v>
      </c>
      <c r="BF42" s="6">
        <v>788100</v>
      </c>
      <c r="BG42" s="6">
        <v>437000</v>
      </c>
      <c r="BH42" s="6">
        <v>0</v>
      </c>
      <c r="BI42" s="6">
        <v>1225100</v>
      </c>
      <c r="BJ42" s="3">
        <v>408.0162011174346</v>
      </c>
      <c r="BK42" s="6">
        <v>3944220</v>
      </c>
      <c r="BL42" s="6">
        <v>437000</v>
      </c>
      <c r="BM42" s="6">
        <v>0</v>
      </c>
      <c r="BN42" s="6">
        <v>4381220</v>
      </c>
      <c r="BO42" s="3">
        <v>423.27502137606672</v>
      </c>
      <c r="BP42" s="7">
        <v>126220720</v>
      </c>
      <c r="BQ42" s="2">
        <v>143.78147974615334</v>
      </c>
      <c r="BR42" s="2">
        <v>623.05307889999779</v>
      </c>
    </row>
    <row r="43" spans="1:70">
      <c r="A43">
        <v>2016</v>
      </c>
      <c r="B43" s="1">
        <v>203349</v>
      </c>
      <c r="C43" s="2">
        <v>32508434.179596685</v>
      </c>
      <c r="D43" s="3">
        <v>39.578026681341946</v>
      </c>
      <c r="E43" s="1">
        <v>122009</v>
      </c>
      <c r="F43" s="4">
        <v>0.5442044020630985</v>
      </c>
      <c r="G43" s="4">
        <v>0.60513828154609373</v>
      </c>
      <c r="H43" s="4">
        <v>0.63398783633635525</v>
      </c>
      <c r="I43" s="4">
        <v>0.59324287996289882</v>
      </c>
      <c r="J43" s="5">
        <v>9.0770742231914063</v>
      </c>
      <c r="K43">
        <v>4989</v>
      </c>
      <c r="L43">
        <v>25039</v>
      </c>
      <c r="M43">
        <v>23272</v>
      </c>
      <c r="N43">
        <v>53300</v>
      </c>
      <c r="O43" s="6">
        <v>37417500</v>
      </c>
      <c r="P43" s="6">
        <v>62597500</v>
      </c>
      <c r="Q43" s="6">
        <v>27926400</v>
      </c>
      <c r="R43" s="6">
        <f t="shared" si="0"/>
        <v>127941400</v>
      </c>
      <c r="S43" s="2">
        <v>31.726666666666667</v>
      </c>
      <c r="T43" s="2">
        <v>21.228222222222222</v>
      </c>
      <c r="U43" s="2">
        <v>5.9189333333333334</v>
      </c>
      <c r="V43" s="2">
        <v>58.873822222222223</v>
      </c>
      <c r="W43">
        <v>103</v>
      </c>
      <c r="X43">
        <v>0</v>
      </c>
      <c r="Y43">
        <v>0</v>
      </c>
      <c r="Z43">
        <v>103</v>
      </c>
      <c r="AA43" s="2">
        <v>5643731.1170835597</v>
      </c>
      <c r="AB43" s="6">
        <v>2544100</v>
      </c>
      <c r="AC43" s="6">
        <v>0</v>
      </c>
      <c r="AD43" s="6">
        <v>0</v>
      </c>
      <c r="AE43" s="6">
        <v>2544100</v>
      </c>
      <c r="AF43" s="3">
        <v>14.396582031464142</v>
      </c>
      <c r="AG43">
        <v>103</v>
      </c>
      <c r="AH43">
        <v>0</v>
      </c>
      <c r="AI43">
        <v>0</v>
      </c>
      <c r="AJ43">
        <v>103</v>
      </c>
      <c r="AK43" s="2">
        <v>23115782.285926033</v>
      </c>
      <c r="AL43" s="6">
        <v>782800</v>
      </c>
      <c r="AM43" s="6">
        <v>0</v>
      </c>
      <c r="AN43" s="6">
        <v>0</v>
      </c>
      <c r="AO43" s="6">
        <v>782800</v>
      </c>
      <c r="AP43" s="3">
        <v>0.85679004269635484</v>
      </c>
      <c r="AQ43">
        <v>0</v>
      </c>
      <c r="AR43">
        <v>0</v>
      </c>
      <c r="AS43">
        <v>0</v>
      </c>
      <c r="AT43">
        <v>0</v>
      </c>
      <c r="AU43" s="2">
        <v>0</v>
      </c>
      <c r="AV43" s="6">
        <v>0</v>
      </c>
      <c r="AW43" s="6">
        <v>0</v>
      </c>
      <c r="AX43" s="6">
        <v>0</v>
      </c>
      <c r="AY43" s="6">
        <v>0</v>
      </c>
      <c r="AZ43" s="3">
        <v>0</v>
      </c>
      <c r="BA43">
        <v>147</v>
      </c>
      <c r="BB43">
        <v>5</v>
      </c>
      <c r="BC43">
        <v>0</v>
      </c>
      <c r="BD43">
        <v>152</v>
      </c>
      <c r="BE43" s="2">
        <v>3748920.7765870932</v>
      </c>
      <c r="BF43" s="6">
        <v>815850</v>
      </c>
      <c r="BG43" s="6">
        <v>443500</v>
      </c>
      <c r="BH43" s="6">
        <v>0</v>
      </c>
      <c r="BI43" s="6">
        <v>1259350</v>
      </c>
      <c r="BJ43" s="3">
        <v>416.4717590996006</v>
      </c>
      <c r="BK43" s="6">
        <v>4142750</v>
      </c>
      <c r="BL43" s="6">
        <v>443500</v>
      </c>
      <c r="BM43" s="6">
        <v>0</v>
      </c>
      <c r="BN43" s="6">
        <v>4586250</v>
      </c>
      <c r="BO43" s="3">
        <v>431.7251311737611</v>
      </c>
      <c r="BP43" s="7">
        <v>132527650</v>
      </c>
      <c r="BQ43" s="2">
        <v>147.179686018795</v>
      </c>
      <c r="BR43" s="2">
        <v>637.77863941477835</v>
      </c>
    </row>
    <row r="44" spans="1:70">
      <c r="A44">
        <v>2017</v>
      </c>
      <c r="B44" s="1">
        <v>208456</v>
      </c>
      <c r="C44" s="2">
        <v>35316410.110709451</v>
      </c>
      <c r="D44" s="3">
        <v>42.027444681663297</v>
      </c>
      <c r="E44" s="1">
        <v>125073</v>
      </c>
      <c r="F44" s="4">
        <v>0.55237496766104865</v>
      </c>
      <c r="G44" s="4">
        <v>0.61089731566681971</v>
      </c>
      <c r="H44" s="4">
        <v>0.69915838236996219</v>
      </c>
      <c r="I44" s="4">
        <v>0.61791099770358204</v>
      </c>
      <c r="J44" s="5">
        <v>9.163459735002295</v>
      </c>
      <c r="K44">
        <v>5407</v>
      </c>
      <c r="L44">
        <v>26233</v>
      </c>
      <c r="M44">
        <v>23633</v>
      </c>
      <c r="N44">
        <v>55273</v>
      </c>
      <c r="O44" s="6">
        <v>40552500</v>
      </c>
      <c r="P44" s="6">
        <v>65582500</v>
      </c>
      <c r="Q44" s="6">
        <v>28359600</v>
      </c>
      <c r="R44" s="6">
        <f t="shared" si="0"/>
        <v>134494600</v>
      </c>
      <c r="S44" s="2">
        <v>33.99</v>
      </c>
      <c r="T44" s="2">
        <v>21.985111111111109</v>
      </c>
      <c r="U44" s="2">
        <v>5.9417999999999997</v>
      </c>
      <c r="V44" s="2">
        <v>61.916911111111112</v>
      </c>
      <c r="W44">
        <v>108</v>
      </c>
      <c r="X44">
        <v>0</v>
      </c>
      <c r="Y44">
        <v>0</v>
      </c>
      <c r="Z44">
        <v>108</v>
      </c>
      <c r="AA44" s="2">
        <v>5914427.474544269</v>
      </c>
      <c r="AB44" s="6">
        <v>2602800</v>
      </c>
      <c r="AC44" s="6">
        <v>0</v>
      </c>
      <c r="AD44" s="6">
        <v>0</v>
      </c>
      <c r="AE44" s="6">
        <v>2602800</v>
      </c>
      <c r="AF44" s="3">
        <v>14.349369944197347</v>
      </c>
      <c r="AG44">
        <v>108</v>
      </c>
      <c r="AH44">
        <v>0</v>
      </c>
      <c r="AI44">
        <v>0</v>
      </c>
      <c r="AJ44">
        <v>108</v>
      </c>
      <c r="AK44" s="2">
        <v>25505499.051209137</v>
      </c>
      <c r="AL44" s="6">
        <v>838080</v>
      </c>
      <c r="AM44" s="6">
        <v>0</v>
      </c>
      <c r="AN44" s="6">
        <v>0</v>
      </c>
      <c r="AO44" s="6">
        <v>838080</v>
      </c>
      <c r="AP44" s="3">
        <v>0.93315919574309591</v>
      </c>
      <c r="AQ44">
        <v>0</v>
      </c>
      <c r="AR44">
        <v>0</v>
      </c>
      <c r="AS44">
        <v>0</v>
      </c>
      <c r="AT44">
        <v>0</v>
      </c>
      <c r="AU44" s="2">
        <v>0</v>
      </c>
      <c r="AV44" s="6">
        <v>0</v>
      </c>
      <c r="AW44" s="6">
        <v>0</v>
      </c>
      <c r="AX44" s="6">
        <v>0</v>
      </c>
      <c r="AY44" s="6">
        <v>0</v>
      </c>
      <c r="AZ44" s="3">
        <v>0</v>
      </c>
      <c r="BA44">
        <v>152</v>
      </c>
      <c r="BB44">
        <v>5</v>
      </c>
      <c r="BC44">
        <v>0</v>
      </c>
      <c r="BD44">
        <v>157</v>
      </c>
      <c r="BE44" s="2">
        <v>3896483.5849560453</v>
      </c>
      <c r="BF44" s="6">
        <v>884640</v>
      </c>
      <c r="BG44" s="6">
        <v>417500</v>
      </c>
      <c r="BH44" s="6">
        <v>0</v>
      </c>
      <c r="BI44" s="6">
        <v>1302140</v>
      </c>
      <c r="BJ44" s="3">
        <v>425.86101035345644</v>
      </c>
      <c r="BK44" s="6">
        <v>4325520</v>
      </c>
      <c r="BL44" s="6">
        <v>417500</v>
      </c>
      <c r="BM44" s="6">
        <v>0</v>
      </c>
      <c r="BN44" s="6">
        <v>4743020</v>
      </c>
      <c r="BO44" s="3">
        <v>441.14353949339687</v>
      </c>
      <c r="BP44" s="7">
        <v>139237620</v>
      </c>
      <c r="BQ44" s="2">
        <v>150.9181351813524</v>
      </c>
      <c r="BR44" s="2">
        <v>653.97858578586033</v>
      </c>
    </row>
    <row r="45" spans="1:70">
      <c r="A45">
        <v>2018</v>
      </c>
      <c r="B45" s="1">
        <v>213645</v>
      </c>
      <c r="C45" s="2">
        <v>38412329.421367303</v>
      </c>
      <c r="D45" s="3">
        <v>44.720968875621935</v>
      </c>
      <c r="E45" s="1">
        <v>128187</v>
      </c>
      <c r="F45" s="4">
        <v>0.56083228522136108</v>
      </c>
      <c r="G45" s="4">
        <v>0.61648614460683171</v>
      </c>
      <c r="H45" s="4">
        <v>0.76251473710681994</v>
      </c>
      <c r="I45" s="4">
        <v>0.64121182501597274</v>
      </c>
      <c r="J45" s="5">
        <v>9.2472921691024759</v>
      </c>
      <c r="K45">
        <v>5862</v>
      </c>
      <c r="L45">
        <v>27504</v>
      </c>
      <c r="M45">
        <v>23989</v>
      </c>
      <c r="N45">
        <v>57355</v>
      </c>
      <c r="O45" s="6">
        <v>43965000</v>
      </c>
      <c r="P45" s="6">
        <v>68760000</v>
      </c>
      <c r="Q45" s="6">
        <v>28786800</v>
      </c>
      <c r="R45" s="6">
        <f t="shared" si="0"/>
        <v>141511800</v>
      </c>
      <c r="S45" s="2">
        <v>36.393333333333331</v>
      </c>
      <c r="T45" s="2">
        <v>22.766444444444446</v>
      </c>
      <c r="U45" s="2">
        <v>5.9572000000000003</v>
      </c>
      <c r="V45" s="2">
        <v>65.116977777777777</v>
      </c>
      <c r="W45">
        <v>113</v>
      </c>
      <c r="X45">
        <v>0</v>
      </c>
      <c r="Y45">
        <v>0</v>
      </c>
      <c r="Z45">
        <v>113</v>
      </c>
      <c r="AA45" s="2">
        <v>6212177.8292531427</v>
      </c>
      <c r="AB45" s="6">
        <v>2734600</v>
      </c>
      <c r="AC45" s="6">
        <v>0</v>
      </c>
      <c r="AD45" s="6">
        <v>0</v>
      </c>
      <c r="AE45" s="6">
        <v>2734600</v>
      </c>
      <c r="AF45" s="3">
        <v>14.334169842941812</v>
      </c>
      <c r="AG45">
        <v>113</v>
      </c>
      <c r="AH45">
        <v>0</v>
      </c>
      <c r="AI45">
        <v>0</v>
      </c>
      <c r="AJ45">
        <v>113</v>
      </c>
      <c r="AK45" s="2">
        <v>28145778.454161033</v>
      </c>
      <c r="AL45" s="6">
        <v>863320</v>
      </c>
      <c r="AM45" s="6">
        <v>0</v>
      </c>
      <c r="AN45" s="6">
        <v>0</v>
      </c>
      <c r="AO45" s="6">
        <v>863320</v>
      </c>
      <c r="AP45" s="3">
        <v>1.010884681795341</v>
      </c>
      <c r="AQ45">
        <v>0</v>
      </c>
      <c r="AR45">
        <v>0</v>
      </c>
      <c r="AS45">
        <v>0</v>
      </c>
      <c r="AT45">
        <v>0</v>
      </c>
      <c r="AU45" s="2">
        <v>0</v>
      </c>
      <c r="AV45" s="6">
        <v>0</v>
      </c>
      <c r="AW45" s="6">
        <v>0</v>
      </c>
      <c r="AX45" s="6">
        <v>0</v>
      </c>
      <c r="AY45" s="6">
        <v>0</v>
      </c>
      <c r="AZ45" s="3">
        <v>0</v>
      </c>
      <c r="BA45">
        <v>157</v>
      </c>
      <c r="BB45">
        <v>5</v>
      </c>
      <c r="BC45">
        <v>0</v>
      </c>
      <c r="BD45">
        <v>162</v>
      </c>
      <c r="BE45" s="2">
        <v>4054373.1379531287</v>
      </c>
      <c r="BF45" s="6">
        <v>920805</v>
      </c>
      <c r="BG45" s="6">
        <v>443500</v>
      </c>
      <c r="BH45" s="6">
        <v>0</v>
      </c>
      <c r="BI45" s="6">
        <v>1364305</v>
      </c>
      <c r="BJ45" s="3">
        <v>436.13504028037983</v>
      </c>
      <c r="BK45" s="6">
        <v>4518725</v>
      </c>
      <c r="BL45" s="6">
        <v>443500</v>
      </c>
      <c r="BM45" s="6">
        <v>0</v>
      </c>
      <c r="BN45" s="6">
        <v>4962225</v>
      </c>
      <c r="BO45" s="3">
        <v>451.48009480511701</v>
      </c>
      <c r="BP45" s="7">
        <v>146474025</v>
      </c>
      <c r="BQ45" s="2">
        <v>154.97912177486842</v>
      </c>
      <c r="BR45" s="2">
        <v>671.57619435776314</v>
      </c>
    </row>
    <row r="46" spans="1:70">
      <c r="A46">
        <v>2019</v>
      </c>
      <c r="B46" s="1">
        <v>218847</v>
      </c>
      <c r="C46" s="2">
        <v>41833060.186984472</v>
      </c>
      <c r="D46" s="3">
        <v>47.682926607004951</v>
      </c>
      <c r="E46" s="1">
        <v>131308</v>
      </c>
      <c r="F46" s="4">
        <v>0.56956698852202792</v>
      </c>
      <c r="G46" s="4">
        <v>0.62190979868943308</v>
      </c>
      <c r="H46" s="4">
        <v>0.82082562397543735</v>
      </c>
      <c r="I46" s="4">
        <v>0.66248244079269347</v>
      </c>
      <c r="J46" s="5">
        <v>9.328646980341496</v>
      </c>
      <c r="K46">
        <v>6354</v>
      </c>
      <c r="L46">
        <v>28847</v>
      </c>
      <c r="M46">
        <v>24332</v>
      </c>
      <c r="N46">
        <v>59533</v>
      </c>
      <c r="O46" s="6">
        <v>47655000</v>
      </c>
      <c r="P46" s="6">
        <v>72117500</v>
      </c>
      <c r="Q46" s="6">
        <v>29198400</v>
      </c>
      <c r="R46" s="6">
        <f t="shared" si="0"/>
        <v>148970900</v>
      </c>
      <c r="S46" s="2">
        <v>38.93333333333333</v>
      </c>
      <c r="T46" s="2">
        <v>23.564444444444444</v>
      </c>
      <c r="U46" s="2">
        <v>5.9630666666666663</v>
      </c>
      <c r="V46" s="2">
        <v>68.460844444444433</v>
      </c>
      <c r="W46">
        <v>119</v>
      </c>
      <c r="X46">
        <v>0</v>
      </c>
      <c r="Y46">
        <v>0</v>
      </c>
      <c r="Z46">
        <v>119</v>
      </c>
      <c r="AA46" s="2">
        <v>6539495.1328026149</v>
      </c>
      <c r="AB46" s="6">
        <v>2951200</v>
      </c>
      <c r="AC46" s="6">
        <v>0</v>
      </c>
      <c r="AD46" s="6">
        <v>0</v>
      </c>
      <c r="AE46" s="6">
        <v>2951200</v>
      </c>
      <c r="AF46" s="3">
        <v>14.349790501498333</v>
      </c>
      <c r="AG46">
        <v>119</v>
      </c>
      <c r="AH46">
        <v>0</v>
      </c>
      <c r="AI46">
        <v>0</v>
      </c>
      <c r="AJ46">
        <v>119</v>
      </c>
      <c r="AK46" s="2">
        <v>31070861.905424513</v>
      </c>
      <c r="AL46" s="6">
        <v>932960</v>
      </c>
      <c r="AM46" s="6">
        <v>0</v>
      </c>
      <c r="AN46" s="6">
        <v>0</v>
      </c>
      <c r="AO46" s="6">
        <v>932960</v>
      </c>
      <c r="AP46" s="3">
        <v>1.0900169974831095</v>
      </c>
      <c r="AQ46">
        <v>0</v>
      </c>
      <c r="AR46">
        <v>0</v>
      </c>
      <c r="AS46">
        <v>0</v>
      </c>
      <c r="AT46">
        <v>0</v>
      </c>
      <c r="AU46" s="2">
        <v>0</v>
      </c>
      <c r="AV46" s="6">
        <v>0</v>
      </c>
      <c r="AW46" s="6">
        <v>0</v>
      </c>
      <c r="AX46" s="6">
        <v>0</v>
      </c>
      <c r="AY46" s="6">
        <v>0</v>
      </c>
      <c r="AZ46" s="3">
        <v>0</v>
      </c>
      <c r="BA46">
        <v>163</v>
      </c>
      <c r="BB46">
        <v>6</v>
      </c>
      <c r="BC46">
        <v>0</v>
      </c>
      <c r="BD46">
        <v>169</v>
      </c>
      <c r="BE46" s="2">
        <v>4222703.1487573469</v>
      </c>
      <c r="BF46" s="6">
        <v>948660</v>
      </c>
      <c r="BG46" s="6">
        <v>508800</v>
      </c>
      <c r="BH46" s="6">
        <v>0</v>
      </c>
      <c r="BI46" s="6">
        <v>1457460</v>
      </c>
      <c r="BJ46" s="3">
        <v>447.25096432315615</v>
      </c>
      <c r="BK46" s="6">
        <v>4832820</v>
      </c>
      <c r="BL46" s="6">
        <v>508800</v>
      </c>
      <c r="BM46" s="6">
        <v>0</v>
      </c>
      <c r="BN46" s="6">
        <v>5341620</v>
      </c>
      <c r="BO46" s="3">
        <v>462.69077182213761</v>
      </c>
      <c r="BP46" s="7">
        <v>154312520</v>
      </c>
      <c r="BQ46" s="2">
        <v>159.34548487997463</v>
      </c>
      <c r="BR46" s="2">
        <v>690.4971011465567</v>
      </c>
    </row>
    <row r="47" spans="1:70">
      <c r="A47">
        <v>2020</v>
      </c>
      <c r="B47" s="1">
        <v>223967</v>
      </c>
      <c r="C47" s="2">
        <v>45619296.500246517</v>
      </c>
      <c r="D47" s="3">
        <v>50.940069654829536</v>
      </c>
      <c r="E47" s="1">
        <v>134380</v>
      </c>
      <c r="F47" s="4">
        <v>0.57856905509530843</v>
      </c>
      <c r="G47" s="4">
        <v>0.62717315956940567</v>
      </c>
      <c r="H47" s="4">
        <v>0.87133432370789399</v>
      </c>
      <c r="I47" s="4">
        <v>0.68125415268596967</v>
      </c>
      <c r="J47" s="5">
        <v>9.407597393541085</v>
      </c>
      <c r="K47">
        <v>6885</v>
      </c>
      <c r="L47">
        <v>30253</v>
      </c>
      <c r="M47">
        <v>24651</v>
      </c>
      <c r="N47">
        <v>61789</v>
      </c>
      <c r="O47" s="6">
        <v>51637500</v>
      </c>
      <c r="P47" s="6">
        <v>75632500</v>
      </c>
      <c r="Q47" s="6">
        <v>29581200</v>
      </c>
      <c r="R47" s="6">
        <f t="shared" si="0"/>
        <v>156851200</v>
      </c>
      <c r="S47" s="2">
        <v>41.591666666666669</v>
      </c>
      <c r="T47" s="2">
        <v>24.368444444444446</v>
      </c>
      <c r="U47" s="2">
        <v>5.9568000000000003</v>
      </c>
      <c r="V47" s="2">
        <v>71.916911111111119</v>
      </c>
      <c r="W47">
        <v>125</v>
      </c>
      <c r="X47">
        <v>0</v>
      </c>
      <c r="Y47">
        <v>0</v>
      </c>
      <c r="Z47">
        <v>125</v>
      </c>
      <c r="AA47" s="2">
        <v>6899043.1503809318</v>
      </c>
      <c r="AB47" s="6">
        <v>3037500</v>
      </c>
      <c r="AC47" s="6">
        <v>0</v>
      </c>
      <c r="AD47" s="6">
        <v>0</v>
      </c>
      <c r="AE47" s="6">
        <v>3037500</v>
      </c>
      <c r="AF47" s="3">
        <v>14.395126925110603</v>
      </c>
      <c r="AG47">
        <v>125</v>
      </c>
      <c r="AH47">
        <v>0</v>
      </c>
      <c r="AI47">
        <v>0</v>
      </c>
      <c r="AJ47">
        <v>125</v>
      </c>
      <c r="AK47" s="2">
        <v>34318883.979985371</v>
      </c>
      <c r="AL47" s="6">
        <v>950000</v>
      </c>
      <c r="AM47" s="6">
        <v>0</v>
      </c>
      <c r="AN47" s="6">
        <v>0</v>
      </c>
      <c r="AO47" s="6">
        <v>950000</v>
      </c>
      <c r="AP47" s="3">
        <v>1.1706069692713874</v>
      </c>
      <c r="AQ47">
        <v>0</v>
      </c>
      <c r="AR47">
        <v>0</v>
      </c>
      <c r="AS47">
        <v>0</v>
      </c>
      <c r="AT47">
        <v>0</v>
      </c>
      <c r="AU47" s="2">
        <v>0</v>
      </c>
      <c r="AV47" s="6">
        <v>0</v>
      </c>
      <c r="AW47" s="6">
        <v>0</v>
      </c>
      <c r="AX47" s="6">
        <v>0</v>
      </c>
      <c r="AY47" s="6">
        <v>0</v>
      </c>
      <c r="AZ47" s="3">
        <v>0</v>
      </c>
      <c r="BA47">
        <v>169</v>
      </c>
      <c r="BB47">
        <v>6</v>
      </c>
      <c r="BC47">
        <v>0</v>
      </c>
      <c r="BD47">
        <v>175</v>
      </c>
      <c r="BE47" s="2">
        <v>4401369.3698802125</v>
      </c>
      <c r="BF47" s="6">
        <v>998790</v>
      </c>
      <c r="BG47" s="6">
        <v>532200</v>
      </c>
      <c r="BH47" s="6">
        <v>0</v>
      </c>
      <c r="BI47" s="6">
        <v>1530990</v>
      </c>
      <c r="BJ47" s="3">
        <v>459.17110874722619</v>
      </c>
      <c r="BK47" s="6">
        <v>4986290</v>
      </c>
      <c r="BL47" s="6">
        <v>532200</v>
      </c>
      <c r="BM47" s="6">
        <v>0</v>
      </c>
      <c r="BN47" s="6">
        <v>5518490</v>
      </c>
      <c r="BO47" s="3">
        <v>474.73684264160818</v>
      </c>
      <c r="BP47" s="7">
        <v>162369690</v>
      </c>
      <c r="BQ47" s="2">
        <v>163.99612612581578</v>
      </c>
      <c r="BR47" s="2">
        <v>710.64987987853499</v>
      </c>
    </row>
    <row r="48" spans="1:70">
      <c r="A48">
        <v>2021</v>
      </c>
      <c r="B48" s="1">
        <v>228885</v>
      </c>
      <c r="C48" s="2">
        <v>49815532.122944467</v>
      </c>
      <c r="D48" s="3">
        <v>54.521815849782229</v>
      </c>
      <c r="E48" s="1">
        <v>137331</v>
      </c>
      <c r="F48" s="4">
        <v>0.58782796533193349</v>
      </c>
      <c r="G48" s="4">
        <v>0.63228096462682903</v>
      </c>
      <c r="H48" s="4">
        <v>0.9123456676618138</v>
      </c>
      <c r="I48" s="4">
        <v>0.69733252420327363</v>
      </c>
      <c r="J48" s="5">
        <v>9.4842144694024348</v>
      </c>
      <c r="K48">
        <v>7451</v>
      </c>
      <c r="L48">
        <v>31710</v>
      </c>
      <c r="M48">
        <v>24931</v>
      </c>
      <c r="N48">
        <v>64092</v>
      </c>
      <c r="O48" s="6">
        <v>55882500</v>
      </c>
      <c r="P48" s="6">
        <v>79275000</v>
      </c>
      <c r="Q48" s="6">
        <v>29917200</v>
      </c>
      <c r="R48" s="6">
        <f t="shared" si="0"/>
        <v>165074700</v>
      </c>
      <c r="S48" s="2">
        <v>44.351666666666667</v>
      </c>
      <c r="T48" s="2">
        <v>25.164222222222222</v>
      </c>
      <c r="U48" s="2">
        <v>5.9355333333333338</v>
      </c>
      <c r="V48" s="2">
        <v>75.451422222222234</v>
      </c>
      <c r="W48">
        <v>132</v>
      </c>
      <c r="X48">
        <v>0</v>
      </c>
      <c r="Y48">
        <v>0</v>
      </c>
      <c r="Z48">
        <v>132</v>
      </c>
      <c r="AA48" s="2">
        <v>7293585.8388057267</v>
      </c>
      <c r="AB48" s="6">
        <v>3260400</v>
      </c>
      <c r="AC48" s="6">
        <v>0</v>
      </c>
      <c r="AD48" s="6">
        <v>0</v>
      </c>
      <c r="AE48" s="6">
        <v>3260400</v>
      </c>
      <c r="AF48" s="3">
        <v>14.469150938382912</v>
      </c>
      <c r="AG48">
        <v>132</v>
      </c>
      <c r="AH48">
        <v>0</v>
      </c>
      <c r="AI48">
        <v>0</v>
      </c>
      <c r="AJ48">
        <v>132</v>
      </c>
      <c r="AK48" s="2">
        <v>37932000.668552138</v>
      </c>
      <c r="AL48" s="6">
        <v>1003200</v>
      </c>
      <c r="AM48" s="6">
        <v>0</v>
      </c>
      <c r="AN48" s="6">
        <v>0</v>
      </c>
      <c r="AO48" s="6">
        <v>1003200</v>
      </c>
      <c r="AP48" s="3">
        <v>1.2527052137906141</v>
      </c>
      <c r="AQ48">
        <v>0</v>
      </c>
      <c r="AR48">
        <v>0</v>
      </c>
      <c r="AS48">
        <v>0</v>
      </c>
      <c r="AT48">
        <v>0</v>
      </c>
      <c r="AU48" s="2">
        <v>0</v>
      </c>
      <c r="AV48" s="6">
        <v>0</v>
      </c>
      <c r="AW48" s="6">
        <v>0</v>
      </c>
      <c r="AX48" s="6">
        <v>0</v>
      </c>
      <c r="AY48" s="6">
        <v>0</v>
      </c>
      <c r="AZ48" s="3">
        <v>0</v>
      </c>
      <c r="BA48">
        <v>175</v>
      </c>
      <c r="BB48">
        <v>6</v>
      </c>
      <c r="BC48">
        <v>0</v>
      </c>
      <c r="BD48">
        <v>181</v>
      </c>
      <c r="BE48" s="2">
        <v>4589945.6155866031</v>
      </c>
      <c r="BF48" s="6">
        <v>1018500</v>
      </c>
      <c r="BG48" s="6">
        <v>532200</v>
      </c>
      <c r="BH48" s="6">
        <v>0</v>
      </c>
      <c r="BI48" s="6">
        <v>1550700</v>
      </c>
      <c r="BJ48" s="3">
        <v>471.86222467118779</v>
      </c>
      <c r="BK48" s="6">
        <v>5282100</v>
      </c>
      <c r="BL48" s="6">
        <v>532200</v>
      </c>
      <c r="BM48" s="6">
        <v>0</v>
      </c>
      <c r="BN48" s="6">
        <v>5814300</v>
      </c>
      <c r="BO48" s="3">
        <v>487.58408082336132</v>
      </c>
      <c r="BP48" s="7">
        <v>170889000</v>
      </c>
      <c r="BQ48" s="2">
        <v>168.91065091367508</v>
      </c>
      <c r="BR48" s="2">
        <v>731.94615395925871</v>
      </c>
    </row>
    <row r="49" spans="1:70">
      <c r="A49">
        <v>2022</v>
      </c>
      <c r="B49" s="1">
        <v>233469</v>
      </c>
      <c r="C49" s="2">
        <v>54472775.528908372</v>
      </c>
      <c r="D49" s="3">
        <v>58.460514769876184</v>
      </c>
      <c r="E49" s="1">
        <v>140081</v>
      </c>
      <c r="F49" s="4">
        <v>0.59733281755710299</v>
      </c>
      <c r="G49" s="4">
        <v>0.63723781123104195</v>
      </c>
      <c r="H49" s="4">
        <v>0.94349499130050407</v>
      </c>
      <c r="I49" s="4">
        <v>0.71080832224962609</v>
      </c>
      <c r="J49" s="5">
        <v>9.558567168465629</v>
      </c>
      <c r="K49">
        <v>8053</v>
      </c>
      <c r="L49">
        <v>33200</v>
      </c>
      <c r="M49">
        <v>25160</v>
      </c>
      <c r="N49">
        <v>66413</v>
      </c>
      <c r="O49" s="6">
        <v>60397500</v>
      </c>
      <c r="P49" s="6">
        <v>83000000</v>
      </c>
      <c r="Q49" s="6">
        <v>30192000</v>
      </c>
      <c r="R49" s="6">
        <f t="shared" si="0"/>
        <v>173589500</v>
      </c>
      <c r="S49" s="2">
        <v>47.181666666666665</v>
      </c>
      <c r="T49" s="2">
        <v>25.936</v>
      </c>
      <c r="U49" s="2">
        <v>5.8963999999999999</v>
      </c>
      <c r="V49" s="2">
        <v>79.014066666666665</v>
      </c>
      <c r="W49">
        <v>139</v>
      </c>
      <c r="X49">
        <v>0</v>
      </c>
      <c r="Y49">
        <v>0</v>
      </c>
      <c r="Z49">
        <v>139</v>
      </c>
      <c r="AA49" s="2">
        <v>7726249.155502025</v>
      </c>
      <c r="AB49" s="6">
        <v>3363800</v>
      </c>
      <c r="AC49" s="6">
        <v>0</v>
      </c>
      <c r="AD49" s="6">
        <v>0</v>
      </c>
      <c r="AE49" s="6">
        <v>3363800</v>
      </c>
      <c r="AF49" s="3">
        <v>14.570915613146735</v>
      </c>
      <c r="AG49">
        <v>139</v>
      </c>
      <c r="AH49">
        <v>0</v>
      </c>
      <c r="AI49">
        <v>0</v>
      </c>
      <c r="AJ49">
        <v>139</v>
      </c>
      <c r="AK49" s="2">
        <v>41958630.527217589</v>
      </c>
      <c r="AL49" s="6">
        <v>1095320</v>
      </c>
      <c r="AM49" s="6">
        <v>0</v>
      </c>
      <c r="AN49" s="6">
        <v>0</v>
      </c>
      <c r="AO49" s="6">
        <v>1095320</v>
      </c>
      <c r="AP49" s="3">
        <v>1.3363632737602456</v>
      </c>
      <c r="AQ49">
        <v>0</v>
      </c>
      <c r="AR49">
        <v>0</v>
      </c>
      <c r="AS49">
        <v>0</v>
      </c>
      <c r="AT49">
        <v>0</v>
      </c>
      <c r="AU49" s="2">
        <v>0</v>
      </c>
      <c r="AV49" s="6">
        <v>0</v>
      </c>
      <c r="AW49" s="6">
        <v>0</v>
      </c>
      <c r="AX49" s="6">
        <v>0</v>
      </c>
      <c r="AY49" s="6">
        <v>0</v>
      </c>
      <c r="AZ49" s="3">
        <v>0</v>
      </c>
      <c r="BA49">
        <v>182</v>
      </c>
      <c r="BB49">
        <v>7</v>
      </c>
      <c r="BC49">
        <v>0</v>
      </c>
      <c r="BD49">
        <v>189</v>
      </c>
      <c r="BE49" s="2">
        <v>4787895.8461887566</v>
      </c>
      <c r="BF49" s="6">
        <v>1051050</v>
      </c>
      <c r="BG49" s="6">
        <v>584500</v>
      </c>
      <c r="BH49" s="6">
        <v>0</v>
      </c>
      <c r="BI49" s="6">
        <v>1635550</v>
      </c>
      <c r="BJ49" s="3">
        <v>485.29561039574406</v>
      </c>
      <c r="BK49" s="6">
        <v>5510170</v>
      </c>
      <c r="BL49" s="6">
        <v>584500</v>
      </c>
      <c r="BM49" s="6">
        <v>0</v>
      </c>
      <c r="BN49" s="6">
        <v>6094670</v>
      </c>
      <c r="BO49" s="3">
        <v>501.20288928265103</v>
      </c>
      <c r="BP49" s="7">
        <v>179684170</v>
      </c>
      <c r="BQ49" s="2">
        <v>174.06508678479531</v>
      </c>
      <c r="BR49" s="2">
        <v>754.28204273411302</v>
      </c>
    </row>
    <row r="50" spans="1:70">
      <c r="A50">
        <v>2023</v>
      </c>
      <c r="B50" s="1">
        <v>237596</v>
      </c>
      <c r="C50" s="2">
        <v>59654199.954802491</v>
      </c>
      <c r="D50" s="3">
        <v>62.791739915033162</v>
      </c>
      <c r="E50" s="1">
        <v>142557</v>
      </c>
      <c r="F50" s="4">
        <v>0.60707254443456016</v>
      </c>
      <c r="G50" s="4">
        <v>0.64204816087858552</v>
      </c>
      <c r="H50" s="4">
        <v>0.9656104844339517</v>
      </c>
      <c r="I50" s="4">
        <v>0.72199921201072437</v>
      </c>
      <c r="J50" s="5">
        <v>9.6307224131787823</v>
      </c>
      <c r="K50">
        <v>8685</v>
      </c>
      <c r="L50">
        <v>34706</v>
      </c>
      <c r="M50">
        <v>25322</v>
      </c>
      <c r="N50">
        <v>68713</v>
      </c>
      <c r="O50" s="6">
        <v>65137500</v>
      </c>
      <c r="P50" s="6">
        <v>86765000</v>
      </c>
      <c r="Q50" s="6">
        <v>30386400</v>
      </c>
      <c r="R50" s="6">
        <f t="shared" si="0"/>
        <v>182288900</v>
      </c>
      <c r="S50" s="2">
        <v>50.051666666666669</v>
      </c>
      <c r="T50" s="2">
        <v>26.667999999999999</v>
      </c>
      <c r="U50" s="2">
        <v>5.8372000000000002</v>
      </c>
      <c r="V50" s="2">
        <v>82.556866666666664</v>
      </c>
      <c r="W50">
        <v>148</v>
      </c>
      <c r="X50">
        <v>0</v>
      </c>
      <c r="Y50">
        <v>0</v>
      </c>
      <c r="Z50">
        <v>148</v>
      </c>
      <c r="AA50" s="2">
        <v>8201047.0453559309</v>
      </c>
      <c r="AB50" s="6">
        <v>3552000</v>
      </c>
      <c r="AC50" s="6">
        <v>0</v>
      </c>
      <c r="AD50" s="6">
        <v>0</v>
      </c>
      <c r="AE50" s="6">
        <v>3552000</v>
      </c>
      <c r="AF50" s="3">
        <v>14.699546531857946</v>
      </c>
      <c r="AG50">
        <v>148</v>
      </c>
      <c r="AH50">
        <v>0</v>
      </c>
      <c r="AI50">
        <v>0</v>
      </c>
      <c r="AJ50">
        <v>148</v>
      </c>
      <c r="AK50" s="2">
        <v>46458129.564852878</v>
      </c>
      <c r="AL50" s="6">
        <v>1160320</v>
      </c>
      <c r="AM50" s="6">
        <v>0</v>
      </c>
      <c r="AN50" s="6">
        <v>0</v>
      </c>
      <c r="AO50" s="6">
        <v>1160320</v>
      </c>
      <c r="AP50" s="3">
        <v>1.4216331074849407</v>
      </c>
      <c r="AQ50">
        <v>0</v>
      </c>
      <c r="AR50">
        <v>0</v>
      </c>
      <c r="AS50">
        <v>0</v>
      </c>
      <c r="AT50">
        <v>0</v>
      </c>
      <c r="AU50" s="2">
        <v>0</v>
      </c>
      <c r="AV50" s="6">
        <v>0</v>
      </c>
      <c r="AW50" s="6">
        <v>0</v>
      </c>
      <c r="AX50" s="6">
        <v>0</v>
      </c>
      <c r="AY50" s="6">
        <v>0</v>
      </c>
      <c r="AZ50" s="3">
        <v>0</v>
      </c>
      <c r="BA50">
        <v>189</v>
      </c>
      <c r="BB50">
        <v>7</v>
      </c>
      <c r="BC50">
        <v>0</v>
      </c>
      <c r="BD50">
        <v>196</v>
      </c>
      <c r="BE50" s="2">
        <v>4995023.3445936842</v>
      </c>
      <c r="BF50" s="6">
        <v>1108485</v>
      </c>
      <c r="BG50" s="6">
        <v>598150</v>
      </c>
      <c r="BH50" s="6">
        <v>0</v>
      </c>
      <c r="BI50" s="6">
        <v>1706635</v>
      </c>
      <c r="BJ50" s="3">
        <v>499.44641532492091</v>
      </c>
      <c r="BK50" s="6">
        <v>5820805</v>
      </c>
      <c r="BL50" s="6">
        <v>598150</v>
      </c>
      <c r="BM50" s="6">
        <v>0</v>
      </c>
      <c r="BN50" s="6">
        <v>6418955</v>
      </c>
      <c r="BO50" s="3">
        <v>515.56759496426378</v>
      </c>
      <c r="BP50" s="7">
        <v>188707855</v>
      </c>
      <c r="BQ50" s="2">
        <v>179.43733848927914</v>
      </c>
      <c r="BR50" s="2">
        <v>777.56180012020957</v>
      </c>
    </row>
    <row r="51" spans="1:70">
      <c r="A51">
        <v>2024</v>
      </c>
      <c r="B51" s="1">
        <v>241182</v>
      </c>
      <c r="C51" s="2">
        <v>65443373.305108041</v>
      </c>
      <c r="D51" s="3">
        <v>67.554609999449838</v>
      </c>
      <c r="E51" s="1">
        <v>144709</v>
      </c>
      <c r="F51" s="4">
        <v>0.61703604623827757</v>
      </c>
      <c r="G51" s="4">
        <v>0.64671634320885074</v>
      </c>
      <c r="H51" s="4">
        <v>0.98028673198011707</v>
      </c>
      <c r="I51" s="4">
        <v>0.73135095376320669</v>
      </c>
      <c r="J51" s="5">
        <v>9.7007451481327607</v>
      </c>
      <c r="K51">
        <v>9345</v>
      </c>
      <c r="L51">
        <v>36211</v>
      </c>
      <c r="M51">
        <v>25408</v>
      </c>
      <c r="N51">
        <v>70964</v>
      </c>
      <c r="O51" s="6">
        <v>70087500</v>
      </c>
      <c r="P51" s="6">
        <v>90527500</v>
      </c>
      <c r="Q51" s="6">
        <v>30489600</v>
      </c>
      <c r="R51" s="6">
        <f t="shared" si="0"/>
        <v>191104600</v>
      </c>
      <c r="S51" s="2">
        <v>52.93333333333333</v>
      </c>
      <c r="T51" s="2">
        <v>27.348222222222223</v>
      </c>
      <c r="U51" s="2">
        <v>5.7569333333333335</v>
      </c>
      <c r="V51" s="2">
        <v>86.038488888888892</v>
      </c>
      <c r="W51">
        <v>157</v>
      </c>
      <c r="X51">
        <v>0</v>
      </c>
      <c r="Y51">
        <v>0</v>
      </c>
      <c r="Z51">
        <v>157</v>
      </c>
      <c r="AA51" s="2">
        <v>8723574.6381657291</v>
      </c>
      <c r="AB51" s="6">
        <v>3799400</v>
      </c>
      <c r="AC51" s="6">
        <v>0</v>
      </c>
      <c r="AD51" s="6">
        <v>0</v>
      </c>
      <c r="AE51" s="6">
        <v>3799400</v>
      </c>
      <c r="AF51" s="3">
        <v>14.854237731041295</v>
      </c>
      <c r="AG51">
        <v>157</v>
      </c>
      <c r="AH51">
        <v>0</v>
      </c>
      <c r="AI51">
        <v>0</v>
      </c>
      <c r="AJ51">
        <v>157</v>
      </c>
      <c r="AK51" s="2">
        <v>51507782.383108512</v>
      </c>
      <c r="AL51" s="6">
        <v>1243440</v>
      </c>
      <c r="AM51" s="6">
        <v>0</v>
      </c>
      <c r="AN51" s="6">
        <v>0</v>
      </c>
      <c r="AO51" s="6">
        <v>1243440</v>
      </c>
      <c r="AP51" s="3">
        <v>1.5085671131472456</v>
      </c>
      <c r="AQ51">
        <v>0</v>
      </c>
      <c r="AR51">
        <v>0</v>
      </c>
      <c r="AS51">
        <v>0</v>
      </c>
      <c r="AT51">
        <v>0</v>
      </c>
      <c r="AU51" s="2">
        <v>0</v>
      </c>
      <c r="AV51" s="6">
        <v>0</v>
      </c>
      <c r="AW51" s="6">
        <v>0</v>
      </c>
      <c r="AX51" s="6">
        <v>0</v>
      </c>
      <c r="AY51" s="6">
        <v>0</v>
      </c>
      <c r="AZ51" s="3">
        <v>0</v>
      </c>
      <c r="BA51">
        <v>197</v>
      </c>
      <c r="BB51">
        <v>7</v>
      </c>
      <c r="BC51">
        <v>1</v>
      </c>
      <c r="BD51">
        <v>205</v>
      </c>
      <c r="BE51" s="2">
        <v>5212016.2838338008</v>
      </c>
      <c r="BF51" s="6">
        <v>1137675</v>
      </c>
      <c r="BG51" s="6">
        <v>620900</v>
      </c>
      <c r="BH51" s="6">
        <v>2311000</v>
      </c>
      <c r="BI51" s="6">
        <v>4069575</v>
      </c>
      <c r="BJ51" s="3">
        <v>514.29327323585539</v>
      </c>
      <c r="BK51" s="6">
        <v>6180515</v>
      </c>
      <c r="BL51" s="6">
        <v>620900</v>
      </c>
      <c r="BM51" s="6">
        <v>2311000</v>
      </c>
      <c r="BN51" s="6">
        <v>9112415</v>
      </c>
      <c r="BO51" s="3">
        <v>530.65607808004393</v>
      </c>
      <c r="BP51" s="7">
        <v>200217015</v>
      </c>
      <c r="BQ51" s="2">
        <v>185.00837009067985</v>
      </c>
      <c r="BR51" s="2">
        <v>801.70293705961262</v>
      </c>
    </row>
    <row r="52" spans="1:70">
      <c r="A52">
        <v>2025</v>
      </c>
      <c r="B52" s="1">
        <v>244201</v>
      </c>
      <c r="C52" s="2">
        <v>71953928.392053246</v>
      </c>
      <c r="D52" s="3">
        <v>72.792142263593831</v>
      </c>
      <c r="E52" s="1">
        <v>146520</v>
      </c>
      <c r="F52" s="4">
        <v>0.62721224895575223</v>
      </c>
      <c r="G52" s="4">
        <v>0.65124655990104685</v>
      </c>
      <c r="H52" s="4">
        <v>0.98938753736347151</v>
      </c>
      <c r="I52" s="4">
        <v>0.73933648142492281</v>
      </c>
      <c r="J52" s="5">
        <v>9.7686983985157028</v>
      </c>
      <c r="K52">
        <v>10030</v>
      </c>
      <c r="L52">
        <v>37705</v>
      </c>
      <c r="M52">
        <v>25416</v>
      </c>
      <c r="N52">
        <v>73151</v>
      </c>
      <c r="O52" s="6">
        <v>75225000</v>
      </c>
      <c r="P52" s="6">
        <v>94262500</v>
      </c>
      <c r="Q52" s="6">
        <v>30499200</v>
      </c>
      <c r="R52" s="6">
        <f t="shared" si="0"/>
        <v>199986700</v>
      </c>
      <c r="S52" s="2">
        <v>55.805</v>
      </c>
      <c r="T52" s="2">
        <v>27.971333333333334</v>
      </c>
      <c r="U52" s="2">
        <v>5.6563999999999997</v>
      </c>
      <c r="V52" s="2">
        <v>89.432733333333331</v>
      </c>
      <c r="W52">
        <v>167</v>
      </c>
      <c r="X52">
        <v>0</v>
      </c>
      <c r="Y52">
        <v>0</v>
      </c>
      <c r="Z52">
        <v>167</v>
      </c>
      <c r="AA52" s="2">
        <v>9301706.7928384542</v>
      </c>
      <c r="AB52" s="6">
        <v>4074800</v>
      </c>
      <c r="AC52" s="6">
        <v>0</v>
      </c>
      <c r="AD52" s="6">
        <v>0</v>
      </c>
      <c r="AE52" s="6">
        <v>4074800</v>
      </c>
      <c r="AF52" s="3">
        <v>15.034242714952388</v>
      </c>
      <c r="AG52">
        <v>167</v>
      </c>
      <c r="AH52">
        <v>0</v>
      </c>
      <c r="AI52">
        <v>0</v>
      </c>
      <c r="AJ52">
        <v>167</v>
      </c>
      <c r="AK52" s="2">
        <v>57211326.519345634</v>
      </c>
      <c r="AL52" s="6">
        <v>1315960</v>
      </c>
      <c r="AM52" s="6">
        <v>0</v>
      </c>
      <c r="AN52" s="6">
        <v>0</v>
      </c>
      <c r="AO52" s="6">
        <v>1315960</v>
      </c>
      <c r="AP52" s="3">
        <v>1.597217505724525</v>
      </c>
      <c r="AQ52">
        <v>0</v>
      </c>
      <c r="AR52">
        <v>0</v>
      </c>
      <c r="AS52">
        <v>0</v>
      </c>
      <c r="AT52">
        <v>0</v>
      </c>
      <c r="AU52" s="2">
        <v>0</v>
      </c>
      <c r="AV52" s="6">
        <v>0</v>
      </c>
      <c r="AW52" s="6">
        <v>0</v>
      </c>
      <c r="AX52" s="6">
        <v>0</v>
      </c>
      <c r="AY52" s="6">
        <v>0</v>
      </c>
      <c r="AZ52" s="3">
        <v>0</v>
      </c>
      <c r="BA52">
        <v>204</v>
      </c>
      <c r="BB52">
        <v>8</v>
      </c>
      <c r="BC52">
        <v>1</v>
      </c>
      <c r="BD52">
        <v>213</v>
      </c>
      <c r="BE52" s="2">
        <v>5440895.0798691632</v>
      </c>
      <c r="BF52" s="6">
        <v>1205640</v>
      </c>
      <c r="BG52" s="6">
        <v>683600</v>
      </c>
      <c r="BH52" s="6">
        <v>2395000</v>
      </c>
      <c r="BI52" s="6">
        <v>4284240</v>
      </c>
      <c r="BJ52" s="3">
        <v>529.81764889811814</v>
      </c>
      <c r="BK52" s="6">
        <v>6596400</v>
      </c>
      <c r="BL52" s="6">
        <v>683600</v>
      </c>
      <c r="BM52" s="6">
        <v>2395000</v>
      </c>
      <c r="BN52" s="6">
        <v>9675000</v>
      </c>
      <c r="BO52" s="3">
        <v>546.44910911879504</v>
      </c>
      <c r="BP52" s="7">
        <v>209661700</v>
      </c>
      <c r="BQ52" s="2">
        <v>190.76455273563849</v>
      </c>
      <c r="BR52" s="2">
        <v>826.64639518776687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E2FF7-452A-4DA2-A8A8-72E739B51C1E}">
  <dimension ref="A1:BR52"/>
  <sheetViews>
    <sheetView workbookViewId="0">
      <selection activeCell="R3" sqref="R3"/>
    </sheetView>
  </sheetViews>
  <sheetFormatPr defaultRowHeight="14.45"/>
  <cols>
    <col min="1" max="1" width="5" bestFit="1" customWidth="1"/>
    <col min="2" max="2" width="11.42578125" bestFit="1" customWidth="1"/>
    <col min="3" max="3" width="12.7109375" bestFit="1" customWidth="1"/>
    <col min="4" max="9" width="6.5703125" bestFit="1" customWidth="1"/>
    <col min="10" max="10" width="12.7109375" bestFit="1" customWidth="1"/>
    <col min="11" max="11" width="10.28515625" bestFit="1" customWidth="1"/>
    <col min="12" max="12" width="12" bestFit="1" customWidth="1"/>
    <col min="13" max="13" width="11.42578125" bestFit="1" customWidth="1"/>
    <col min="14" max="14" width="6.7109375" bestFit="1" customWidth="1"/>
    <col min="15" max="16" width="13.7109375" bestFit="1" customWidth="1"/>
    <col min="17" max="17" width="13.85546875" bestFit="1" customWidth="1"/>
    <col min="18" max="18" width="16" bestFit="1" customWidth="1"/>
    <col min="19" max="19" width="8.140625" bestFit="1" customWidth="1"/>
    <col min="20" max="20" width="8.42578125" bestFit="1" customWidth="1"/>
    <col min="21" max="21" width="8.140625" bestFit="1" customWidth="1"/>
    <col min="22" max="22" width="6.7109375" bestFit="1" customWidth="1"/>
    <col min="23" max="23" width="8.140625" bestFit="1" customWidth="1"/>
    <col min="24" max="24" width="8.42578125" bestFit="1" customWidth="1"/>
    <col min="25" max="25" width="8.28515625" bestFit="1" customWidth="1"/>
    <col min="26" max="26" width="6.7109375" bestFit="1" customWidth="1"/>
    <col min="27" max="30" width="12.7109375" bestFit="1" customWidth="1"/>
    <col min="31" max="31" width="13.7109375" bestFit="1" customWidth="1"/>
    <col min="32" max="32" width="6.5703125" bestFit="1" customWidth="1"/>
    <col min="33" max="33" width="8.28515625" bestFit="1" customWidth="1"/>
    <col min="34" max="34" width="8.5703125" bestFit="1" customWidth="1"/>
    <col min="35" max="35" width="8.42578125" bestFit="1" customWidth="1"/>
    <col min="36" max="36" width="6.7109375" bestFit="1" customWidth="1"/>
    <col min="37" max="37" width="11.7109375" bestFit="1" customWidth="1"/>
    <col min="38" max="38" width="12.7109375" bestFit="1" customWidth="1"/>
    <col min="39" max="39" width="11.140625" bestFit="1" customWidth="1"/>
    <col min="40" max="41" width="12.7109375" bestFit="1" customWidth="1"/>
    <col min="42" max="42" width="6.7109375" bestFit="1" customWidth="1"/>
    <col min="43" max="43" width="8.28515625" bestFit="1" customWidth="1"/>
    <col min="44" max="44" width="8.7109375" bestFit="1" customWidth="1"/>
    <col min="45" max="45" width="8.5703125" bestFit="1" customWidth="1"/>
    <col min="46" max="46" width="6.85546875" bestFit="1" customWidth="1"/>
    <col min="47" max="47" width="12.7109375" bestFit="1" customWidth="1"/>
    <col min="48" max="48" width="13.7109375" bestFit="1" customWidth="1"/>
    <col min="49" max="49" width="12.7109375" bestFit="1" customWidth="1"/>
    <col min="50" max="50" width="8.28515625" bestFit="1" customWidth="1"/>
    <col min="51" max="51" width="13.7109375" bestFit="1" customWidth="1"/>
    <col min="52" max="52" width="6.7109375" bestFit="1" customWidth="1"/>
    <col min="53" max="53" width="8.7109375" bestFit="1" customWidth="1"/>
    <col min="54" max="54" width="9" bestFit="1" customWidth="1"/>
    <col min="56" max="56" width="7.28515625" bestFit="1" customWidth="1"/>
    <col min="57" max="57" width="9.140625" bestFit="1" customWidth="1"/>
    <col min="58" max="58" width="10.140625" bestFit="1" customWidth="1"/>
    <col min="59" max="59" width="8.7109375" bestFit="1" customWidth="1"/>
    <col min="60" max="60" width="8.5703125" bestFit="1" customWidth="1"/>
    <col min="61" max="61" width="10.140625" bestFit="1" customWidth="1"/>
    <col min="62" max="62" width="7.140625" bestFit="1" customWidth="1"/>
    <col min="63" max="63" width="13.7109375" bestFit="1" customWidth="1"/>
    <col min="64" max="65" width="12.7109375" bestFit="1" customWidth="1"/>
    <col min="66" max="66" width="13.7109375" bestFit="1" customWidth="1"/>
    <col min="67" max="67" width="7" bestFit="1" customWidth="1"/>
    <col min="68" max="68" width="13.7109375" bestFit="1" customWidth="1"/>
    <col min="69" max="69" width="7" bestFit="1" customWidth="1"/>
    <col min="70" max="70" width="8.7109375" bestFit="1" customWidth="1"/>
  </cols>
  <sheetData>
    <row r="1" spans="1:7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2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</row>
    <row r="2" spans="1:70">
      <c r="A2">
        <v>1975</v>
      </c>
      <c r="B2" s="1">
        <v>40000</v>
      </c>
      <c r="C2" s="2">
        <v>364260.33786785434</v>
      </c>
      <c r="D2" s="3">
        <v>9.106508446696358</v>
      </c>
      <c r="E2" s="1">
        <v>24000</v>
      </c>
      <c r="F2" s="4">
        <v>0.3336805051676523</v>
      </c>
      <c r="G2" s="4">
        <v>0.2</v>
      </c>
      <c r="H2" s="4">
        <v>4.1725423456945757E-2</v>
      </c>
      <c r="I2" s="4">
        <v>0.14068696504233372</v>
      </c>
      <c r="J2" s="5">
        <v>3</v>
      </c>
      <c r="K2">
        <v>41</v>
      </c>
      <c r="L2">
        <v>3130</v>
      </c>
      <c r="M2">
        <v>6720</v>
      </c>
      <c r="N2">
        <v>9891</v>
      </c>
      <c r="O2" s="6">
        <v>307500</v>
      </c>
      <c r="P2" s="6">
        <v>7825000</v>
      </c>
      <c r="Q2" s="6">
        <v>8064000</v>
      </c>
      <c r="R2" s="6">
        <f>Q2+P2+O2</f>
        <v>16196500</v>
      </c>
      <c r="S2" s="2">
        <v>0.28000000000000003</v>
      </c>
      <c r="T2" s="2">
        <v>2.8126666666666669</v>
      </c>
      <c r="U2" s="2">
        <v>1.8115333333333334</v>
      </c>
      <c r="V2" s="2">
        <v>4.9042000000000003</v>
      </c>
      <c r="W2">
        <v>4</v>
      </c>
      <c r="X2">
        <v>0</v>
      </c>
      <c r="Y2">
        <v>0</v>
      </c>
      <c r="Z2">
        <v>4</v>
      </c>
      <c r="AA2" s="2">
        <v>158302.24287469286</v>
      </c>
      <c r="AB2" s="6">
        <v>96400</v>
      </c>
      <c r="AC2" s="6">
        <v>0</v>
      </c>
      <c r="AD2" s="6">
        <v>0</v>
      </c>
      <c r="AE2" s="6">
        <v>96400</v>
      </c>
      <c r="AF2" s="3">
        <v>0.08</v>
      </c>
      <c r="AG2">
        <v>4</v>
      </c>
      <c r="AH2">
        <v>0</v>
      </c>
      <c r="AI2">
        <v>0</v>
      </c>
      <c r="AJ2">
        <v>4</v>
      </c>
      <c r="AK2" s="2">
        <v>71179.306357815833</v>
      </c>
      <c r="AL2" s="6">
        <v>31360</v>
      </c>
      <c r="AM2" s="6">
        <v>0</v>
      </c>
      <c r="AN2" s="6">
        <v>0</v>
      </c>
      <c r="AO2" s="6">
        <v>31360</v>
      </c>
      <c r="AP2" s="3">
        <v>1.6666666666666668E-3</v>
      </c>
      <c r="AQ2">
        <v>11</v>
      </c>
      <c r="AR2">
        <v>0</v>
      </c>
      <c r="AS2">
        <v>0</v>
      </c>
      <c r="AT2">
        <v>11</v>
      </c>
      <c r="AU2" s="2">
        <v>105404.7214475221</v>
      </c>
      <c r="AV2" s="6">
        <v>97680</v>
      </c>
      <c r="AW2" s="6">
        <v>0</v>
      </c>
      <c r="AX2" s="6">
        <v>0</v>
      </c>
      <c r="AY2" s="6">
        <v>97680</v>
      </c>
      <c r="AZ2" s="3">
        <v>1</v>
      </c>
      <c r="BA2">
        <v>3</v>
      </c>
      <c r="BB2">
        <v>0</v>
      </c>
      <c r="BC2">
        <v>0</v>
      </c>
      <c r="BD2">
        <v>3</v>
      </c>
      <c r="BE2" s="2">
        <v>29374.067187823523</v>
      </c>
      <c r="BF2" s="6">
        <v>16920</v>
      </c>
      <c r="BG2" s="6">
        <v>0</v>
      </c>
      <c r="BH2" s="6">
        <v>0</v>
      </c>
      <c r="BI2" s="6">
        <v>16920</v>
      </c>
      <c r="BJ2" s="3">
        <v>1</v>
      </c>
      <c r="BK2" s="6">
        <v>242360</v>
      </c>
      <c r="BL2" s="6">
        <v>0</v>
      </c>
      <c r="BM2" s="6">
        <v>0</v>
      </c>
      <c r="BN2" s="6">
        <v>242360</v>
      </c>
      <c r="BO2" s="3">
        <v>2.0816666666666666</v>
      </c>
      <c r="BP2" s="7">
        <v>16438860</v>
      </c>
      <c r="BQ2" s="2">
        <v>2.0957599999999998</v>
      </c>
      <c r="BR2" s="2">
        <v>9.0816266666666667</v>
      </c>
    </row>
    <row r="3" spans="1:70">
      <c r="A3">
        <v>1976</v>
      </c>
      <c r="B3" s="1">
        <v>40923</v>
      </c>
      <c r="C3" s="2">
        <v>598968.53655748093</v>
      </c>
      <c r="D3" s="3">
        <v>14.636476713766854</v>
      </c>
      <c r="E3" s="1">
        <v>24553</v>
      </c>
      <c r="F3" s="4">
        <v>0.4049775439064015</v>
      </c>
      <c r="G3" s="4">
        <v>0.22717655099401726</v>
      </c>
      <c r="H3" s="4">
        <v>9.0748606983328747E-2</v>
      </c>
      <c r="I3" s="4">
        <v>0.20286702965557596</v>
      </c>
      <c r="J3" s="5">
        <v>3.4076482649102591</v>
      </c>
      <c r="K3">
        <v>82</v>
      </c>
      <c r="L3">
        <v>3958</v>
      </c>
      <c r="M3">
        <v>6305</v>
      </c>
      <c r="N3">
        <v>10345</v>
      </c>
      <c r="O3" s="6">
        <v>615000</v>
      </c>
      <c r="P3" s="6">
        <v>9895000</v>
      </c>
      <c r="Q3" s="6">
        <v>7566000</v>
      </c>
      <c r="R3" s="6">
        <v>18076000</v>
      </c>
      <c r="S3" s="2">
        <v>0.54500000000000004</v>
      </c>
      <c r="T3" s="2">
        <v>3.4793333333333334</v>
      </c>
      <c r="U3" s="2">
        <v>1.6625333333333334</v>
      </c>
      <c r="V3" s="2">
        <v>5.686866666666667</v>
      </c>
      <c r="W3">
        <v>7</v>
      </c>
      <c r="X3">
        <v>0</v>
      </c>
      <c r="Y3">
        <v>0</v>
      </c>
      <c r="Z3">
        <v>7</v>
      </c>
      <c r="AA3" s="2">
        <v>308427.97143472527</v>
      </c>
      <c r="AB3" s="6">
        <v>173600</v>
      </c>
      <c r="AC3" s="6">
        <v>0</v>
      </c>
      <c r="AD3" s="6">
        <v>0</v>
      </c>
      <c r="AE3" s="6">
        <v>173600</v>
      </c>
      <c r="AF3" s="3">
        <v>0.30451999503437854</v>
      </c>
      <c r="AG3">
        <v>7</v>
      </c>
      <c r="AH3">
        <v>0</v>
      </c>
      <c r="AI3">
        <v>0</v>
      </c>
      <c r="AJ3">
        <v>7</v>
      </c>
      <c r="AK3" s="2">
        <v>133536.80785322923</v>
      </c>
      <c r="AL3" s="6">
        <v>55440</v>
      </c>
      <c r="AM3" s="6">
        <v>0</v>
      </c>
      <c r="AN3" s="6">
        <v>0</v>
      </c>
      <c r="AO3" s="6">
        <v>55440</v>
      </c>
      <c r="AP3" s="3">
        <v>1.1171666459765773E-2</v>
      </c>
      <c r="AQ3">
        <v>13</v>
      </c>
      <c r="AR3">
        <v>0</v>
      </c>
      <c r="AS3">
        <v>0</v>
      </c>
      <c r="AT3">
        <v>13</v>
      </c>
      <c r="AU3" s="2">
        <v>123511.20818296367</v>
      </c>
      <c r="AV3" s="6">
        <v>109720</v>
      </c>
      <c r="AW3" s="6">
        <v>0</v>
      </c>
      <c r="AX3" s="6">
        <v>0</v>
      </c>
      <c r="AY3" s="6">
        <v>109720</v>
      </c>
      <c r="AZ3" s="3">
        <v>1.9949374767236494</v>
      </c>
      <c r="BA3">
        <v>4</v>
      </c>
      <c r="BB3">
        <v>0</v>
      </c>
      <c r="BC3">
        <v>0</v>
      </c>
      <c r="BD3">
        <v>4</v>
      </c>
      <c r="BE3" s="2">
        <v>33492.549086562751</v>
      </c>
      <c r="BF3" s="6">
        <v>23280</v>
      </c>
      <c r="BG3" s="6">
        <v>0</v>
      </c>
      <c r="BH3" s="6">
        <v>0</v>
      </c>
      <c r="BI3" s="6">
        <v>23280</v>
      </c>
      <c r="BJ3" s="3">
        <v>2.8109999586198211</v>
      </c>
      <c r="BK3" s="6">
        <v>362040</v>
      </c>
      <c r="BL3" s="6">
        <v>0</v>
      </c>
      <c r="BM3" s="6">
        <v>0</v>
      </c>
      <c r="BN3" s="6">
        <v>362040</v>
      </c>
      <c r="BO3" s="3">
        <v>5.1216290968376148</v>
      </c>
      <c r="BP3" s="7">
        <v>18438040</v>
      </c>
      <c r="BQ3" s="2">
        <v>3.2425487290512849</v>
      </c>
      <c r="BR3" s="2">
        <v>14.051044492555567</v>
      </c>
    </row>
    <row r="4" spans="1:70">
      <c r="A4">
        <v>1977</v>
      </c>
      <c r="B4" s="1">
        <v>41881</v>
      </c>
      <c r="C4" s="2">
        <v>777227.9961555528</v>
      </c>
      <c r="D4" s="3">
        <v>18.558009506830132</v>
      </c>
      <c r="E4" s="1">
        <v>25128</v>
      </c>
      <c r="F4" s="4">
        <v>0.44055994113548325</v>
      </c>
      <c r="G4" s="4">
        <v>0.25277046286532651</v>
      </c>
      <c r="H4" s="4">
        <v>0.15234854529297243</v>
      </c>
      <c r="I4" s="4">
        <v>0.25695468882126155</v>
      </c>
      <c r="J4" s="5">
        <v>3.7915569429798976</v>
      </c>
      <c r="K4">
        <v>125</v>
      </c>
      <c r="L4">
        <v>4458</v>
      </c>
      <c r="M4">
        <v>6167</v>
      </c>
      <c r="N4">
        <v>10750</v>
      </c>
      <c r="O4" s="6">
        <v>937500</v>
      </c>
      <c r="P4" s="6">
        <v>11145000</v>
      </c>
      <c r="Q4" s="6">
        <v>7400400</v>
      </c>
      <c r="R4" s="6">
        <v>19482900</v>
      </c>
      <c r="S4" s="2">
        <v>0.81333333333333335</v>
      </c>
      <c r="T4" s="2">
        <v>3.8593333333333333</v>
      </c>
      <c r="U4" s="2">
        <v>1.6015999999999999</v>
      </c>
      <c r="V4" s="2">
        <v>6.2742666666666658</v>
      </c>
      <c r="W4">
        <v>9</v>
      </c>
      <c r="X4">
        <v>0</v>
      </c>
      <c r="Y4">
        <v>0</v>
      </c>
      <c r="Z4">
        <v>9</v>
      </c>
      <c r="AA4" s="2">
        <v>427622.51612676587</v>
      </c>
      <c r="AB4" s="6">
        <v>217800</v>
      </c>
      <c r="AC4" s="6">
        <v>0</v>
      </c>
      <c r="AD4" s="6">
        <v>0</v>
      </c>
      <c r="AE4" s="6">
        <v>217800</v>
      </c>
      <c r="AF4" s="3">
        <v>0.54629321229835193</v>
      </c>
      <c r="AG4">
        <v>9</v>
      </c>
      <c r="AH4">
        <v>0</v>
      </c>
      <c r="AI4">
        <v>0</v>
      </c>
      <c r="AJ4">
        <v>9</v>
      </c>
      <c r="AK4" s="2">
        <v>172577.93333889276</v>
      </c>
      <c r="AL4" s="6">
        <v>71280</v>
      </c>
      <c r="AM4" s="6">
        <v>0</v>
      </c>
      <c r="AN4" s="6">
        <v>0</v>
      </c>
      <c r="AO4" s="6">
        <v>71280</v>
      </c>
      <c r="AP4" s="3">
        <v>2.1671700506224304E-2</v>
      </c>
      <c r="AQ4">
        <v>14</v>
      </c>
      <c r="AR4">
        <v>0</v>
      </c>
      <c r="AS4">
        <v>0</v>
      </c>
      <c r="AT4">
        <v>14</v>
      </c>
      <c r="AU4" s="2">
        <v>140793.51705907588</v>
      </c>
      <c r="AV4" s="6">
        <v>127400</v>
      </c>
      <c r="AW4" s="6">
        <v>0</v>
      </c>
      <c r="AX4" s="6">
        <v>0</v>
      </c>
      <c r="AY4" s="6">
        <v>127400</v>
      </c>
      <c r="AZ4" s="3">
        <v>3.054300683114052</v>
      </c>
      <c r="BA4">
        <v>4</v>
      </c>
      <c r="BB4">
        <v>0</v>
      </c>
      <c r="BC4">
        <v>0</v>
      </c>
      <c r="BD4">
        <v>4</v>
      </c>
      <c r="BE4" s="2">
        <v>36234.029630818259</v>
      </c>
      <c r="BF4" s="6">
        <v>22560</v>
      </c>
      <c r="BG4" s="6">
        <v>0</v>
      </c>
      <c r="BH4" s="6">
        <v>0</v>
      </c>
      <c r="BI4" s="6">
        <v>22560</v>
      </c>
      <c r="BJ4" s="3">
        <v>4.69693677080814</v>
      </c>
      <c r="BK4" s="6">
        <v>439040</v>
      </c>
      <c r="BL4" s="6">
        <v>0</v>
      </c>
      <c r="BM4" s="6">
        <v>0</v>
      </c>
      <c r="BN4" s="6">
        <v>439040</v>
      </c>
      <c r="BO4" s="3">
        <v>8.3192023667267687</v>
      </c>
      <c r="BP4" s="7">
        <v>19921940</v>
      </c>
      <c r="BQ4" s="2">
        <v>4.3780407100180305</v>
      </c>
      <c r="BR4" s="2">
        <v>18.971509743411467</v>
      </c>
    </row>
    <row r="5" spans="1:70">
      <c r="A5">
        <v>1978</v>
      </c>
      <c r="B5" s="1">
        <v>42882</v>
      </c>
      <c r="C5" s="2">
        <v>945171.59413132141</v>
      </c>
      <c r="D5" s="3">
        <v>22.041219955489982</v>
      </c>
      <c r="E5" s="1">
        <v>25729</v>
      </c>
      <c r="F5" s="4">
        <v>0.46633101241891811</v>
      </c>
      <c r="G5" s="4">
        <v>0.27687390134140638</v>
      </c>
      <c r="H5" s="4">
        <v>0.23257696234410546</v>
      </c>
      <c r="I5" s="4">
        <v>0.31082385143498503</v>
      </c>
      <c r="J5" s="5">
        <v>4.153108520121096</v>
      </c>
      <c r="K5">
        <v>174</v>
      </c>
      <c r="L5">
        <v>4877</v>
      </c>
      <c r="M5">
        <v>6104</v>
      </c>
      <c r="N5">
        <v>11155</v>
      </c>
      <c r="O5" s="6">
        <v>1305000</v>
      </c>
      <c r="P5" s="6">
        <v>12192500</v>
      </c>
      <c r="Q5" s="6">
        <v>7324800</v>
      </c>
      <c r="R5" s="6">
        <v>20822300</v>
      </c>
      <c r="S5" s="2">
        <v>1.1166666666666667</v>
      </c>
      <c r="T5" s="2">
        <v>4.1660000000000004</v>
      </c>
      <c r="U5" s="2">
        <v>1.5642666666666667</v>
      </c>
      <c r="V5" s="2">
        <v>6.8469333333333342</v>
      </c>
      <c r="W5">
        <v>11</v>
      </c>
      <c r="X5">
        <v>0</v>
      </c>
      <c r="Y5">
        <v>0</v>
      </c>
      <c r="Z5">
        <v>11</v>
      </c>
      <c r="AA5" s="2">
        <v>540823.71078893438</v>
      </c>
      <c r="AB5" s="6">
        <v>268400</v>
      </c>
      <c r="AC5" s="6">
        <v>0</v>
      </c>
      <c r="AD5" s="6">
        <v>0</v>
      </c>
      <c r="AE5" s="6">
        <v>268400</v>
      </c>
      <c r="AF5" s="3">
        <v>0.80163337882545604</v>
      </c>
      <c r="AG5">
        <v>11</v>
      </c>
      <c r="AH5">
        <v>0</v>
      </c>
      <c r="AI5">
        <v>0</v>
      </c>
      <c r="AJ5">
        <v>11</v>
      </c>
      <c r="AK5" s="2">
        <v>207335.09542096994</v>
      </c>
      <c r="AL5" s="6">
        <v>84480</v>
      </c>
      <c r="AM5" s="6">
        <v>0</v>
      </c>
      <c r="AN5" s="6">
        <v>0</v>
      </c>
      <c r="AO5" s="6">
        <v>84480</v>
      </c>
      <c r="AP5" s="3">
        <v>3.3026456127079461E-2</v>
      </c>
      <c r="AQ5">
        <v>16</v>
      </c>
      <c r="AR5">
        <v>0</v>
      </c>
      <c r="AS5">
        <v>0</v>
      </c>
      <c r="AT5">
        <v>16</v>
      </c>
      <c r="AU5" s="2">
        <v>158484.23011608355</v>
      </c>
      <c r="AV5" s="6">
        <v>152640</v>
      </c>
      <c r="AW5" s="6">
        <v>0</v>
      </c>
      <c r="AX5" s="6">
        <v>0</v>
      </c>
      <c r="AY5" s="6">
        <v>152640</v>
      </c>
      <c r="AZ5" s="3">
        <v>4.1605086250196397</v>
      </c>
      <c r="BA5">
        <v>4</v>
      </c>
      <c r="BB5">
        <v>0</v>
      </c>
      <c r="BC5">
        <v>0</v>
      </c>
      <c r="BD5">
        <v>4</v>
      </c>
      <c r="BE5" s="2">
        <v>38528.557805333476</v>
      </c>
      <c r="BF5" s="6">
        <v>23280</v>
      </c>
      <c r="BG5" s="6">
        <v>0</v>
      </c>
      <c r="BH5" s="6">
        <v>0</v>
      </c>
      <c r="BI5" s="6">
        <v>23280</v>
      </c>
      <c r="BJ5" s="3">
        <v>6.6282244209357044</v>
      </c>
      <c r="BK5" s="6">
        <v>528800</v>
      </c>
      <c r="BL5" s="6">
        <v>0</v>
      </c>
      <c r="BM5" s="6">
        <v>0</v>
      </c>
      <c r="BN5" s="6">
        <v>528800</v>
      </c>
      <c r="BO5" s="3">
        <v>11.623392880907879</v>
      </c>
      <c r="BP5" s="7">
        <v>21351100</v>
      </c>
      <c r="BQ5" s="2">
        <v>5.5410978642723636</v>
      </c>
      <c r="BR5" s="2">
        <v>24.011424078513574</v>
      </c>
    </row>
    <row r="6" spans="1:70">
      <c r="A6">
        <v>1979</v>
      </c>
      <c r="B6" s="1">
        <v>43936</v>
      </c>
      <c r="C6" s="2">
        <v>1113175.3651874796</v>
      </c>
      <c r="D6" s="3">
        <v>25.336292907581019</v>
      </c>
      <c r="E6" s="1">
        <v>26361</v>
      </c>
      <c r="F6" s="4">
        <v>0.48721037762135233</v>
      </c>
      <c r="G6" s="4">
        <v>0.29957366483560838</v>
      </c>
      <c r="H6" s="4">
        <v>0.3319106615362602</v>
      </c>
      <c r="I6" s="4">
        <v>0.36454162220153635</v>
      </c>
      <c r="J6" s="5">
        <v>4.4936049725341256</v>
      </c>
      <c r="K6">
        <v>230</v>
      </c>
      <c r="L6">
        <v>5262</v>
      </c>
      <c r="M6">
        <v>6078</v>
      </c>
      <c r="N6">
        <v>11570</v>
      </c>
      <c r="O6" s="6">
        <v>1725000</v>
      </c>
      <c r="P6" s="6">
        <v>13155000</v>
      </c>
      <c r="Q6" s="6">
        <v>7293600</v>
      </c>
      <c r="R6" s="6">
        <v>22173600</v>
      </c>
      <c r="S6" s="2">
        <v>1.4550000000000001</v>
      </c>
      <c r="T6" s="2">
        <v>4.4402222222222223</v>
      </c>
      <c r="U6" s="2">
        <v>1.5386666666666666</v>
      </c>
      <c r="V6" s="2">
        <v>7.4338888888888892</v>
      </c>
      <c r="W6">
        <v>13</v>
      </c>
      <c r="X6">
        <v>0</v>
      </c>
      <c r="Y6">
        <v>0</v>
      </c>
      <c r="Z6">
        <v>13</v>
      </c>
      <c r="AA6" s="2">
        <v>654394.20969808882</v>
      </c>
      <c r="AB6" s="6">
        <v>317200</v>
      </c>
      <c r="AC6" s="6">
        <v>0</v>
      </c>
      <c r="AD6" s="6">
        <v>0</v>
      </c>
      <c r="AE6" s="6">
        <v>317200</v>
      </c>
      <c r="AF6" s="3">
        <v>1.0692074921810832</v>
      </c>
      <c r="AG6">
        <v>13</v>
      </c>
      <c r="AH6">
        <v>0</v>
      </c>
      <c r="AI6">
        <v>0</v>
      </c>
      <c r="AJ6">
        <v>13</v>
      </c>
      <c r="AK6" s="2">
        <v>241063.26699101095</v>
      </c>
      <c r="AL6" s="6">
        <v>99840</v>
      </c>
      <c r="AM6" s="6">
        <v>0</v>
      </c>
      <c r="AN6" s="6">
        <v>0</v>
      </c>
      <c r="AO6" s="6">
        <v>99840</v>
      </c>
      <c r="AP6" s="3">
        <v>4.5188667280148517E-2</v>
      </c>
      <c r="AQ6">
        <v>18</v>
      </c>
      <c r="AR6">
        <v>0</v>
      </c>
      <c r="AS6">
        <v>0</v>
      </c>
      <c r="AT6">
        <v>18</v>
      </c>
      <c r="AU6" s="2">
        <v>177103.13543777651</v>
      </c>
      <c r="AV6" s="6">
        <v>183600</v>
      </c>
      <c r="AW6" s="6">
        <v>0</v>
      </c>
      <c r="AX6" s="6">
        <v>0</v>
      </c>
      <c r="AY6" s="6">
        <v>183600</v>
      </c>
      <c r="AZ6" s="3">
        <v>5.3073809791672302</v>
      </c>
      <c r="BA6">
        <v>5</v>
      </c>
      <c r="BB6">
        <v>0</v>
      </c>
      <c r="BC6">
        <v>0</v>
      </c>
      <c r="BD6">
        <v>5</v>
      </c>
      <c r="BE6" s="2">
        <v>40614.753060603325</v>
      </c>
      <c r="BF6" s="6">
        <v>27750</v>
      </c>
      <c r="BG6" s="6">
        <v>0</v>
      </c>
      <c r="BH6" s="6">
        <v>0</v>
      </c>
      <c r="BI6" s="6">
        <v>27750</v>
      </c>
      <c r="BJ6" s="3">
        <v>8.5960029462184213</v>
      </c>
      <c r="BK6" s="6">
        <v>628390</v>
      </c>
      <c r="BL6" s="6">
        <v>0</v>
      </c>
      <c r="BM6" s="6">
        <v>0</v>
      </c>
      <c r="BN6" s="6">
        <v>628390</v>
      </c>
      <c r="BO6" s="3">
        <v>15.017780084846883</v>
      </c>
      <c r="BP6" s="7">
        <v>22801990</v>
      </c>
      <c r="BQ6" s="2">
        <v>6.7355006921207314</v>
      </c>
      <c r="BR6" s="2">
        <v>29.187169665856501</v>
      </c>
    </row>
    <row r="7" spans="1:70">
      <c r="A7">
        <v>1980</v>
      </c>
      <c r="B7" s="1">
        <v>45051</v>
      </c>
      <c r="C7" s="2">
        <v>1285896.0371037272</v>
      </c>
      <c r="D7" s="3">
        <v>28.543118623420728</v>
      </c>
      <c r="E7" s="1">
        <v>27030</v>
      </c>
      <c r="F7" s="4">
        <v>0.50508200403795223</v>
      </c>
      <c r="G7" s="4">
        <v>0.32095149701519837</v>
      </c>
      <c r="H7" s="4">
        <v>0.44558333785569165</v>
      </c>
      <c r="I7" s="4">
        <v>0.41646331114358448</v>
      </c>
      <c r="J7" s="5">
        <v>4.8142724552279752</v>
      </c>
      <c r="K7">
        <v>293</v>
      </c>
      <c r="L7">
        <v>5633</v>
      </c>
      <c r="M7">
        <v>6077</v>
      </c>
      <c r="N7">
        <v>12003</v>
      </c>
      <c r="O7" s="6">
        <v>2197500</v>
      </c>
      <c r="P7" s="6">
        <v>14082500</v>
      </c>
      <c r="Q7" s="6">
        <v>7292400</v>
      </c>
      <c r="R7" s="6">
        <v>23572400</v>
      </c>
      <c r="S7" s="2">
        <v>1.8316666666666668</v>
      </c>
      <c r="T7" s="2">
        <v>4.6980000000000004</v>
      </c>
      <c r="U7" s="2">
        <v>1.5206</v>
      </c>
      <c r="V7" s="2">
        <v>8.0502666666666673</v>
      </c>
      <c r="W7">
        <v>15</v>
      </c>
      <c r="X7">
        <v>0</v>
      </c>
      <c r="Y7">
        <v>0</v>
      </c>
      <c r="Z7">
        <v>15</v>
      </c>
      <c r="AA7" s="2">
        <v>771252.98628104723</v>
      </c>
      <c r="AB7" s="6">
        <v>364500</v>
      </c>
      <c r="AC7" s="6">
        <v>0</v>
      </c>
      <c r="AD7" s="6">
        <v>0</v>
      </c>
      <c r="AE7" s="6">
        <v>364500</v>
      </c>
      <c r="AF7" s="3">
        <v>1.3482893019031048</v>
      </c>
      <c r="AG7">
        <v>15</v>
      </c>
      <c r="AH7">
        <v>0</v>
      </c>
      <c r="AI7">
        <v>0</v>
      </c>
      <c r="AJ7">
        <v>15</v>
      </c>
      <c r="AK7" s="2">
        <v>275069.31225998205</v>
      </c>
      <c r="AL7" s="6">
        <v>118200</v>
      </c>
      <c r="AM7" s="6">
        <v>0</v>
      </c>
      <c r="AN7" s="6">
        <v>0</v>
      </c>
      <c r="AO7" s="6">
        <v>118200</v>
      </c>
      <c r="AP7" s="3">
        <v>5.8134434730614332E-2</v>
      </c>
      <c r="AQ7">
        <v>20</v>
      </c>
      <c r="AR7">
        <v>0</v>
      </c>
      <c r="AS7">
        <v>0</v>
      </c>
      <c r="AT7">
        <v>20</v>
      </c>
      <c r="AU7" s="2">
        <v>196978.51312141592</v>
      </c>
      <c r="AV7" s="6">
        <v>182000</v>
      </c>
      <c r="AW7" s="6">
        <v>0</v>
      </c>
      <c r="AX7" s="6">
        <v>0</v>
      </c>
      <c r="AY7" s="6">
        <v>182000</v>
      </c>
      <c r="AZ7" s="3">
        <v>6.4917010910817572</v>
      </c>
      <c r="BA7">
        <v>5</v>
      </c>
      <c r="BB7">
        <v>0</v>
      </c>
      <c r="BC7">
        <v>0</v>
      </c>
      <c r="BD7">
        <v>5</v>
      </c>
      <c r="BE7" s="2">
        <v>42595.225441282113</v>
      </c>
      <c r="BF7" s="6">
        <v>28200</v>
      </c>
      <c r="BG7" s="6">
        <v>0</v>
      </c>
      <c r="BH7" s="6">
        <v>0</v>
      </c>
      <c r="BI7" s="6">
        <v>28200</v>
      </c>
      <c r="BJ7" s="3">
        <v>10.596688145370635</v>
      </c>
      <c r="BK7" s="6">
        <v>692900</v>
      </c>
      <c r="BL7" s="6">
        <v>0</v>
      </c>
      <c r="BM7" s="6">
        <v>0</v>
      </c>
      <c r="BN7" s="6">
        <v>692900</v>
      </c>
      <c r="BO7" s="3">
        <v>18.494812973086113</v>
      </c>
      <c r="BP7" s="7">
        <v>24265300</v>
      </c>
      <c r="BQ7" s="2">
        <v>7.9635238919258331</v>
      </c>
      <c r="BR7" s="2">
        <v>34.508603531678609</v>
      </c>
    </row>
    <row r="8" spans="1:70">
      <c r="A8">
        <v>1981</v>
      </c>
      <c r="B8" s="1">
        <v>46232</v>
      </c>
      <c r="C8" s="2">
        <v>1466046.788258147</v>
      </c>
      <c r="D8" s="3">
        <v>31.710650377620414</v>
      </c>
      <c r="E8" s="1">
        <v>27739</v>
      </c>
      <c r="F8" s="4">
        <v>0.52087511578843892</v>
      </c>
      <c r="G8" s="4">
        <v>0.34108438116685219</v>
      </c>
      <c r="H8" s="4">
        <v>0.56379971268799378</v>
      </c>
      <c r="I8" s="4">
        <v>0.46441556237016973</v>
      </c>
      <c r="J8" s="5">
        <v>5.1162657175027828</v>
      </c>
      <c r="K8">
        <v>363</v>
      </c>
      <c r="L8">
        <v>6000</v>
      </c>
      <c r="M8">
        <v>6095</v>
      </c>
      <c r="N8">
        <v>12458</v>
      </c>
      <c r="O8" s="6">
        <v>2722500</v>
      </c>
      <c r="P8" s="6">
        <v>15000000</v>
      </c>
      <c r="Q8" s="6">
        <v>7314000</v>
      </c>
      <c r="R8" s="6">
        <v>25036500</v>
      </c>
      <c r="S8" s="2">
        <v>2.2483333333333335</v>
      </c>
      <c r="T8" s="2">
        <v>4.9477777777777776</v>
      </c>
      <c r="U8" s="2">
        <v>1.5078</v>
      </c>
      <c r="V8" s="2">
        <v>8.7039111111111112</v>
      </c>
      <c r="W8">
        <v>18</v>
      </c>
      <c r="X8">
        <v>0</v>
      </c>
      <c r="Y8">
        <v>0</v>
      </c>
      <c r="Z8">
        <v>18</v>
      </c>
      <c r="AA8" s="2">
        <v>893116.37464715028</v>
      </c>
      <c r="AB8" s="6">
        <v>435600</v>
      </c>
      <c r="AC8" s="6">
        <v>0</v>
      </c>
      <c r="AD8" s="6">
        <v>0</v>
      </c>
      <c r="AE8" s="6">
        <v>435600</v>
      </c>
      <c r="AF8" s="3">
        <v>1.6383906208911707</v>
      </c>
      <c r="AG8">
        <v>18</v>
      </c>
      <c r="AH8">
        <v>0</v>
      </c>
      <c r="AI8">
        <v>0</v>
      </c>
      <c r="AJ8">
        <v>18</v>
      </c>
      <c r="AK8" s="2">
        <v>310056.09223534906</v>
      </c>
      <c r="AL8" s="6">
        <v>137520</v>
      </c>
      <c r="AM8" s="6">
        <v>0</v>
      </c>
      <c r="AN8" s="6">
        <v>0</v>
      </c>
      <c r="AO8" s="6">
        <v>137520</v>
      </c>
      <c r="AP8" s="3">
        <v>7.184867990128975E-2</v>
      </c>
      <c r="AQ8">
        <v>22</v>
      </c>
      <c r="AR8">
        <v>0</v>
      </c>
      <c r="AS8">
        <v>0</v>
      </c>
      <c r="AT8">
        <v>22</v>
      </c>
      <c r="AU8" s="2">
        <v>218352.57519718079</v>
      </c>
      <c r="AV8" s="6">
        <v>190520</v>
      </c>
      <c r="AW8" s="6">
        <v>0</v>
      </c>
      <c r="AX8" s="6">
        <v>0</v>
      </c>
      <c r="AY8" s="6">
        <v>190520</v>
      </c>
      <c r="AZ8" s="3">
        <v>7.7114213027120257</v>
      </c>
      <c r="BA8">
        <v>5</v>
      </c>
      <c r="BB8">
        <v>0</v>
      </c>
      <c r="BC8">
        <v>0</v>
      </c>
      <c r="BD8">
        <v>5</v>
      </c>
      <c r="BE8" s="2">
        <v>44521.746178466914</v>
      </c>
      <c r="BF8" s="6">
        <v>29100</v>
      </c>
      <c r="BG8" s="6">
        <v>0</v>
      </c>
      <c r="BH8" s="6">
        <v>0</v>
      </c>
      <c r="BI8" s="6">
        <v>29100</v>
      </c>
      <c r="BJ8" s="3">
        <v>12.628674973352341</v>
      </c>
      <c r="BK8" s="6">
        <v>792740</v>
      </c>
      <c r="BL8" s="6">
        <v>0</v>
      </c>
      <c r="BM8" s="6">
        <v>0</v>
      </c>
      <c r="BN8" s="6">
        <v>792740</v>
      </c>
      <c r="BO8" s="3">
        <v>22.050335576856828</v>
      </c>
      <c r="BP8" s="7">
        <v>25829240</v>
      </c>
      <c r="BQ8" s="2">
        <v>9.2262740063903816</v>
      </c>
      <c r="BR8" s="2">
        <v>39.980520694358319</v>
      </c>
    </row>
    <row r="9" spans="1:70">
      <c r="A9">
        <v>1982</v>
      </c>
      <c r="B9" s="1">
        <v>47475</v>
      </c>
      <c r="C9" s="2">
        <v>1655340.7959693531</v>
      </c>
      <c r="D9" s="3">
        <v>34.867631300039029</v>
      </c>
      <c r="E9" s="1">
        <v>28485</v>
      </c>
      <c r="F9" s="4">
        <v>0.53512889856755852</v>
      </c>
      <c r="G9" s="4">
        <v>0.36004481741964017</v>
      </c>
      <c r="H9" s="4">
        <v>0.67483702410220492</v>
      </c>
      <c r="I9" s="4">
        <v>0.50660712108224071</v>
      </c>
      <c r="J9" s="5">
        <v>5.400672261294603</v>
      </c>
      <c r="K9">
        <v>441</v>
      </c>
      <c r="L9">
        <v>6367</v>
      </c>
      <c r="M9">
        <v>6126</v>
      </c>
      <c r="N9">
        <v>12934</v>
      </c>
      <c r="O9" s="6">
        <v>3307500</v>
      </c>
      <c r="P9" s="6">
        <v>15917500</v>
      </c>
      <c r="Q9" s="6">
        <v>7351200</v>
      </c>
      <c r="R9" s="6">
        <v>26576200</v>
      </c>
      <c r="S9" s="2">
        <v>2.7016666666666667</v>
      </c>
      <c r="T9" s="2">
        <v>5.1931111111111115</v>
      </c>
      <c r="U9" s="2">
        <v>1.4989333333333332</v>
      </c>
      <c r="V9" s="2">
        <v>9.3937111111111111</v>
      </c>
      <c r="W9">
        <v>20</v>
      </c>
      <c r="X9">
        <v>0</v>
      </c>
      <c r="Y9">
        <v>0</v>
      </c>
      <c r="Z9">
        <v>20</v>
      </c>
      <c r="AA9" s="2">
        <v>1021087.3529629649</v>
      </c>
      <c r="AB9" s="6">
        <v>494000</v>
      </c>
      <c r="AC9" s="6">
        <v>0</v>
      </c>
      <c r="AD9" s="6">
        <v>0</v>
      </c>
      <c r="AE9" s="6">
        <v>494000</v>
      </c>
      <c r="AF9" s="3">
        <v>1.9391610915951247</v>
      </c>
      <c r="AG9">
        <v>20</v>
      </c>
      <c r="AH9">
        <v>0</v>
      </c>
      <c r="AI9">
        <v>0</v>
      </c>
      <c r="AJ9">
        <v>20</v>
      </c>
      <c r="AK9" s="2">
        <v>346439.89754710451</v>
      </c>
      <c r="AL9" s="6">
        <v>154400</v>
      </c>
      <c r="AM9" s="6">
        <v>0</v>
      </c>
      <c r="AN9" s="6">
        <v>0</v>
      </c>
      <c r="AO9" s="6">
        <v>154400</v>
      </c>
      <c r="AP9" s="3">
        <v>8.6321299002477078E-2</v>
      </c>
      <c r="AQ9">
        <v>24</v>
      </c>
      <c r="AR9">
        <v>0</v>
      </c>
      <c r="AS9">
        <v>0</v>
      </c>
      <c r="AT9">
        <v>24</v>
      </c>
      <c r="AU9" s="2">
        <v>241396.71637124848</v>
      </c>
      <c r="AV9" s="6">
        <v>234240</v>
      </c>
      <c r="AW9" s="6">
        <v>0</v>
      </c>
      <c r="AX9" s="6">
        <v>0</v>
      </c>
      <c r="AY9" s="6">
        <v>234240</v>
      </c>
      <c r="AZ9" s="3">
        <v>8.9651665420454894</v>
      </c>
      <c r="BA9">
        <v>5</v>
      </c>
      <c r="BB9">
        <v>0</v>
      </c>
      <c r="BC9">
        <v>0</v>
      </c>
      <c r="BD9">
        <v>5</v>
      </c>
      <c r="BE9" s="2">
        <v>46416.829088034981</v>
      </c>
      <c r="BF9" s="6">
        <v>29550</v>
      </c>
      <c r="BG9" s="6">
        <v>0</v>
      </c>
      <c r="BH9" s="6">
        <v>0</v>
      </c>
      <c r="BI9" s="6">
        <v>29550</v>
      </c>
      <c r="BJ9" s="3">
        <v>14.69142337566231</v>
      </c>
      <c r="BK9" s="6">
        <v>912190</v>
      </c>
      <c r="BL9" s="6">
        <v>0</v>
      </c>
      <c r="BM9" s="6">
        <v>0</v>
      </c>
      <c r="BN9" s="6">
        <v>912190</v>
      </c>
      <c r="BO9" s="3">
        <v>25.682072308305401</v>
      </c>
      <c r="BP9" s="7">
        <v>27488390</v>
      </c>
      <c r="BQ9" s="2">
        <v>10.522735025824952</v>
      </c>
      <c r="BR9" s="2">
        <v>45.59851844524146</v>
      </c>
    </row>
    <row r="10" spans="1:70">
      <c r="A10">
        <v>1983</v>
      </c>
      <c r="B10" s="1">
        <v>48764</v>
      </c>
      <c r="C10" s="2">
        <v>1854778.7558637846</v>
      </c>
      <c r="D10" s="3">
        <v>38.035820602571256</v>
      </c>
      <c r="E10" s="1">
        <v>29258</v>
      </c>
      <c r="F10" s="4">
        <v>0.54819993605974315</v>
      </c>
      <c r="G10" s="4">
        <v>0.37790108382380094</v>
      </c>
      <c r="H10" s="4">
        <v>0.76947924700392123</v>
      </c>
      <c r="I10" s="4">
        <v>0.54221476934359514</v>
      </c>
      <c r="J10" s="5">
        <v>5.6685162573570143</v>
      </c>
      <c r="K10">
        <v>527</v>
      </c>
      <c r="L10">
        <v>6737</v>
      </c>
      <c r="M10">
        <v>6167</v>
      </c>
      <c r="N10">
        <v>13431</v>
      </c>
      <c r="O10" s="6">
        <v>3952500</v>
      </c>
      <c r="P10" s="6">
        <v>16842500</v>
      </c>
      <c r="Q10" s="6">
        <v>7400400</v>
      </c>
      <c r="R10" s="6">
        <v>28195400</v>
      </c>
      <c r="S10" s="2">
        <v>3.19</v>
      </c>
      <c r="T10" s="2">
        <v>5.4353333333333333</v>
      </c>
      <c r="U10" s="2">
        <v>1.4925999999999999</v>
      </c>
      <c r="V10" s="2">
        <v>10.117933333333333</v>
      </c>
      <c r="W10">
        <v>22</v>
      </c>
      <c r="X10">
        <v>0</v>
      </c>
      <c r="Y10">
        <v>0</v>
      </c>
      <c r="Z10">
        <v>22</v>
      </c>
      <c r="AA10" s="2">
        <v>1155841.6571396876</v>
      </c>
      <c r="AB10" s="6">
        <v>528000</v>
      </c>
      <c r="AC10" s="6">
        <v>0</v>
      </c>
      <c r="AD10" s="6">
        <v>0</v>
      </c>
      <c r="AE10" s="6">
        <v>528000</v>
      </c>
      <c r="AF10" s="3">
        <v>2.2503702791874214</v>
      </c>
      <c r="AG10">
        <v>22</v>
      </c>
      <c r="AH10">
        <v>0</v>
      </c>
      <c r="AI10">
        <v>0</v>
      </c>
      <c r="AJ10">
        <v>22</v>
      </c>
      <c r="AK10" s="2">
        <v>384448.90618080809</v>
      </c>
      <c r="AL10" s="6">
        <v>168080</v>
      </c>
      <c r="AM10" s="6">
        <v>0</v>
      </c>
      <c r="AN10" s="6">
        <v>0</v>
      </c>
      <c r="AO10" s="6">
        <v>168080</v>
      </c>
      <c r="AP10" s="3">
        <v>0.10154661224440292</v>
      </c>
      <c r="AQ10">
        <v>26</v>
      </c>
      <c r="AR10">
        <v>0</v>
      </c>
      <c r="AS10">
        <v>0</v>
      </c>
      <c r="AT10">
        <v>26</v>
      </c>
      <c r="AU10" s="2">
        <v>266206.41380510264</v>
      </c>
      <c r="AV10" s="6">
        <v>236600</v>
      </c>
      <c r="AW10" s="6">
        <v>0</v>
      </c>
      <c r="AX10" s="6">
        <v>0</v>
      </c>
      <c r="AY10" s="6">
        <v>236600</v>
      </c>
      <c r="AZ10" s="3">
        <v>10.252135342531869</v>
      </c>
      <c r="BA10">
        <v>5</v>
      </c>
      <c r="BB10">
        <v>0</v>
      </c>
      <c r="BC10">
        <v>0</v>
      </c>
      <c r="BD10">
        <v>5</v>
      </c>
      <c r="BE10" s="2">
        <v>48281.778738186265</v>
      </c>
      <c r="BF10" s="6">
        <v>28875</v>
      </c>
      <c r="BG10" s="6">
        <v>0</v>
      </c>
      <c r="BH10" s="6">
        <v>0</v>
      </c>
      <c r="BI10" s="6">
        <v>28875</v>
      </c>
      <c r="BJ10" s="3">
        <v>16.785271480496114</v>
      </c>
      <c r="BK10" s="6">
        <v>961555</v>
      </c>
      <c r="BL10" s="6">
        <v>0</v>
      </c>
      <c r="BM10" s="6">
        <v>0</v>
      </c>
      <c r="BN10" s="6">
        <v>961555</v>
      </c>
      <c r="BO10" s="3">
        <v>29.389323714459806</v>
      </c>
      <c r="BP10" s="7">
        <v>29156955</v>
      </c>
      <c r="BQ10" s="2">
        <v>11.852177114337941</v>
      </c>
      <c r="BR10" s="2">
        <v>51.35943416213108</v>
      </c>
    </row>
    <row r="11" spans="1:70">
      <c r="A11">
        <v>1984</v>
      </c>
      <c r="B11" s="1">
        <v>50074</v>
      </c>
      <c r="C11" s="2">
        <v>2064860.5673916794</v>
      </c>
      <c r="D11" s="3">
        <v>41.236181798771405</v>
      </c>
      <c r="E11" s="1">
        <v>30044</v>
      </c>
      <c r="F11" s="4">
        <v>0.56034944744046078</v>
      </c>
      <c r="G11" s="4">
        <v>0.39471748222547148</v>
      </c>
      <c r="H11" s="4">
        <v>0.8436218543686238</v>
      </c>
      <c r="I11" s="4">
        <v>0.57143176338704404</v>
      </c>
      <c r="J11" s="5">
        <v>5.9207622333820726</v>
      </c>
      <c r="K11">
        <v>620</v>
      </c>
      <c r="L11">
        <v>7108</v>
      </c>
      <c r="M11">
        <v>6211</v>
      </c>
      <c r="N11">
        <v>13939</v>
      </c>
      <c r="O11" s="6">
        <v>4650000</v>
      </c>
      <c r="P11" s="6">
        <v>17770000</v>
      </c>
      <c r="Q11" s="6">
        <v>7453200</v>
      </c>
      <c r="R11" s="6">
        <v>29873200</v>
      </c>
      <c r="S11" s="2">
        <v>3.7149999999999999</v>
      </c>
      <c r="T11" s="2">
        <v>5.6740000000000004</v>
      </c>
      <c r="U11" s="2">
        <v>1.4874000000000001</v>
      </c>
      <c r="V11" s="2">
        <v>10.8764</v>
      </c>
      <c r="W11">
        <v>25</v>
      </c>
      <c r="X11">
        <v>0</v>
      </c>
      <c r="Y11">
        <v>0</v>
      </c>
      <c r="Z11">
        <v>25</v>
      </c>
      <c r="AA11" s="2">
        <v>1297753.7781380895</v>
      </c>
      <c r="AB11" s="6">
        <v>602500</v>
      </c>
      <c r="AC11" s="6">
        <v>0</v>
      </c>
      <c r="AD11" s="6">
        <v>0</v>
      </c>
      <c r="AE11" s="6">
        <v>602500</v>
      </c>
      <c r="AF11" s="3">
        <v>2.571914205736221</v>
      </c>
      <c r="AG11">
        <v>25</v>
      </c>
      <c r="AH11">
        <v>0</v>
      </c>
      <c r="AI11">
        <v>0</v>
      </c>
      <c r="AJ11">
        <v>25</v>
      </c>
      <c r="AK11" s="2">
        <v>424185.34555318352</v>
      </c>
      <c r="AL11" s="6">
        <v>190000</v>
      </c>
      <c r="AM11" s="6">
        <v>0</v>
      </c>
      <c r="AN11" s="6">
        <v>0</v>
      </c>
      <c r="AO11" s="6">
        <v>190000</v>
      </c>
      <c r="AP11" s="3">
        <v>0.11752380318123937</v>
      </c>
      <c r="AQ11">
        <v>28</v>
      </c>
      <c r="AR11">
        <v>0</v>
      </c>
      <c r="AS11">
        <v>0</v>
      </c>
      <c r="AT11">
        <v>28</v>
      </c>
      <c r="AU11" s="2">
        <v>292816.10169484501</v>
      </c>
      <c r="AV11" s="6">
        <v>279440</v>
      </c>
      <c r="AW11" s="6">
        <v>0</v>
      </c>
      <c r="AX11" s="6">
        <v>0</v>
      </c>
      <c r="AY11" s="6">
        <v>279440</v>
      </c>
      <c r="AZ11" s="3">
        <v>11.57211831184828</v>
      </c>
      <c r="BA11">
        <v>5</v>
      </c>
      <c r="BB11">
        <v>0</v>
      </c>
      <c r="BC11">
        <v>0</v>
      </c>
      <c r="BD11">
        <v>5</v>
      </c>
      <c r="BE11" s="2">
        <v>50105.342005561302</v>
      </c>
      <c r="BF11" s="6">
        <v>28650</v>
      </c>
      <c r="BG11" s="6">
        <v>0</v>
      </c>
      <c r="BH11" s="6">
        <v>0</v>
      </c>
      <c r="BI11" s="6">
        <v>28650</v>
      </c>
      <c r="BJ11" s="3">
        <v>18.911462193280212</v>
      </c>
      <c r="BK11" s="6">
        <v>1100590</v>
      </c>
      <c r="BL11" s="6">
        <v>0</v>
      </c>
      <c r="BM11" s="6">
        <v>0</v>
      </c>
      <c r="BN11" s="6">
        <v>1100590</v>
      </c>
      <c r="BO11" s="3">
        <v>33.17301851404595</v>
      </c>
      <c r="BP11" s="7">
        <v>30973790</v>
      </c>
      <c r="BQ11" s="2">
        <v>13.214825554213785</v>
      </c>
      <c r="BR11" s="2">
        <v>57.264244068259742</v>
      </c>
    </row>
    <row r="12" spans="1:70">
      <c r="A12">
        <v>1985</v>
      </c>
      <c r="B12" s="1">
        <v>51373</v>
      </c>
      <c r="C12" s="2">
        <v>2285512.8013878483</v>
      </c>
      <c r="D12" s="3">
        <v>44.488599096565281</v>
      </c>
      <c r="E12" s="1">
        <v>30823</v>
      </c>
      <c r="F12" s="4">
        <v>0.57177237628121835</v>
      </c>
      <c r="G12" s="4">
        <v>0.41055456982278771</v>
      </c>
      <c r="H12" s="4">
        <v>0.89782515797991358</v>
      </c>
      <c r="I12" s="4">
        <v>0.5951072990448123</v>
      </c>
      <c r="J12" s="5">
        <v>6.1583185473418158</v>
      </c>
      <c r="K12">
        <v>720</v>
      </c>
      <c r="L12">
        <v>7479</v>
      </c>
      <c r="M12">
        <v>6256</v>
      </c>
      <c r="N12">
        <v>14455</v>
      </c>
      <c r="O12" s="6">
        <v>5400000</v>
      </c>
      <c r="P12" s="6">
        <v>18697500</v>
      </c>
      <c r="Q12" s="6">
        <v>7507200</v>
      </c>
      <c r="R12" s="6">
        <v>31604700</v>
      </c>
      <c r="S12" s="2">
        <v>4.2683333333333335</v>
      </c>
      <c r="T12" s="2">
        <v>5.9064444444444444</v>
      </c>
      <c r="U12" s="2">
        <v>1.4820666666666666</v>
      </c>
      <c r="V12" s="2">
        <v>11.656844444444443</v>
      </c>
      <c r="W12">
        <v>28</v>
      </c>
      <c r="X12">
        <v>0</v>
      </c>
      <c r="Y12">
        <v>0</v>
      </c>
      <c r="Z12">
        <v>28</v>
      </c>
      <c r="AA12" s="2">
        <v>1446861.9344400445</v>
      </c>
      <c r="AB12" s="6">
        <v>683200</v>
      </c>
      <c r="AC12" s="6">
        <v>0</v>
      </c>
      <c r="AD12" s="6">
        <v>0</v>
      </c>
      <c r="AE12" s="6">
        <v>683200</v>
      </c>
      <c r="AF12" s="3">
        <v>2.903796468472537</v>
      </c>
      <c r="AG12">
        <v>28</v>
      </c>
      <c r="AH12">
        <v>0</v>
      </c>
      <c r="AI12">
        <v>0</v>
      </c>
      <c r="AJ12">
        <v>28</v>
      </c>
      <c r="AK12" s="2">
        <v>465617.01858059136</v>
      </c>
      <c r="AL12" s="6">
        <v>215040</v>
      </c>
      <c r="AM12" s="6">
        <v>0</v>
      </c>
      <c r="AN12" s="6">
        <v>0</v>
      </c>
      <c r="AO12" s="6">
        <v>215040</v>
      </c>
      <c r="AP12" s="3">
        <v>0.13425630221415591</v>
      </c>
      <c r="AQ12">
        <v>31</v>
      </c>
      <c r="AR12">
        <v>0</v>
      </c>
      <c r="AS12">
        <v>0</v>
      </c>
      <c r="AT12">
        <v>31</v>
      </c>
      <c r="AU12" s="2">
        <v>321170.93229547696</v>
      </c>
      <c r="AV12" s="6">
        <v>295740</v>
      </c>
      <c r="AW12" s="6">
        <v>0</v>
      </c>
      <c r="AX12" s="6">
        <v>0</v>
      </c>
      <c r="AY12" s="6">
        <v>295740</v>
      </c>
      <c r="AZ12" s="3">
        <v>12.925397823840212</v>
      </c>
      <c r="BA12">
        <v>5</v>
      </c>
      <c r="BB12">
        <v>0</v>
      </c>
      <c r="BC12">
        <v>0</v>
      </c>
      <c r="BD12">
        <v>5</v>
      </c>
      <c r="BE12" s="2">
        <v>51862.916071735686</v>
      </c>
      <c r="BF12" s="6">
        <v>27975</v>
      </c>
      <c r="BG12" s="6">
        <v>0</v>
      </c>
      <c r="BH12" s="6">
        <v>0</v>
      </c>
      <c r="BI12" s="6">
        <v>27975</v>
      </c>
      <c r="BJ12" s="3">
        <v>21.071958599622935</v>
      </c>
      <c r="BK12" s="6">
        <v>1221955</v>
      </c>
      <c r="BL12" s="6">
        <v>0</v>
      </c>
      <c r="BM12" s="6">
        <v>0</v>
      </c>
      <c r="BN12" s="6">
        <v>1221955</v>
      </c>
      <c r="BO12" s="3">
        <v>37.035409194149842</v>
      </c>
      <c r="BP12" s="7">
        <v>32826655</v>
      </c>
      <c r="BQ12" s="2">
        <v>14.607676091578286</v>
      </c>
      <c r="BR12" s="2">
        <v>63.299929730172572</v>
      </c>
    </row>
    <row r="13" spans="1:70">
      <c r="A13">
        <v>1986</v>
      </c>
      <c r="B13" s="1">
        <v>52626</v>
      </c>
      <c r="C13" s="2">
        <v>2516336.0659643873</v>
      </c>
      <c r="D13" s="3">
        <v>47.815453691414646</v>
      </c>
      <c r="E13" s="1">
        <v>31575</v>
      </c>
      <c r="F13" s="4">
        <v>0.58262800033502471</v>
      </c>
      <c r="G13" s="4">
        <v>0.42546937723720701</v>
      </c>
      <c r="H13" s="4">
        <v>0.93537329944737191</v>
      </c>
      <c r="I13" s="4">
        <v>0.61434860467185293</v>
      </c>
      <c r="J13" s="5">
        <v>6.3820406585581049</v>
      </c>
      <c r="K13">
        <v>827</v>
      </c>
      <c r="L13">
        <v>7846</v>
      </c>
      <c r="M13">
        <v>6294</v>
      </c>
      <c r="N13">
        <v>14967</v>
      </c>
      <c r="O13" s="6">
        <v>6202500</v>
      </c>
      <c r="P13" s="6">
        <v>19615000</v>
      </c>
      <c r="Q13" s="6">
        <v>7552800</v>
      </c>
      <c r="R13" s="6">
        <v>33370300</v>
      </c>
      <c r="S13" s="2">
        <v>4.8483333333333336</v>
      </c>
      <c r="T13" s="2">
        <v>6.1302222222222218</v>
      </c>
      <c r="U13" s="2">
        <v>1.4752666666666667</v>
      </c>
      <c r="V13" s="2">
        <v>12.453822222222222</v>
      </c>
      <c r="W13">
        <v>30</v>
      </c>
      <c r="X13">
        <v>0</v>
      </c>
      <c r="Y13">
        <v>0</v>
      </c>
      <c r="Z13">
        <v>30</v>
      </c>
      <c r="AA13" s="2">
        <v>1603003.9560971658</v>
      </c>
      <c r="AB13" s="6">
        <v>744000</v>
      </c>
      <c r="AC13" s="6">
        <v>0</v>
      </c>
      <c r="AD13" s="6">
        <v>0</v>
      </c>
      <c r="AE13" s="6">
        <v>744000</v>
      </c>
      <c r="AF13" s="3">
        <v>3.2461259171141101</v>
      </c>
      <c r="AG13">
        <v>30</v>
      </c>
      <c r="AH13">
        <v>0</v>
      </c>
      <c r="AI13">
        <v>0</v>
      </c>
      <c r="AJ13">
        <v>30</v>
      </c>
      <c r="AK13" s="2">
        <v>508637.79409088782</v>
      </c>
      <c r="AL13" s="6">
        <v>232800</v>
      </c>
      <c r="AM13" s="6">
        <v>0</v>
      </c>
      <c r="AN13" s="6">
        <v>0</v>
      </c>
      <c r="AO13" s="6">
        <v>232800</v>
      </c>
      <c r="AP13" s="3">
        <v>0.15175183134564477</v>
      </c>
      <c r="AQ13">
        <v>33</v>
      </c>
      <c r="AR13">
        <v>0</v>
      </c>
      <c r="AS13">
        <v>0</v>
      </c>
      <c r="AT13">
        <v>33</v>
      </c>
      <c r="AU13" s="2">
        <v>351167.41445912234</v>
      </c>
      <c r="AV13" s="6">
        <v>322080</v>
      </c>
      <c r="AW13" s="6">
        <v>0</v>
      </c>
      <c r="AX13" s="6">
        <v>0</v>
      </c>
      <c r="AY13" s="6">
        <v>322080</v>
      </c>
      <c r="AZ13" s="3">
        <v>14.31272804519827</v>
      </c>
      <c r="BA13">
        <v>6</v>
      </c>
      <c r="BB13">
        <v>0</v>
      </c>
      <c r="BC13">
        <v>0</v>
      </c>
      <c r="BD13">
        <v>6</v>
      </c>
      <c r="BE13" s="2">
        <v>53526.901317211472</v>
      </c>
      <c r="BF13" s="6">
        <v>33300</v>
      </c>
      <c r="BG13" s="6">
        <v>0</v>
      </c>
      <c r="BH13" s="6">
        <v>0</v>
      </c>
      <c r="BI13" s="6">
        <v>33300</v>
      </c>
      <c r="BJ13" s="3">
        <v>23.269406379243353</v>
      </c>
      <c r="BK13" s="6">
        <v>1332180</v>
      </c>
      <c r="BL13" s="6">
        <v>0</v>
      </c>
      <c r="BM13" s="6">
        <v>0</v>
      </c>
      <c r="BN13" s="6">
        <v>1332180</v>
      </c>
      <c r="BO13" s="3">
        <v>40.980012172901382</v>
      </c>
      <c r="BP13" s="7">
        <v>34702480</v>
      </c>
      <c r="BQ13" s="2">
        <v>16.030150318537082</v>
      </c>
      <c r="BR13" s="2">
        <v>69.463984713660693</v>
      </c>
    </row>
    <row r="14" spans="1:70">
      <c r="A14">
        <v>1987</v>
      </c>
      <c r="B14" s="1">
        <v>53800</v>
      </c>
      <c r="C14" s="2">
        <v>2756613.7357636811</v>
      </c>
      <c r="D14" s="3">
        <v>51.238173527205966</v>
      </c>
      <c r="E14" s="1">
        <v>32280</v>
      </c>
      <c r="F14" s="4">
        <v>0.59303860223082627</v>
      </c>
      <c r="G14" s="4">
        <v>0.43951561388534655</v>
      </c>
      <c r="H14" s="4">
        <v>0.96029357490339651</v>
      </c>
      <c r="I14" s="4">
        <v>0.63021262372394149</v>
      </c>
      <c r="J14" s="5">
        <v>6.5927342082801985</v>
      </c>
      <c r="K14">
        <v>939</v>
      </c>
      <c r="L14">
        <v>8204</v>
      </c>
      <c r="M14">
        <v>6322</v>
      </c>
      <c r="N14">
        <v>15465</v>
      </c>
      <c r="O14" s="6">
        <v>7042500</v>
      </c>
      <c r="P14" s="6">
        <v>20510000</v>
      </c>
      <c r="Q14" s="6">
        <v>7586400</v>
      </c>
      <c r="R14" s="6">
        <v>35138900</v>
      </c>
      <c r="S14" s="2">
        <v>5.4483333333333333</v>
      </c>
      <c r="T14" s="2">
        <v>6.3419999999999996</v>
      </c>
      <c r="U14" s="2">
        <v>1.466</v>
      </c>
      <c r="V14" s="2">
        <v>13.256333333333332</v>
      </c>
      <c r="W14">
        <v>33</v>
      </c>
      <c r="X14">
        <v>0</v>
      </c>
      <c r="Y14">
        <v>0</v>
      </c>
      <c r="Z14">
        <v>33</v>
      </c>
      <c r="AA14" s="2">
        <v>1765823.8036950799</v>
      </c>
      <c r="AB14" s="6">
        <v>815100</v>
      </c>
      <c r="AC14" s="6">
        <v>0</v>
      </c>
      <c r="AD14" s="6">
        <v>0</v>
      </c>
      <c r="AE14" s="6">
        <v>815100</v>
      </c>
      <c r="AF14" s="3">
        <v>3.5990889566684454</v>
      </c>
      <c r="AG14">
        <v>33</v>
      </c>
      <c r="AH14">
        <v>0</v>
      </c>
      <c r="AI14">
        <v>0</v>
      </c>
      <c r="AJ14">
        <v>33</v>
      </c>
      <c r="AK14" s="2">
        <v>553072.66677436454</v>
      </c>
      <c r="AL14" s="6">
        <v>257400</v>
      </c>
      <c r="AM14" s="6">
        <v>0</v>
      </c>
      <c r="AN14" s="6">
        <v>0</v>
      </c>
      <c r="AO14" s="6">
        <v>257400</v>
      </c>
      <c r="AP14" s="3">
        <v>0.1700213845128247</v>
      </c>
      <c r="AQ14">
        <v>36</v>
      </c>
      <c r="AR14">
        <v>0</v>
      </c>
      <c r="AS14">
        <v>0</v>
      </c>
      <c r="AT14">
        <v>36</v>
      </c>
      <c r="AU14" s="2">
        <v>382649.54927667952</v>
      </c>
      <c r="AV14" s="6">
        <v>311760</v>
      </c>
      <c r="AW14" s="6">
        <v>0</v>
      </c>
      <c r="AX14" s="6">
        <v>0</v>
      </c>
      <c r="AY14" s="6">
        <v>311760</v>
      </c>
      <c r="AZ14" s="3">
        <v>15.7351969636817</v>
      </c>
      <c r="BA14">
        <v>6</v>
      </c>
      <c r="BB14">
        <v>0</v>
      </c>
      <c r="BC14">
        <v>0</v>
      </c>
      <c r="BD14">
        <v>6</v>
      </c>
      <c r="BE14" s="2">
        <v>55067.716017557323</v>
      </c>
      <c r="BF14" s="6">
        <v>33840</v>
      </c>
      <c r="BG14" s="6">
        <v>0</v>
      </c>
      <c r="BH14" s="6">
        <v>0</v>
      </c>
      <c r="BI14" s="6">
        <v>33840</v>
      </c>
      <c r="BJ14" s="3">
        <v>25.50688736282887</v>
      </c>
      <c r="BK14" s="6">
        <v>1418100</v>
      </c>
      <c r="BL14" s="6">
        <v>0</v>
      </c>
      <c r="BM14" s="6">
        <v>0</v>
      </c>
      <c r="BN14" s="6">
        <v>1418100</v>
      </c>
      <c r="BO14" s="3">
        <v>45.011194667691839</v>
      </c>
      <c r="BP14" s="7">
        <v>36557000</v>
      </c>
      <c r="BQ14" s="2">
        <v>17.480258400307552</v>
      </c>
      <c r="BR14" s="2">
        <v>75.747786401332718</v>
      </c>
    </row>
    <row r="15" spans="1:70">
      <c r="A15">
        <v>1988</v>
      </c>
      <c r="B15" s="1">
        <v>54869</v>
      </c>
      <c r="C15" s="2">
        <v>3005480.3992654439</v>
      </c>
      <c r="D15" s="3">
        <v>54.775563601768646</v>
      </c>
      <c r="E15" s="1">
        <v>32921</v>
      </c>
      <c r="F15" s="4">
        <v>0.60309409367248878</v>
      </c>
      <c r="G15" s="4">
        <v>0.45274386139089567</v>
      </c>
      <c r="H15" s="4">
        <v>0.97625459895046907</v>
      </c>
      <c r="I15" s="4">
        <v>0.64357660168760367</v>
      </c>
      <c r="J15" s="5">
        <v>6.7911579208634354</v>
      </c>
      <c r="K15">
        <v>1057</v>
      </c>
      <c r="L15">
        <v>8551</v>
      </c>
      <c r="M15">
        <v>6337</v>
      </c>
      <c r="N15">
        <v>15945</v>
      </c>
      <c r="O15" s="6">
        <v>7927500</v>
      </c>
      <c r="P15" s="6">
        <v>21377500</v>
      </c>
      <c r="Q15" s="6">
        <v>7604400</v>
      </c>
      <c r="R15" s="6">
        <v>36909400</v>
      </c>
      <c r="S15" s="2">
        <v>6.0616666666666665</v>
      </c>
      <c r="T15" s="2">
        <v>6.5391111111111115</v>
      </c>
      <c r="U15" s="2">
        <v>1.4536666666666667</v>
      </c>
      <c r="V15" s="2">
        <v>14.054444444444446</v>
      </c>
      <c r="W15">
        <v>35</v>
      </c>
      <c r="X15">
        <v>0</v>
      </c>
      <c r="Y15">
        <v>0</v>
      </c>
      <c r="Z15">
        <v>35</v>
      </c>
      <c r="AA15" s="2">
        <v>1934866.2147785325</v>
      </c>
      <c r="AB15" s="6">
        <v>864500</v>
      </c>
      <c r="AC15" s="6">
        <v>0</v>
      </c>
      <c r="AD15" s="6">
        <v>0</v>
      </c>
      <c r="AE15" s="6">
        <v>864500</v>
      </c>
      <c r="AF15" s="3">
        <v>3.9629324207261227</v>
      </c>
      <c r="AG15">
        <v>35</v>
      </c>
      <c r="AH15">
        <v>0</v>
      </c>
      <c r="AI15">
        <v>0</v>
      </c>
      <c r="AJ15">
        <v>35</v>
      </c>
      <c r="AK15" s="2">
        <v>598717.11638064508</v>
      </c>
      <c r="AL15" s="6">
        <v>277200</v>
      </c>
      <c r="AM15" s="6">
        <v>0</v>
      </c>
      <c r="AN15" s="6">
        <v>0</v>
      </c>
      <c r="AO15" s="6">
        <v>277200</v>
      </c>
      <c r="AP15" s="3">
        <v>0.18907860970484763</v>
      </c>
      <c r="AQ15">
        <v>39</v>
      </c>
      <c r="AR15">
        <v>0</v>
      </c>
      <c r="AS15">
        <v>0</v>
      </c>
      <c r="AT15">
        <v>39</v>
      </c>
      <c r="AU15" s="2">
        <v>415437.94359318598</v>
      </c>
      <c r="AV15" s="6">
        <v>363480</v>
      </c>
      <c r="AW15" s="6">
        <v>0</v>
      </c>
      <c r="AX15" s="6">
        <v>0</v>
      </c>
      <c r="AY15" s="6">
        <v>363480</v>
      </c>
      <c r="AZ15" s="3">
        <v>17.194141213420526</v>
      </c>
      <c r="BA15">
        <v>6</v>
      </c>
      <c r="BB15">
        <v>0</v>
      </c>
      <c r="BC15">
        <v>0</v>
      </c>
      <c r="BD15">
        <v>6</v>
      </c>
      <c r="BE15" s="2">
        <v>56459.124513080547</v>
      </c>
      <c r="BF15" s="6">
        <v>33840</v>
      </c>
      <c r="BG15" s="6">
        <v>0</v>
      </c>
      <c r="BH15" s="6">
        <v>0</v>
      </c>
      <c r="BI15" s="6">
        <v>33840</v>
      </c>
      <c r="BJ15" s="3">
        <v>27.787771972027521</v>
      </c>
      <c r="BK15" s="6">
        <v>1539020</v>
      </c>
      <c r="BL15" s="6">
        <v>0</v>
      </c>
      <c r="BM15" s="6">
        <v>0</v>
      </c>
      <c r="BN15" s="6">
        <v>1539020</v>
      </c>
      <c r="BO15" s="3">
        <v>49.13392421587902</v>
      </c>
      <c r="BP15" s="7">
        <v>38448420</v>
      </c>
      <c r="BQ15" s="2">
        <v>18.956510598097037</v>
      </c>
      <c r="BR15" s="2">
        <v>82.144879258420502</v>
      </c>
    </row>
    <row r="16" spans="1:70">
      <c r="A16">
        <v>1989</v>
      </c>
      <c r="B16" s="1">
        <v>55816</v>
      </c>
      <c r="C16" s="2">
        <v>3262270.7025395557</v>
      </c>
      <c r="D16" s="3">
        <v>58.446873701797976</v>
      </c>
      <c r="E16" s="1">
        <v>33489</v>
      </c>
      <c r="F16" s="4">
        <v>0.61286782416740093</v>
      </c>
      <c r="G16" s="4">
        <v>0.46520175573309613</v>
      </c>
      <c r="H16" s="4">
        <v>0.98617057891689341</v>
      </c>
      <c r="I16" s="4">
        <v>0.65511881028006935</v>
      </c>
      <c r="J16" s="5">
        <v>6.9780263359964421</v>
      </c>
      <c r="K16">
        <v>1178</v>
      </c>
      <c r="L16">
        <v>8884</v>
      </c>
      <c r="M16">
        <v>6337</v>
      </c>
      <c r="N16">
        <v>16399</v>
      </c>
      <c r="O16" s="6">
        <v>8835000</v>
      </c>
      <c r="P16" s="6">
        <v>22210000</v>
      </c>
      <c r="Q16" s="6">
        <v>7604400</v>
      </c>
      <c r="R16" s="6">
        <v>38649400</v>
      </c>
      <c r="S16" s="2">
        <v>6.6833333333333336</v>
      </c>
      <c r="T16" s="2">
        <v>6.7195555555555559</v>
      </c>
      <c r="U16" s="2">
        <v>1.4378</v>
      </c>
      <c r="V16" s="2">
        <v>14.840688888888888</v>
      </c>
      <c r="W16">
        <v>38</v>
      </c>
      <c r="X16">
        <v>0</v>
      </c>
      <c r="Y16">
        <v>0</v>
      </c>
      <c r="Z16">
        <v>38</v>
      </c>
      <c r="AA16" s="2">
        <v>2109774.7593543823</v>
      </c>
      <c r="AB16" s="6">
        <v>927200</v>
      </c>
      <c r="AC16" s="6">
        <v>0</v>
      </c>
      <c r="AD16" s="6">
        <v>0</v>
      </c>
      <c r="AE16" s="6">
        <v>927200</v>
      </c>
      <c r="AF16" s="3">
        <v>4.3379500227260266</v>
      </c>
      <c r="AG16">
        <v>38</v>
      </c>
      <c r="AH16">
        <v>0</v>
      </c>
      <c r="AI16">
        <v>0</v>
      </c>
      <c r="AJ16">
        <v>38</v>
      </c>
      <c r="AK16" s="2">
        <v>645414.29070167302</v>
      </c>
      <c r="AL16" s="6">
        <v>290320</v>
      </c>
      <c r="AM16" s="6">
        <v>0</v>
      </c>
      <c r="AN16" s="6">
        <v>0</v>
      </c>
      <c r="AO16" s="6">
        <v>290320</v>
      </c>
      <c r="AP16" s="3">
        <v>0.20893931588218012</v>
      </c>
      <c r="AQ16">
        <v>41</v>
      </c>
      <c r="AR16">
        <v>0</v>
      </c>
      <c r="AS16">
        <v>0</v>
      </c>
      <c r="AT16">
        <v>41</v>
      </c>
      <c r="AU16" s="2">
        <v>449395.06506890204</v>
      </c>
      <c r="AV16" s="6">
        <v>382120</v>
      </c>
      <c r="AW16" s="6">
        <v>0</v>
      </c>
      <c r="AX16" s="6">
        <v>0</v>
      </c>
      <c r="AY16" s="6">
        <v>382120</v>
      </c>
      <c r="AZ16" s="3">
        <v>18.691079669050655</v>
      </c>
      <c r="BA16">
        <v>6</v>
      </c>
      <c r="BB16">
        <v>0</v>
      </c>
      <c r="BC16">
        <v>0</v>
      </c>
      <c r="BD16">
        <v>6</v>
      </c>
      <c r="BE16" s="2">
        <v>57686.587414598682</v>
      </c>
      <c r="BF16" s="6">
        <v>33300</v>
      </c>
      <c r="BG16" s="6">
        <v>0</v>
      </c>
      <c r="BH16" s="6">
        <v>0</v>
      </c>
      <c r="BI16" s="6">
        <v>33300</v>
      </c>
      <c r="BJ16" s="3">
        <v>30.115607668520354</v>
      </c>
      <c r="BK16" s="6">
        <v>1632940</v>
      </c>
      <c r="BL16" s="6">
        <v>0</v>
      </c>
      <c r="BM16" s="6">
        <v>0</v>
      </c>
      <c r="BN16" s="6">
        <v>1632940</v>
      </c>
      <c r="BO16" s="3">
        <v>53.353576676179216</v>
      </c>
      <c r="BP16" s="7">
        <v>40282340</v>
      </c>
      <c r="BQ16" s="2">
        <v>20.458279669520433</v>
      </c>
      <c r="BR16" s="2">
        <v>88.652545234588544</v>
      </c>
    </row>
    <row r="17" spans="1:70">
      <c r="A17">
        <v>1990</v>
      </c>
      <c r="B17" s="1">
        <v>56637</v>
      </c>
      <c r="C17" s="2">
        <v>3526587.9458694761</v>
      </c>
      <c r="D17" s="3">
        <v>62.266503272939531</v>
      </c>
      <c r="E17" s="1">
        <v>33982</v>
      </c>
      <c r="F17" s="4">
        <v>0.62240704377361888</v>
      </c>
      <c r="G17" s="4">
        <v>0.47693415878772039</v>
      </c>
      <c r="H17" s="4">
        <v>0.99215478620150532</v>
      </c>
      <c r="I17" s="4">
        <v>0.66533053103658679</v>
      </c>
      <c r="J17" s="5">
        <v>7.1540123818158055</v>
      </c>
      <c r="K17">
        <v>1302</v>
      </c>
      <c r="L17">
        <v>9202</v>
      </c>
      <c r="M17">
        <v>6322</v>
      </c>
      <c r="N17">
        <v>16826</v>
      </c>
      <c r="O17" s="6">
        <v>9765000</v>
      </c>
      <c r="P17" s="6">
        <v>23005000</v>
      </c>
      <c r="Q17" s="6">
        <v>7586400</v>
      </c>
      <c r="R17" s="6">
        <v>40356400</v>
      </c>
      <c r="S17" s="2">
        <v>7.3083333333333336</v>
      </c>
      <c r="T17" s="2">
        <v>6.8828888888888891</v>
      </c>
      <c r="U17" s="2">
        <v>1.4185333333333334</v>
      </c>
      <c r="V17" s="2">
        <v>15.609755555555555</v>
      </c>
      <c r="W17">
        <v>40</v>
      </c>
      <c r="X17">
        <v>0</v>
      </c>
      <c r="Y17">
        <v>0</v>
      </c>
      <c r="Z17">
        <v>40</v>
      </c>
      <c r="AA17" s="2">
        <v>2290336.2116859467</v>
      </c>
      <c r="AB17" s="6">
        <v>984000</v>
      </c>
      <c r="AC17" s="6">
        <v>0</v>
      </c>
      <c r="AD17" s="6">
        <v>0</v>
      </c>
      <c r="AE17" s="6">
        <v>984000</v>
      </c>
      <c r="AF17" s="3">
        <v>4.7244628074833512</v>
      </c>
      <c r="AG17">
        <v>40</v>
      </c>
      <c r="AH17">
        <v>0</v>
      </c>
      <c r="AI17">
        <v>0</v>
      </c>
      <c r="AJ17">
        <v>40</v>
      </c>
      <c r="AK17" s="2">
        <v>693068.85542160505</v>
      </c>
      <c r="AL17" s="6">
        <v>308800</v>
      </c>
      <c r="AM17" s="6">
        <v>0</v>
      </c>
      <c r="AN17" s="6">
        <v>0</v>
      </c>
      <c r="AO17" s="6">
        <v>308800</v>
      </c>
      <c r="AP17" s="3">
        <v>0.22962071082741836</v>
      </c>
      <c r="AQ17">
        <v>44</v>
      </c>
      <c r="AR17">
        <v>0</v>
      </c>
      <c r="AS17">
        <v>0</v>
      </c>
      <c r="AT17">
        <v>44</v>
      </c>
      <c r="AU17" s="2">
        <v>484436.62734823639</v>
      </c>
      <c r="AV17" s="6">
        <v>439120</v>
      </c>
      <c r="AW17" s="6">
        <v>0</v>
      </c>
      <c r="AX17" s="6">
        <v>0</v>
      </c>
      <c r="AY17" s="6">
        <v>439120</v>
      </c>
      <c r="AZ17" s="3">
        <v>20.227620417968261</v>
      </c>
      <c r="BA17">
        <v>6</v>
      </c>
      <c r="BB17">
        <v>0</v>
      </c>
      <c r="BC17">
        <v>0</v>
      </c>
      <c r="BD17">
        <v>6</v>
      </c>
      <c r="BE17" s="2">
        <v>58746.251413688049</v>
      </c>
      <c r="BF17" s="6">
        <v>33300</v>
      </c>
      <c r="BG17" s="6">
        <v>0</v>
      </c>
      <c r="BH17" s="6">
        <v>0</v>
      </c>
      <c r="BI17" s="6">
        <v>33300</v>
      </c>
      <c r="BJ17" s="3">
        <v>32.493961786009045</v>
      </c>
      <c r="BK17" s="6">
        <v>1765220</v>
      </c>
      <c r="BL17" s="6">
        <v>0</v>
      </c>
      <c r="BM17" s="6">
        <v>0</v>
      </c>
      <c r="BN17" s="6">
        <v>1765220</v>
      </c>
      <c r="BO17" s="3">
        <v>57.675665722288073</v>
      </c>
      <c r="BP17" s="7">
        <v>42121620</v>
      </c>
      <c r="BQ17" s="2">
        <v>21.985626383353086</v>
      </c>
      <c r="BR17" s="2">
        <v>95.271047661196718</v>
      </c>
    </row>
    <row r="18" spans="1:70">
      <c r="A18">
        <v>1991</v>
      </c>
      <c r="B18" s="1">
        <v>57337</v>
      </c>
      <c r="C18" s="2">
        <v>3798224.6813260573</v>
      </c>
      <c r="D18" s="3">
        <v>66.243868380383645</v>
      </c>
      <c r="E18" s="1">
        <v>34402</v>
      </c>
      <c r="F18" s="4">
        <v>0.63173995273542827</v>
      </c>
      <c r="G18" s="4">
        <v>0.48798331987828103</v>
      </c>
      <c r="H18" s="4">
        <v>0.99566452955828211</v>
      </c>
      <c r="I18" s="4">
        <v>0.67455720523388163</v>
      </c>
      <c r="J18" s="5">
        <v>7.3197497981742154</v>
      </c>
      <c r="K18">
        <v>1429</v>
      </c>
      <c r="L18">
        <v>9505</v>
      </c>
      <c r="M18">
        <v>6293</v>
      </c>
      <c r="N18">
        <v>17227</v>
      </c>
      <c r="O18" s="6">
        <v>10717500</v>
      </c>
      <c r="P18" s="6">
        <v>23762500</v>
      </c>
      <c r="Q18" s="6">
        <v>7551600</v>
      </c>
      <c r="R18" s="6">
        <v>42031600</v>
      </c>
      <c r="S18" s="2">
        <v>7.93</v>
      </c>
      <c r="T18" s="2">
        <v>7.0297777777777775</v>
      </c>
      <c r="U18" s="2">
        <v>1.3962666666666668</v>
      </c>
      <c r="V18" s="2">
        <v>16.356044444444443</v>
      </c>
      <c r="W18">
        <v>43</v>
      </c>
      <c r="X18">
        <v>0</v>
      </c>
      <c r="Y18">
        <v>0</v>
      </c>
      <c r="Z18">
        <v>43</v>
      </c>
      <c r="AA18" s="2">
        <v>2476441.2376439576</v>
      </c>
      <c r="AB18" s="6">
        <v>1032000</v>
      </c>
      <c r="AC18" s="6">
        <v>0</v>
      </c>
      <c r="AD18" s="6">
        <v>0</v>
      </c>
      <c r="AE18" s="6">
        <v>1032000</v>
      </c>
      <c r="AF18" s="3">
        <v>5.1228137734571062</v>
      </c>
      <c r="AG18">
        <v>43</v>
      </c>
      <c r="AH18">
        <v>0</v>
      </c>
      <c r="AI18">
        <v>0</v>
      </c>
      <c r="AJ18">
        <v>43</v>
      </c>
      <c r="AK18" s="2">
        <v>741628.22208700236</v>
      </c>
      <c r="AL18" s="6">
        <v>330240</v>
      </c>
      <c r="AM18" s="6">
        <v>0</v>
      </c>
      <c r="AN18" s="6">
        <v>0</v>
      </c>
      <c r="AO18" s="6">
        <v>330240</v>
      </c>
      <c r="AP18" s="3">
        <v>0.25114120343687729</v>
      </c>
      <c r="AQ18">
        <v>47</v>
      </c>
      <c r="AR18">
        <v>0</v>
      </c>
      <c r="AS18">
        <v>0</v>
      </c>
      <c r="AT18">
        <v>47</v>
      </c>
      <c r="AU18" s="2">
        <v>520514.61598906113</v>
      </c>
      <c r="AV18" s="6">
        <v>417360</v>
      </c>
      <c r="AW18" s="6">
        <v>0</v>
      </c>
      <c r="AX18" s="6">
        <v>0</v>
      </c>
      <c r="AY18" s="6">
        <v>417360</v>
      </c>
      <c r="AZ18" s="3">
        <v>21.805436102137467</v>
      </c>
      <c r="BA18">
        <v>6</v>
      </c>
      <c r="BB18">
        <v>0</v>
      </c>
      <c r="BC18">
        <v>0</v>
      </c>
      <c r="BD18">
        <v>6</v>
      </c>
      <c r="BE18" s="2">
        <v>59640.605606036472</v>
      </c>
      <c r="BF18" s="6">
        <v>35460</v>
      </c>
      <c r="BG18" s="6">
        <v>0</v>
      </c>
      <c r="BH18" s="6">
        <v>0</v>
      </c>
      <c r="BI18" s="6">
        <v>35460</v>
      </c>
      <c r="BJ18" s="3">
        <v>34.926388394264443</v>
      </c>
      <c r="BK18" s="6">
        <v>1815060</v>
      </c>
      <c r="BL18" s="6">
        <v>0</v>
      </c>
      <c r="BM18" s="6">
        <v>0</v>
      </c>
      <c r="BN18" s="6">
        <v>1815060</v>
      </c>
      <c r="BO18" s="3">
        <v>62.105779473295897</v>
      </c>
      <c r="BP18" s="7">
        <v>43846660</v>
      </c>
      <c r="BQ18" s="2">
        <v>23.538547175322098</v>
      </c>
      <c r="BR18" s="2">
        <v>102.00037109306243</v>
      </c>
    </row>
    <row r="19" spans="1:70">
      <c r="A19">
        <v>1992</v>
      </c>
      <c r="B19" s="1">
        <v>57931</v>
      </c>
      <c r="C19" s="2">
        <v>4077463.0900393208</v>
      </c>
      <c r="D19" s="3">
        <v>70.38482142616769</v>
      </c>
      <c r="E19" s="1">
        <v>34758</v>
      </c>
      <c r="F19" s="4">
        <v>0.64088040556532833</v>
      </c>
      <c r="G19" s="4">
        <v>0.49838902791923012</v>
      </c>
      <c r="H19" s="4">
        <v>0.99766573964597172</v>
      </c>
      <c r="I19" s="4">
        <v>0.68303586496152902</v>
      </c>
      <c r="J19" s="5">
        <v>7.4758354187884519</v>
      </c>
      <c r="K19">
        <v>1559</v>
      </c>
      <c r="L19">
        <v>9794</v>
      </c>
      <c r="M19">
        <v>6252</v>
      </c>
      <c r="N19">
        <v>17605</v>
      </c>
      <c r="O19" s="6">
        <v>11692500</v>
      </c>
      <c r="P19" s="6">
        <v>24485000</v>
      </c>
      <c r="Q19" s="6">
        <v>7502400</v>
      </c>
      <c r="R19" s="6">
        <v>43679900</v>
      </c>
      <c r="S19" s="2">
        <v>8.5500000000000007</v>
      </c>
      <c r="T19" s="2">
        <v>7.1615555555555552</v>
      </c>
      <c r="U19" s="2">
        <v>1.3715333333333333</v>
      </c>
      <c r="V19" s="2">
        <v>17.083088888888888</v>
      </c>
      <c r="W19">
        <v>45</v>
      </c>
      <c r="X19">
        <v>0</v>
      </c>
      <c r="Y19">
        <v>0</v>
      </c>
      <c r="Z19">
        <v>45</v>
      </c>
      <c r="AA19" s="2">
        <v>2668258.1450760392</v>
      </c>
      <c r="AB19" s="6">
        <v>1116000</v>
      </c>
      <c r="AC19" s="6">
        <v>0</v>
      </c>
      <c r="AD19" s="6">
        <v>0</v>
      </c>
      <c r="AE19" s="6">
        <v>1116000</v>
      </c>
      <c r="AF19" s="3">
        <v>5.533354239269614</v>
      </c>
      <c r="AG19">
        <v>45</v>
      </c>
      <c r="AH19">
        <v>0</v>
      </c>
      <c r="AI19">
        <v>0</v>
      </c>
      <c r="AJ19">
        <v>45</v>
      </c>
      <c r="AK19" s="2">
        <v>791146.22810800653</v>
      </c>
      <c r="AL19" s="6">
        <v>345600</v>
      </c>
      <c r="AM19" s="6">
        <v>0</v>
      </c>
      <c r="AN19" s="6">
        <v>0</v>
      </c>
      <c r="AO19" s="6">
        <v>345600</v>
      </c>
      <c r="AP19" s="3">
        <v>0.27351985450960159</v>
      </c>
      <c r="AQ19">
        <v>50</v>
      </c>
      <c r="AR19">
        <v>0</v>
      </c>
      <c r="AS19">
        <v>0</v>
      </c>
      <c r="AT19">
        <v>50</v>
      </c>
      <c r="AU19" s="2">
        <v>557675.42167740571</v>
      </c>
      <c r="AV19" s="6">
        <v>510000</v>
      </c>
      <c r="AW19" s="6">
        <v>0</v>
      </c>
      <c r="AX19" s="6">
        <v>0</v>
      </c>
      <c r="AY19" s="6">
        <v>510000</v>
      </c>
      <c r="AZ19" s="3">
        <v>23.426201021247412</v>
      </c>
      <c r="BA19">
        <v>6</v>
      </c>
      <c r="BB19">
        <v>0</v>
      </c>
      <c r="BC19">
        <v>0</v>
      </c>
      <c r="BD19">
        <v>6</v>
      </c>
      <c r="BE19" s="2">
        <v>60383.295177869004</v>
      </c>
      <c r="BF19" s="6">
        <v>35190</v>
      </c>
      <c r="BG19" s="6">
        <v>0</v>
      </c>
      <c r="BH19" s="6">
        <v>0</v>
      </c>
      <c r="BI19" s="6">
        <v>35190</v>
      </c>
      <c r="BJ19" s="3">
        <v>37.416326990004123</v>
      </c>
      <c r="BK19" s="6">
        <v>2006790</v>
      </c>
      <c r="BL19" s="6">
        <v>0</v>
      </c>
      <c r="BM19" s="6">
        <v>0</v>
      </c>
      <c r="BN19" s="6">
        <v>2006790</v>
      </c>
      <c r="BO19" s="3">
        <v>66.649402105030759</v>
      </c>
      <c r="BP19" s="7">
        <v>45686690</v>
      </c>
      <c r="BQ19" s="2">
        <v>25.119747298175891</v>
      </c>
      <c r="BR19" s="2">
        <v>108.85223829209554</v>
      </c>
    </row>
    <row r="20" spans="1:70">
      <c r="A20">
        <v>1993</v>
      </c>
      <c r="B20" s="1">
        <v>58438</v>
      </c>
      <c r="C20" s="2">
        <v>4364920.4867634717</v>
      </c>
      <c r="D20" s="3">
        <v>74.693187425364854</v>
      </c>
      <c r="E20" s="1">
        <v>35062</v>
      </c>
      <c r="F20" s="4">
        <v>0.6498373471116905</v>
      </c>
      <c r="G20" s="4">
        <v>0.50818875469902847</v>
      </c>
      <c r="H20" s="4">
        <v>0.99877547637451369</v>
      </c>
      <c r="I20" s="4">
        <v>0.69092758077812411</v>
      </c>
      <c r="J20" s="5">
        <v>7.6228313204854263</v>
      </c>
      <c r="K20">
        <v>1690</v>
      </c>
      <c r="L20">
        <v>10072</v>
      </c>
      <c r="M20">
        <v>6202</v>
      </c>
      <c r="N20">
        <v>17964</v>
      </c>
      <c r="O20" s="6">
        <v>12675000</v>
      </c>
      <c r="P20" s="6">
        <v>25180000</v>
      </c>
      <c r="Q20" s="6">
        <v>7442400</v>
      </c>
      <c r="R20" s="6">
        <v>45297400</v>
      </c>
      <c r="S20" s="2">
        <v>9.163333333333334</v>
      </c>
      <c r="T20" s="2">
        <v>7.2806666666666668</v>
      </c>
      <c r="U20" s="2">
        <v>1.345</v>
      </c>
      <c r="V20" s="2">
        <v>17.789000000000001</v>
      </c>
      <c r="W20">
        <v>47</v>
      </c>
      <c r="X20">
        <v>0</v>
      </c>
      <c r="Y20">
        <v>0</v>
      </c>
      <c r="Z20">
        <v>47</v>
      </c>
      <c r="AA20" s="2">
        <v>2866151.6671720003</v>
      </c>
      <c r="AB20" s="6">
        <v>1137400</v>
      </c>
      <c r="AC20" s="6">
        <v>0</v>
      </c>
      <c r="AD20" s="6">
        <v>0</v>
      </c>
      <c r="AE20" s="6">
        <v>1137400</v>
      </c>
      <c r="AF20" s="3">
        <v>5.9564516808399119</v>
      </c>
      <c r="AG20">
        <v>47</v>
      </c>
      <c r="AH20">
        <v>0</v>
      </c>
      <c r="AI20">
        <v>0</v>
      </c>
      <c r="AJ20">
        <v>47</v>
      </c>
      <c r="AK20" s="2">
        <v>841747.19252544839</v>
      </c>
      <c r="AL20" s="6">
        <v>359080</v>
      </c>
      <c r="AM20" s="6">
        <v>0</v>
      </c>
      <c r="AN20" s="6">
        <v>0</v>
      </c>
      <c r="AO20" s="6">
        <v>359080</v>
      </c>
      <c r="AP20" s="3">
        <v>0.2967767045379166</v>
      </c>
      <c r="AQ20">
        <v>52</v>
      </c>
      <c r="AR20">
        <v>0</v>
      </c>
      <c r="AS20">
        <v>0</v>
      </c>
      <c r="AT20">
        <v>52</v>
      </c>
      <c r="AU20" s="2">
        <v>596028.66381796426</v>
      </c>
      <c r="AV20" s="6">
        <v>496080</v>
      </c>
      <c r="AW20" s="6">
        <v>0</v>
      </c>
      <c r="AX20" s="6">
        <v>0</v>
      </c>
      <c r="AY20" s="6">
        <v>496080</v>
      </c>
      <c r="AZ20" s="3">
        <v>25.09163007670297</v>
      </c>
      <c r="BA20">
        <v>6</v>
      </c>
      <c r="BB20">
        <v>0</v>
      </c>
      <c r="BC20">
        <v>0</v>
      </c>
      <c r="BD20">
        <v>6</v>
      </c>
      <c r="BE20" s="2">
        <v>60992.963248059488</v>
      </c>
      <c r="BF20" s="6">
        <v>34920</v>
      </c>
      <c r="BG20" s="6">
        <v>0</v>
      </c>
      <c r="BH20" s="6">
        <v>0</v>
      </c>
      <c r="BI20" s="6">
        <v>34920</v>
      </c>
      <c r="BJ20" s="3">
        <v>39.967183423724329</v>
      </c>
      <c r="BK20" s="6">
        <v>2027480</v>
      </c>
      <c r="BL20" s="6">
        <v>0</v>
      </c>
      <c r="BM20" s="6">
        <v>0</v>
      </c>
      <c r="BN20" s="6">
        <v>2027480</v>
      </c>
      <c r="BO20" s="3">
        <v>71.312041885805129</v>
      </c>
      <c r="BP20" s="7">
        <v>47324880</v>
      </c>
      <c r="BQ20" s="2">
        <v>26.730312565741539</v>
      </c>
      <c r="BR20" s="2">
        <v>115.83135445154667</v>
      </c>
    </row>
    <row r="21" spans="1:70">
      <c r="A21">
        <v>1994</v>
      </c>
      <c r="B21" s="1">
        <v>58879</v>
      </c>
      <c r="C21" s="2">
        <v>4661462.2204282386</v>
      </c>
      <c r="D21" s="3">
        <v>79.170200248445767</v>
      </c>
      <c r="E21" s="1">
        <v>35327</v>
      </c>
      <c r="F21" s="4">
        <v>0.65861400761899291</v>
      </c>
      <c r="G21" s="4">
        <v>0.51741778981905817</v>
      </c>
      <c r="H21" s="4">
        <v>0.99937399752660494</v>
      </c>
      <c r="I21" s="4">
        <v>0.69833979066220075</v>
      </c>
      <c r="J21" s="5">
        <v>7.7612668472858726</v>
      </c>
      <c r="K21">
        <v>1823</v>
      </c>
      <c r="L21">
        <v>10341</v>
      </c>
      <c r="M21">
        <v>6145</v>
      </c>
      <c r="N21">
        <v>18309</v>
      </c>
      <c r="O21" s="6">
        <v>13672500</v>
      </c>
      <c r="P21" s="6">
        <v>25852500</v>
      </c>
      <c r="Q21" s="6">
        <v>7374000</v>
      </c>
      <c r="R21" s="6">
        <v>46899000</v>
      </c>
      <c r="S21" s="2">
        <v>9.7716666666666665</v>
      </c>
      <c r="T21" s="2">
        <v>7.3897777777777778</v>
      </c>
      <c r="U21" s="2">
        <v>1.3173999999999999</v>
      </c>
      <c r="V21" s="2">
        <v>18.478844444444444</v>
      </c>
      <c r="W21">
        <v>49</v>
      </c>
      <c r="X21">
        <v>0</v>
      </c>
      <c r="Y21">
        <v>0</v>
      </c>
      <c r="Z21">
        <v>49</v>
      </c>
      <c r="AA21" s="2">
        <v>3070635.5880755149</v>
      </c>
      <c r="AB21" s="6">
        <v>1205400</v>
      </c>
      <c r="AC21" s="6">
        <v>0</v>
      </c>
      <c r="AD21" s="6">
        <v>0</v>
      </c>
      <c r="AE21" s="6">
        <v>1205400</v>
      </c>
      <c r="AF21" s="3">
        <v>6.3924745724705669</v>
      </c>
      <c r="AG21">
        <v>49</v>
      </c>
      <c r="AH21">
        <v>0</v>
      </c>
      <c r="AI21">
        <v>0</v>
      </c>
      <c r="AJ21">
        <v>49</v>
      </c>
      <c r="AK21" s="2">
        <v>893606.01306573628</v>
      </c>
      <c r="AL21" s="6">
        <v>382200</v>
      </c>
      <c r="AM21" s="6">
        <v>0</v>
      </c>
      <c r="AN21" s="6">
        <v>0</v>
      </c>
      <c r="AO21" s="6">
        <v>382200</v>
      </c>
      <c r="AP21" s="3">
        <v>0.32093215308848955</v>
      </c>
      <c r="AQ21">
        <v>55</v>
      </c>
      <c r="AR21">
        <v>0</v>
      </c>
      <c r="AS21">
        <v>0</v>
      </c>
      <c r="AT21">
        <v>55</v>
      </c>
      <c r="AU21" s="2">
        <v>635730.57653211057</v>
      </c>
      <c r="AV21" s="6">
        <v>488400</v>
      </c>
      <c r="AW21" s="6">
        <v>0</v>
      </c>
      <c r="AX21" s="6">
        <v>0</v>
      </c>
      <c r="AY21" s="6">
        <v>488400</v>
      </c>
      <c r="AZ21" s="3">
        <v>26.803409010321655</v>
      </c>
      <c r="BA21">
        <v>5</v>
      </c>
      <c r="BB21">
        <v>0</v>
      </c>
      <c r="BC21">
        <v>0</v>
      </c>
      <c r="BD21">
        <v>5</v>
      </c>
      <c r="BE21" s="2">
        <v>61490.04275487658</v>
      </c>
      <c r="BF21" s="6">
        <v>28650</v>
      </c>
      <c r="BG21" s="6">
        <v>0</v>
      </c>
      <c r="BH21" s="6">
        <v>0</v>
      </c>
      <c r="BI21" s="6">
        <v>28650</v>
      </c>
      <c r="BJ21" s="3">
        <v>42.582215018693987</v>
      </c>
      <c r="BK21" s="6">
        <v>2104650</v>
      </c>
      <c r="BL21" s="6">
        <v>0</v>
      </c>
      <c r="BM21" s="6">
        <v>0</v>
      </c>
      <c r="BN21" s="6">
        <v>2104650</v>
      </c>
      <c r="BO21" s="3">
        <v>76.099030754574699</v>
      </c>
      <c r="BP21" s="7">
        <v>49003650</v>
      </c>
      <c r="BQ21" s="2">
        <v>28.373362559705743</v>
      </c>
      <c r="BR21" s="2">
        <v>122.95123775872489</v>
      </c>
    </row>
    <row r="22" spans="1:70">
      <c r="A22">
        <v>1995</v>
      </c>
      <c r="B22" s="1">
        <v>59272</v>
      </c>
      <c r="C22" s="2">
        <v>4967892.975701211</v>
      </c>
      <c r="D22" s="3">
        <v>83.815173702611872</v>
      </c>
      <c r="E22" s="1">
        <v>35563</v>
      </c>
      <c r="F22" s="4">
        <v>0.66721053938719233</v>
      </c>
      <c r="G22" s="4">
        <v>0.52610936777430561</v>
      </c>
      <c r="H22" s="4">
        <v>0.99968802518010802</v>
      </c>
      <c r="I22" s="4">
        <v>0.70534426715944987</v>
      </c>
      <c r="J22" s="5">
        <v>7.8916405166145847</v>
      </c>
      <c r="K22">
        <v>1958</v>
      </c>
      <c r="L22">
        <v>10605</v>
      </c>
      <c r="M22">
        <v>6084</v>
      </c>
      <c r="N22">
        <v>18647</v>
      </c>
      <c r="O22" s="6">
        <v>14685000</v>
      </c>
      <c r="P22" s="6">
        <v>26512500</v>
      </c>
      <c r="Q22" s="6">
        <v>7300800</v>
      </c>
      <c r="R22" s="6">
        <v>48498300</v>
      </c>
      <c r="S22" s="2">
        <v>10.375</v>
      </c>
      <c r="T22" s="2">
        <v>7.4906666666666668</v>
      </c>
      <c r="U22" s="2">
        <v>1.2891999999999999</v>
      </c>
      <c r="V22" s="2">
        <v>19.154866666666667</v>
      </c>
      <c r="W22">
        <v>51</v>
      </c>
      <c r="X22">
        <v>0</v>
      </c>
      <c r="Y22">
        <v>0</v>
      </c>
      <c r="Z22">
        <v>51</v>
      </c>
      <c r="AA22" s="2">
        <v>3282196.852945942</v>
      </c>
      <c r="AB22" s="6">
        <v>1234200</v>
      </c>
      <c r="AC22" s="6">
        <v>0</v>
      </c>
      <c r="AD22" s="6">
        <v>0</v>
      </c>
      <c r="AE22" s="6">
        <v>1234200</v>
      </c>
      <c r="AF22" s="3">
        <v>6.8417917660107124</v>
      </c>
      <c r="AG22">
        <v>51</v>
      </c>
      <c r="AH22">
        <v>0</v>
      </c>
      <c r="AI22">
        <v>0</v>
      </c>
      <c r="AJ22">
        <v>51</v>
      </c>
      <c r="AK22" s="2">
        <v>946881.77037423907</v>
      </c>
      <c r="AL22" s="6">
        <v>397800</v>
      </c>
      <c r="AM22" s="6">
        <v>0</v>
      </c>
      <c r="AN22" s="6">
        <v>0</v>
      </c>
      <c r="AO22" s="6">
        <v>397800</v>
      </c>
      <c r="AP22" s="3">
        <v>0.34600692465785066</v>
      </c>
      <c r="AQ22">
        <v>58</v>
      </c>
      <c r="AR22">
        <v>0</v>
      </c>
      <c r="AS22">
        <v>0</v>
      </c>
      <c r="AT22">
        <v>58</v>
      </c>
      <c r="AU22" s="2">
        <v>676923.96831852035</v>
      </c>
      <c r="AV22" s="6">
        <v>578840</v>
      </c>
      <c r="AW22" s="6">
        <v>0</v>
      </c>
      <c r="AX22" s="6">
        <v>0</v>
      </c>
      <c r="AY22" s="6">
        <v>578840</v>
      </c>
      <c r="AZ22" s="3">
        <v>28.563194107722701</v>
      </c>
      <c r="BA22">
        <v>5</v>
      </c>
      <c r="BB22">
        <v>0</v>
      </c>
      <c r="BC22">
        <v>0</v>
      </c>
      <c r="BD22">
        <v>5</v>
      </c>
      <c r="BE22" s="2">
        <v>61890.384062510202</v>
      </c>
      <c r="BF22" s="6">
        <v>27975</v>
      </c>
      <c r="BG22" s="6">
        <v>0</v>
      </c>
      <c r="BH22" s="6">
        <v>0</v>
      </c>
      <c r="BI22" s="6">
        <v>27975</v>
      </c>
      <c r="BJ22" s="3">
        <v>45.264540749227756</v>
      </c>
      <c r="BK22" s="6">
        <v>2238815</v>
      </c>
      <c r="BL22" s="6">
        <v>0</v>
      </c>
      <c r="BM22" s="6">
        <v>0</v>
      </c>
      <c r="BN22" s="6">
        <v>2238815</v>
      </c>
      <c r="BO22" s="3">
        <v>81.015533547619015</v>
      </c>
      <c r="BP22" s="7">
        <v>50737115</v>
      </c>
      <c r="BQ22" s="2">
        <v>30.051120064285701</v>
      </c>
      <c r="BR22" s="2">
        <v>130.22152027857138</v>
      </c>
    </row>
    <row r="23" spans="1:70">
      <c r="A23">
        <v>1996</v>
      </c>
      <c r="B23" s="1">
        <v>59632</v>
      </c>
      <c r="C23" s="2">
        <v>5285092.440731138</v>
      </c>
      <c r="D23" s="3">
        <v>88.628461911912026</v>
      </c>
      <c r="E23" s="1">
        <v>35779</v>
      </c>
      <c r="F23" s="4">
        <v>0.67562991815708195</v>
      </c>
      <c r="G23" s="4">
        <v>0.53429478763344052</v>
      </c>
      <c r="H23" s="4">
        <v>0.99984842361590986</v>
      </c>
      <c r="I23" s="4">
        <v>0.71199125386218243</v>
      </c>
      <c r="J23" s="5">
        <v>8.014421814501608</v>
      </c>
      <c r="K23">
        <v>2095</v>
      </c>
      <c r="L23">
        <v>10863</v>
      </c>
      <c r="M23">
        <v>6019</v>
      </c>
      <c r="N23">
        <v>18977</v>
      </c>
      <c r="O23" s="6">
        <v>15712500</v>
      </c>
      <c r="P23" s="6">
        <v>27157500</v>
      </c>
      <c r="Q23" s="6">
        <v>7222800</v>
      </c>
      <c r="R23" s="6">
        <v>50092800</v>
      </c>
      <c r="S23" s="2">
        <v>10.971666666666666</v>
      </c>
      <c r="T23" s="2">
        <v>7.5853333333333337</v>
      </c>
      <c r="U23" s="2">
        <v>1.2609333333333332</v>
      </c>
      <c r="V23" s="2">
        <v>19.817933333333333</v>
      </c>
      <c r="W23">
        <v>53</v>
      </c>
      <c r="X23">
        <v>0</v>
      </c>
      <c r="Y23">
        <v>0</v>
      </c>
      <c r="Z23">
        <v>53</v>
      </c>
      <c r="AA23" s="2">
        <v>3501373.1023413972</v>
      </c>
      <c r="AB23" s="6">
        <v>1272000</v>
      </c>
      <c r="AC23" s="6">
        <v>0</v>
      </c>
      <c r="AD23" s="6">
        <v>0</v>
      </c>
      <c r="AE23" s="6">
        <v>1272000</v>
      </c>
      <c r="AF23" s="3">
        <v>7.3047812932095963</v>
      </c>
      <c r="AG23">
        <v>53</v>
      </c>
      <c r="AH23">
        <v>0</v>
      </c>
      <c r="AI23">
        <v>0</v>
      </c>
      <c r="AJ23">
        <v>53</v>
      </c>
      <c r="AK23" s="2">
        <v>1001746.7084134285</v>
      </c>
      <c r="AL23" s="6">
        <v>419760</v>
      </c>
      <c r="AM23" s="6">
        <v>0</v>
      </c>
      <c r="AN23" s="6">
        <v>0</v>
      </c>
      <c r="AO23" s="6">
        <v>419760</v>
      </c>
      <c r="AP23" s="3">
        <v>0.37202242663309543</v>
      </c>
      <c r="AQ23">
        <v>61</v>
      </c>
      <c r="AR23">
        <v>0</v>
      </c>
      <c r="AS23">
        <v>0</v>
      </c>
      <c r="AT23">
        <v>61</v>
      </c>
      <c r="AU23" s="2">
        <v>719764.33731383574</v>
      </c>
      <c r="AV23" s="6">
        <v>541680</v>
      </c>
      <c r="AW23" s="6">
        <v>0</v>
      </c>
      <c r="AX23" s="6">
        <v>0</v>
      </c>
      <c r="AY23" s="6">
        <v>541680</v>
      </c>
      <c r="AZ23" s="3">
        <v>30.372655922040167</v>
      </c>
      <c r="BA23">
        <v>5</v>
      </c>
      <c r="BB23">
        <v>0</v>
      </c>
      <c r="BC23">
        <v>0</v>
      </c>
      <c r="BD23">
        <v>5</v>
      </c>
      <c r="BE23" s="2">
        <v>62208.292662477441</v>
      </c>
      <c r="BF23" s="6">
        <v>28650</v>
      </c>
      <c r="BG23" s="6">
        <v>0</v>
      </c>
      <c r="BH23" s="6">
        <v>0</v>
      </c>
      <c r="BI23" s="6">
        <v>28650</v>
      </c>
      <c r="BJ23" s="3">
        <v>48.017228617301036</v>
      </c>
      <c r="BK23" s="6">
        <v>2262090</v>
      </c>
      <c r="BL23" s="6">
        <v>0</v>
      </c>
      <c r="BM23" s="6">
        <v>0</v>
      </c>
      <c r="BN23" s="6">
        <v>2262090</v>
      </c>
      <c r="BO23" s="3">
        <v>86.066688259183906</v>
      </c>
      <c r="BP23" s="7">
        <v>52354890</v>
      </c>
      <c r="BQ23" s="2">
        <v>31.765386477755168</v>
      </c>
      <c r="BR23" s="2">
        <v>137.65000807027241</v>
      </c>
    </row>
    <row r="24" spans="1:70">
      <c r="A24">
        <v>1997</v>
      </c>
      <c r="B24" s="1">
        <v>59970</v>
      </c>
      <c r="C24" s="2">
        <v>5613905.0599675858</v>
      </c>
      <c r="D24" s="3">
        <v>93.611890277932062</v>
      </c>
      <c r="E24" s="1">
        <v>35982</v>
      </c>
      <c r="F24" s="4">
        <v>0.68387791702301848</v>
      </c>
      <c r="G24" s="4">
        <v>0.5420035257492698</v>
      </c>
      <c r="H24" s="4">
        <v>0.99992821645796892</v>
      </c>
      <c r="I24" s="4">
        <v>0.71831759615207003</v>
      </c>
      <c r="J24" s="5">
        <v>8.1300528862390475</v>
      </c>
      <c r="K24">
        <v>2234</v>
      </c>
      <c r="L24">
        <v>11121</v>
      </c>
      <c r="M24">
        <v>5953</v>
      </c>
      <c r="N24">
        <v>19308</v>
      </c>
      <c r="O24" s="6">
        <v>16755000</v>
      </c>
      <c r="P24" s="6">
        <v>27802500</v>
      </c>
      <c r="Q24" s="6">
        <v>7143600</v>
      </c>
      <c r="R24" s="6">
        <v>51701100</v>
      </c>
      <c r="S24" s="2">
        <v>11.565</v>
      </c>
      <c r="T24" s="2">
        <v>7.6753333333333336</v>
      </c>
      <c r="U24" s="2">
        <v>1.2327333333333332</v>
      </c>
      <c r="V24" s="2">
        <v>20.473066666666664</v>
      </c>
      <c r="W24">
        <v>54</v>
      </c>
      <c r="X24">
        <v>0</v>
      </c>
      <c r="Y24">
        <v>0</v>
      </c>
      <c r="Z24">
        <v>54</v>
      </c>
      <c r="AA24" s="2">
        <v>3728687.9037016155</v>
      </c>
      <c r="AB24" s="6">
        <v>1339200</v>
      </c>
      <c r="AC24" s="6">
        <v>0</v>
      </c>
      <c r="AD24" s="6">
        <v>0</v>
      </c>
      <c r="AE24" s="6">
        <v>1339200</v>
      </c>
      <c r="AF24" s="3">
        <v>7.781817194334705</v>
      </c>
      <c r="AG24">
        <v>54</v>
      </c>
      <c r="AH24">
        <v>0</v>
      </c>
      <c r="AI24">
        <v>0</v>
      </c>
      <c r="AJ24">
        <v>54</v>
      </c>
      <c r="AK24" s="2">
        <v>1058363.31518401</v>
      </c>
      <c r="AL24" s="6">
        <v>419040</v>
      </c>
      <c r="AM24" s="6">
        <v>0</v>
      </c>
      <c r="AN24" s="6">
        <v>0</v>
      </c>
      <c r="AO24" s="6">
        <v>419040</v>
      </c>
      <c r="AP24" s="3">
        <v>0.3990002029473394</v>
      </c>
      <c r="AQ24">
        <v>64</v>
      </c>
      <c r="AR24">
        <v>0</v>
      </c>
      <c r="AS24">
        <v>0</v>
      </c>
      <c r="AT24">
        <v>64</v>
      </c>
      <c r="AU24" s="2">
        <v>764398.97031694045</v>
      </c>
      <c r="AV24" s="6">
        <v>554240</v>
      </c>
      <c r="AW24" s="6">
        <v>0</v>
      </c>
      <c r="AX24" s="6">
        <v>0</v>
      </c>
      <c r="AY24" s="6">
        <v>554240</v>
      </c>
      <c r="AZ24" s="3">
        <v>32.233418973516102</v>
      </c>
      <c r="BA24">
        <v>5</v>
      </c>
      <c r="BB24">
        <v>0</v>
      </c>
      <c r="BC24">
        <v>0</v>
      </c>
      <c r="BD24">
        <v>5</v>
      </c>
      <c r="BE24" s="2">
        <v>62454.870765019805</v>
      </c>
      <c r="BF24" s="6">
        <v>29550</v>
      </c>
      <c r="BG24" s="6">
        <v>0</v>
      </c>
      <c r="BH24" s="6">
        <v>0</v>
      </c>
      <c r="BI24" s="6">
        <v>29550</v>
      </c>
      <c r="BJ24" s="3">
        <v>50.843195578218307</v>
      </c>
      <c r="BK24" s="6">
        <v>2342030</v>
      </c>
      <c r="BL24" s="6">
        <v>0</v>
      </c>
      <c r="BM24" s="6">
        <v>0</v>
      </c>
      <c r="BN24" s="6">
        <v>2342030</v>
      </c>
      <c r="BO24" s="3">
        <v>91.25743194901645</v>
      </c>
      <c r="BP24" s="7">
        <v>54043130</v>
      </c>
      <c r="BQ24" s="2">
        <v>33.519149584704934</v>
      </c>
      <c r="BR24" s="2">
        <v>145.24964820038804</v>
      </c>
    </row>
    <row r="25" spans="1:70">
      <c r="A25">
        <v>1998</v>
      </c>
      <c r="B25" s="1">
        <v>60294</v>
      </c>
      <c r="C25" s="2">
        <v>5954999.9792888891</v>
      </c>
      <c r="D25" s="3">
        <v>98.766046029271394</v>
      </c>
      <c r="E25" s="1">
        <v>36176</v>
      </c>
      <c r="F25" s="4">
        <v>0.69195822241299532</v>
      </c>
      <c r="G25" s="4">
        <v>0.54926334190544701</v>
      </c>
      <c r="H25" s="4">
        <v>0.99996686564966708</v>
      </c>
      <c r="I25" s="4">
        <v>0.72435039230405263</v>
      </c>
      <c r="J25" s="5">
        <v>8.2389501285817044</v>
      </c>
      <c r="K25">
        <v>2374</v>
      </c>
      <c r="L25">
        <v>11375</v>
      </c>
      <c r="M25">
        <v>5886</v>
      </c>
      <c r="N25">
        <v>19635</v>
      </c>
      <c r="O25" s="6">
        <v>17805000</v>
      </c>
      <c r="P25" s="6">
        <v>28437500</v>
      </c>
      <c r="Q25" s="6">
        <v>7063200</v>
      </c>
      <c r="R25" s="6">
        <v>53305700</v>
      </c>
      <c r="S25" s="2">
        <v>12.151666666666667</v>
      </c>
      <c r="T25" s="2">
        <v>7.7617777777777777</v>
      </c>
      <c r="U25" s="2">
        <v>1.2048666666666668</v>
      </c>
      <c r="V25" s="2">
        <v>21.118311111111112</v>
      </c>
      <c r="W25">
        <v>56</v>
      </c>
      <c r="X25">
        <v>0</v>
      </c>
      <c r="Y25">
        <v>0</v>
      </c>
      <c r="Z25">
        <v>56</v>
      </c>
      <c r="AA25" s="2">
        <v>3964568.6313728588</v>
      </c>
      <c r="AB25" s="6">
        <v>1360800</v>
      </c>
      <c r="AC25" s="6">
        <v>0</v>
      </c>
      <c r="AD25" s="6">
        <v>0</v>
      </c>
      <c r="AE25" s="6">
        <v>1360800</v>
      </c>
      <c r="AF25" s="3">
        <v>8.2732738003269102</v>
      </c>
      <c r="AG25">
        <v>56</v>
      </c>
      <c r="AH25">
        <v>0</v>
      </c>
      <c r="AI25">
        <v>0</v>
      </c>
      <c r="AJ25">
        <v>56</v>
      </c>
      <c r="AK25" s="2">
        <v>1116855.4795394451</v>
      </c>
      <c r="AL25" s="6">
        <v>430080</v>
      </c>
      <c r="AM25" s="6">
        <v>0</v>
      </c>
      <c r="AN25" s="6">
        <v>0</v>
      </c>
      <c r="AO25" s="6">
        <v>430080</v>
      </c>
      <c r="AP25" s="3">
        <v>0.42696209842776456</v>
      </c>
      <c r="AQ25">
        <v>67</v>
      </c>
      <c r="AR25">
        <v>0</v>
      </c>
      <c r="AS25">
        <v>0</v>
      </c>
      <c r="AT25">
        <v>67</v>
      </c>
      <c r="AU25" s="2">
        <v>810939.45086826023</v>
      </c>
      <c r="AV25" s="6">
        <v>609700</v>
      </c>
      <c r="AW25" s="6">
        <v>0</v>
      </c>
      <c r="AX25" s="6">
        <v>0</v>
      </c>
      <c r="AY25" s="6">
        <v>609700</v>
      </c>
      <c r="AZ25" s="3">
        <v>34.147084382129911</v>
      </c>
      <c r="BA25">
        <v>5</v>
      </c>
      <c r="BB25">
        <v>0</v>
      </c>
      <c r="BC25">
        <v>0</v>
      </c>
      <c r="BD25">
        <v>5</v>
      </c>
      <c r="BE25" s="2">
        <v>62636.417508324179</v>
      </c>
      <c r="BF25" s="6">
        <v>28425</v>
      </c>
      <c r="BG25" s="6">
        <v>0</v>
      </c>
      <c r="BH25" s="6">
        <v>0</v>
      </c>
      <c r="BI25" s="6">
        <v>28425</v>
      </c>
      <c r="BJ25" s="3">
        <v>53.745256334165546</v>
      </c>
      <c r="BK25" s="6">
        <v>2429005</v>
      </c>
      <c r="BL25" s="6">
        <v>0</v>
      </c>
      <c r="BM25" s="6">
        <v>0</v>
      </c>
      <c r="BN25" s="6">
        <v>2429005</v>
      </c>
      <c r="BO25" s="3">
        <v>96.592576615050135</v>
      </c>
      <c r="BP25" s="7">
        <v>55734705</v>
      </c>
      <c r="BQ25" s="2">
        <v>35.313266317848374</v>
      </c>
      <c r="BR25" s="2">
        <v>153.02415404400961</v>
      </c>
    </row>
    <row r="26" spans="1:70">
      <c r="A26">
        <v>1999</v>
      </c>
      <c r="B26" s="1">
        <v>60610</v>
      </c>
      <c r="C26" s="2">
        <v>6309238.7140339771</v>
      </c>
      <c r="D26" s="3">
        <v>104.09567256284404</v>
      </c>
      <c r="E26" s="1">
        <v>36366</v>
      </c>
      <c r="F26" s="4">
        <v>0.69988077100507884</v>
      </c>
      <c r="G26" s="4">
        <v>0.55610037928167655</v>
      </c>
      <c r="H26" s="4">
        <v>0.99998510322455181</v>
      </c>
      <c r="I26" s="4">
        <v>0.73011330218835202</v>
      </c>
      <c r="J26" s="5">
        <v>8.3415056892251478</v>
      </c>
      <c r="K26">
        <v>2517</v>
      </c>
      <c r="L26">
        <v>11630</v>
      </c>
      <c r="M26">
        <v>5818</v>
      </c>
      <c r="N26">
        <v>19965</v>
      </c>
      <c r="O26" s="6">
        <v>18877500</v>
      </c>
      <c r="P26" s="6">
        <v>29075000</v>
      </c>
      <c r="Q26" s="6">
        <v>6981600</v>
      </c>
      <c r="R26" s="6">
        <v>54934100</v>
      </c>
      <c r="S26" s="2">
        <v>12.734999999999999</v>
      </c>
      <c r="T26" s="2">
        <v>7.8457777777777782</v>
      </c>
      <c r="U26" s="2">
        <v>1.1774666666666667</v>
      </c>
      <c r="V26" s="2">
        <v>21.758244444444443</v>
      </c>
      <c r="W26">
        <v>57</v>
      </c>
      <c r="X26">
        <v>0</v>
      </c>
      <c r="Y26">
        <v>0</v>
      </c>
      <c r="Z26">
        <v>57</v>
      </c>
      <c r="AA26" s="2">
        <v>4209559.4175620098</v>
      </c>
      <c r="AB26" s="6">
        <v>1373700</v>
      </c>
      <c r="AC26" s="6">
        <v>0</v>
      </c>
      <c r="AD26" s="6">
        <v>0</v>
      </c>
      <c r="AE26" s="6">
        <v>1373700</v>
      </c>
      <c r="AF26" s="3">
        <v>8.7795310355522957</v>
      </c>
      <c r="AG26">
        <v>57</v>
      </c>
      <c r="AH26">
        <v>0</v>
      </c>
      <c r="AI26">
        <v>0</v>
      </c>
      <c r="AJ26">
        <v>57</v>
      </c>
      <c r="AK26" s="2">
        <v>1177385.8094400638</v>
      </c>
      <c r="AL26" s="6">
        <v>444600</v>
      </c>
      <c r="AM26" s="6">
        <v>0</v>
      </c>
      <c r="AN26" s="6">
        <v>0</v>
      </c>
      <c r="AO26" s="6">
        <v>444600</v>
      </c>
      <c r="AP26" s="3">
        <v>0.45593047144347332</v>
      </c>
      <c r="AQ26">
        <v>70</v>
      </c>
      <c r="AR26">
        <v>1</v>
      </c>
      <c r="AS26">
        <v>0</v>
      </c>
      <c r="AT26">
        <v>71</v>
      </c>
      <c r="AU26" s="2">
        <v>859532.83007462532</v>
      </c>
      <c r="AV26" s="6">
        <v>637000</v>
      </c>
      <c r="AW26" s="6">
        <v>128000</v>
      </c>
      <c r="AX26" s="6">
        <v>0</v>
      </c>
      <c r="AY26" s="6">
        <v>765000</v>
      </c>
      <c r="AZ26" s="3">
        <v>36.115256678020458</v>
      </c>
      <c r="BA26">
        <v>5</v>
      </c>
      <c r="BB26">
        <v>0</v>
      </c>
      <c r="BC26">
        <v>0</v>
      </c>
      <c r="BD26">
        <v>5</v>
      </c>
      <c r="BE26" s="2">
        <v>62760.656957278858</v>
      </c>
      <c r="BF26" s="6">
        <v>29550</v>
      </c>
      <c r="BG26" s="6">
        <v>0</v>
      </c>
      <c r="BH26" s="6">
        <v>0</v>
      </c>
      <c r="BI26" s="6">
        <v>29550</v>
      </c>
      <c r="BJ26" s="3">
        <v>56.726177894457329</v>
      </c>
      <c r="BK26" s="6">
        <v>2484850</v>
      </c>
      <c r="BL26" s="6">
        <v>128000</v>
      </c>
      <c r="BM26" s="6">
        <v>0</v>
      </c>
      <c r="BN26" s="6">
        <v>2612850</v>
      </c>
      <c r="BO26" s="3">
        <v>102.07689607947356</v>
      </c>
      <c r="BP26" s="7">
        <v>57546950</v>
      </c>
      <c r="BQ26" s="2">
        <v>37.150542157175401</v>
      </c>
      <c r="BR26" s="2">
        <v>160.98568268109341</v>
      </c>
    </row>
    <row r="27" spans="1:70">
      <c r="A27">
        <v>2000</v>
      </c>
      <c r="B27" s="1">
        <v>60921</v>
      </c>
      <c r="C27" s="2">
        <v>7769301.6799662933</v>
      </c>
      <c r="D27" s="3">
        <v>127.53076410377855</v>
      </c>
      <c r="E27" s="1">
        <v>36552</v>
      </c>
      <c r="F27" s="4">
        <v>0.73053480383730052</v>
      </c>
      <c r="G27" s="4">
        <v>0.56253925859739939</v>
      </c>
      <c r="H27" s="4">
        <v>0.9999995569641118</v>
      </c>
      <c r="I27" s="4">
        <v>0.7434718310195656</v>
      </c>
      <c r="J27" s="5">
        <v>8.4380888789609916</v>
      </c>
      <c r="K27">
        <v>2907</v>
      </c>
      <c r="L27">
        <v>12578</v>
      </c>
      <c r="M27">
        <v>5500</v>
      </c>
      <c r="N27">
        <v>20985</v>
      </c>
      <c r="O27" s="6">
        <v>21802500</v>
      </c>
      <c r="P27" s="6">
        <v>31445000</v>
      </c>
      <c r="Q27" s="6">
        <v>6600000</v>
      </c>
      <c r="R27" s="6">
        <v>59847500</v>
      </c>
      <c r="S27" s="2">
        <v>14.066666666666666</v>
      </c>
      <c r="T27" s="2">
        <v>8.1137777777777771</v>
      </c>
      <c r="U27" s="2">
        <v>1.0644666666666667</v>
      </c>
      <c r="V27" s="2">
        <v>23.244911111111112</v>
      </c>
      <c r="W27">
        <v>58</v>
      </c>
      <c r="X27">
        <v>0</v>
      </c>
      <c r="Y27">
        <v>0</v>
      </c>
      <c r="Z27">
        <v>58</v>
      </c>
      <c r="AA27" s="2">
        <v>4463939.4911613939</v>
      </c>
      <c r="AB27" s="6">
        <v>1438400</v>
      </c>
      <c r="AC27" s="6">
        <v>0</v>
      </c>
      <c r="AD27" s="6">
        <v>0</v>
      </c>
      <c r="AE27" s="6">
        <v>1438400</v>
      </c>
      <c r="AF27" s="3">
        <v>9.3009698903535956</v>
      </c>
      <c r="AG27">
        <v>58</v>
      </c>
      <c r="AH27">
        <v>0</v>
      </c>
      <c r="AI27">
        <v>0</v>
      </c>
      <c r="AJ27">
        <v>58</v>
      </c>
      <c r="AK27" s="2">
        <v>1240019.8068142973</v>
      </c>
      <c r="AL27" s="6">
        <v>457040</v>
      </c>
      <c r="AM27" s="6">
        <v>0</v>
      </c>
      <c r="AN27" s="6">
        <v>0</v>
      </c>
      <c r="AO27" s="6">
        <v>457040</v>
      </c>
      <c r="AP27" s="3">
        <v>0.48592800383910401</v>
      </c>
      <c r="AQ27">
        <v>160</v>
      </c>
      <c r="AR27">
        <v>2</v>
      </c>
      <c r="AS27">
        <v>0</v>
      </c>
      <c r="AT27">
        <v>162</v>
      </c>
      <c r="AU27" s="2">
        <v>2002514.9953577756</v>
      </c>
      <c r="AV27" s="6">
        <v>1456000</v>
      </c>
      <c r="AW27" s="6">
        <v>452000</v>
      </c>
      <c r="AX27" s="6">
        <v>0</v>
      </c>
      <c r="AY27" s="6">
        <v>1908000</v>
      </c>
      <c r="AZ27" s="3">
        <v>38.139523879409005</v>
      </c>
      <c r="BA27">
        <v>5</v>
      </c>
      <c r="BB27">
        <v>0</v>
      </c>
      <c r="BC27">
        <v>0</v>
      </c>
      <c r="BD27">
        <v>5</v>
      </c>
      <c r="BE27" s="2">
        <v>62827.386632826318</v>
      </c>
      <c r="BF27" s="6">
        <v>27750</v>
      </c>
      <c r="BG27" s="6">
        <v>0</v>
      </c>
      <c r="BH27" s="6">
        <v>0</v>
      </c>
      <c r="BI27" s="6">
        <v>27750</v>
      </c>
      <c r="BJ27" s="3">
        <v>59.788649412798584</v>
      </c>
      <c r="BK27" s="6">
        <v>3379190</v>
      </c>
      <c r="BL27" s="6">
        <v>452000</v>
      </c>
      <c r="BM27" s="6">
        <v>0</v>
      </c>
      <c r="BN27" s="6">
        <v>3831190</v>
      </c>
      <c r="BO27" s="3">
        <v>107.71507118640028</v>
      </c>
      <c r="BP27" s="7">
        <v>63678690</v>
      </c>
      <c r="BQ27" s="2">
        <v>39.287994689253416</v>
      </c>
      <c r="BR27" s="2">
        <v>170.24797698676483</v>
      </c>
    </row>
    <row r="28" spans="1:70">
      <c r="A28">
        <v>2001</v>
      </c>
      <c r="B28" s="1">
        <v>61226</v>
      </c>
      <c r="C28" s="2">
        <v>8367787.5102520362</v>
      </c>
      <c r="D28" s="3">
        <v>136.67049146199386</v>
      </c>
      <c r="E28" s="1">
        <v>36735</v>
      </c>
      <c r="F28" s="4">
        <v>0.74064593119085198</v>
      </c>
      <c r="G28" s="4">
        <v>0.56860316677297651</v>
      </c>
      <c r="H28" s="4">
        <v>0.99999988752938296</v>
      </c>
      <c r="I28" s="4">
        <v>0.74956037914241347</v>
      </c>
      <c r="J28" s="5">
        <v>8.529047501594647</v>
      </c>
      <c r="K28">
        <v>3094</v>
      </c>
      <c r="L28">
        <v>12923</v>
      </c>
      <c r="M28">
        <v>5397</v>
      </c>
      <c r="N28">
        <v>21414</v>
      </c>
      <c r="O28" s="6">
        <v>23205000</v>
      </c>
      <c r="P28" s="6">
        <v>32307500</v>
      </c>
      <c r="Q28" s="6">
        <v>6476400</v>
      </c>
      <c r="R28" s="6">
        <v>61988900</v>
      </c>
      <c r="S28" s="2">
        <v>14.744999999999999</v>
      </c>
      <c r="T28" s="2">
        <v>8.2102222222222228</v>
      </c>
      <c r="U28" s="2">
        <v>1.0287333333333333</v>
      </c>
      <c r="V28" s="2">
        <v>23.983955555555553</v>
      </c>
      <c r="W28">
        <v>60</v>
      </c>
      <c r="X28">
        <v>0</v>
      </c>
      <c r="Y28">
        <v>0</v>
      </c>
      <c r="Z28">
        <v>60</v>
      </c>
      <c r="AA28" s="2">
        <v>4795069.1758388337</v>
      </c>
      <c r="AB28" s="6">
        <v>1476000</v>
      </c>
      <c r="AC28" s="6">
        <v>0</v>
      </c>
      <c r="AD28" s="6">
        <v>0</v>
      </c>
      <c r="AE28" s="6">
        <v>1476000</v>
      </c>
      <c r="AF28" s="3">
        <v>9.8379613575536169</v>
      </c>
      <c r="AG28">
        <v>60</v>
      </c>
      <c r="AH28">
        <v>0</v>
      </c>
      <c r="AI28">
        <v>0</v>
      </c>
      <c r="AJ28">
        <v>60</v>
      </c>
      <c r="AK28" s="2">
        <v>1312914.4888611527</v>
      </c>
      <c r="AL28" s="6">
        <v>468000</v>
      </c>
      <c r="AM28" s="6">
        <v>0</v>
      </c>
      <c r="AN28" s="6">
        <v>0</v>
      </c>
      <c r="AO28" s="6">
        <v>468000</v>
      </c>
      <c r="AP28" s="3">
        <v>0.49416369832020657</v>
      </c>
      <c r="AQ28">
        <v>174</v>
      </c>
      <c r="AR28">
        <v>3</v>
      </c>
      <c r="AS28">
        <v>0</v>
      </c>
      <c r="AT28">
        <v>177</v>
      </c>
      <c r="AU28" s="2">
        <v>2196091.7414119258</v>
      </c>
      <c r="AV28" s="6">
        <v>1698240</v>
      </c>
      <c r="AW28" s="6">
        <v>636000</v>
      </c>
      <c r="AX28" s="6">
        <v>0</v>
      </c>
      <c r="AY28" s="6">
        <v>2334240</v>
      </c>
      <c r="AZ28" s="3">
        <v>43.643437442659689</v>
      </c>
      <c r="BA28">
        <v>5</v>
      </c>
      <c r="BB28">
        <v>0</v>
      </c>
      <c r="BC28">
        <v>0</v>
      </c>
      <c r="BD28">
        <v>5</v>
      </c>
      <c r="BE28" s="2">
        <v>63712.104140123382</v>
      </c>
      <c r="BF28" s="6">
        <v>29550</v>
      </c>
      <c r="BG28" s="6">
        <v>0</v>
      </c>
      <c r="BH28" s="6">
        <v>0</v>
      </c>
      <c r="BI28" s="6">
        <v>29550</v>
      </c>
      <c r="BJ28" s="3">
        <v>62.935198310029023</v>
      </c>
      <c r="BK28" s="6">
        <v>3671790</v>
      </c>
      <c r="BL28" s="6">
        <v>636000</v>
      </c>
      <c r="BM28" s="6">
        <v>0</v>
      </c>
      <c r="BN28" s="6">
        <v>4307790</v>
      </c>
      <c r="BO28" s="3">
        <v>116.91076080856254</v>
      </c>
      <c r="BP28" s="7">
        <v>66296690</v>
      </c>
      <c r="BQ28" s="2">
        <v>42.268414909235425</v>
      </c>
      <c r="BR28" s="2">
        <v>183.16313127335351</v>
      </c>
    </row>
    <row r="29" spans="1:70">
      <c r="A29">
        <v>2002</v>
      </c>
      <c r="B29" s="1">
        <v>61532</v>
      </c>
      <c r="C29" s="2">
        <v>9006286.7557978909</v>
      </c>
      <c r="D29" s="3">
        <v>146.36752837219481</v>
      </c>
      <c r="E29" s="1">
        <v>36919</v>
      </c>
      <c r="F29" s="4">
        <v>0.75063276694914371</v>
      </c>
      <c r="G29" s="4">
        <v>0.5743139404276465</v>
      </c>
      <c r="H29" s="4">
        <v>0.99999997373764471</v>
      </c>
      <c r="I29" s="4">
        <v>0.75542662663803928</v>
      </c>
      <c r="J29" s="5">
        <v>8.614709106414697</v>
      </c>
      <c r="K29">
        <v>3285</v>
      </c>
      <c r="L29">
        <v>13269</v>
      </c>
      <c r="M29">
        <v>5292</v>
      </c>
      <c r="N29">
        <v>21846</v>
      </c>
      <c r="O29" s="6">
        <v>24637500</v>
      </c>
      <c r="P29" s="6">
        <v>33172500</v>
      </c>
      <c r="Q29" s="6">
        <v>6350400</v>
      </c>
      <c r="R29" s="6">
        <v>64160400</v>
      </c>
      <c r="S29" s="2">
        <v>15.421666666666667</v>
      </c>
      <c r="T29" s="2">
        <v>8.3051111111111116</v>
      </c>
      <c r="U29" s="2">
        <v>0.9936666666666667</v>
      </c>
      <c r="V29" s="2">
        <v>24.720444444444443</v>
      </c>
      <c r="W29">
        <v>61</v>
      </c>
      <c r="X29">
        <v>0</v>
      </c>
      <c r="Y29">
        <v>0</v>
      </c>
      <c r="Z29">
        <v>61</v>
      </c>
      <c r="AA29" s="2">
        <v>5146779.017590289</v>
      </c>
      <c r="AB29" s="6">
        <v>1500600</v>
      </c>
      <c r="AC29" s="6">
        <v>0</v>
      </c>
      <c r="AD29" s="6">
        <v>0</v>
      </c>
      <c r="AE29" s="6">
        <v>1500600</v>
      </c>
      <c r="AF29" s="3">
        <v>10.390894671930283</v>
      </c>
      <c r="AG29">
        <v>61</v>
      </c>
      <c r="AH29">
        <v>0</v>
      </c>
      <c r="AI29">
        <v>0</v>
      </c>
      <c r="AJ29">
        <v>61</v>
      </c>
      <c r="AK29" s="2">
        <v>1390813.5000198551</v>
      </c>
      <c r="AL29" s="6">
        <v>478240</v>
      </c>
      <c r="AM29" s="6">
        <v>0</v>
      </c>
      <c r="AN29" s="6">
        <v>0</v>
      </c>
      <c r="AO29" s="6">
        <v>478240</v>
      </c>
      <c r="AP29" s="3">
        <v>0.50315568311705627</v>
      </c>
      <c r="AQ29">
        <v>188</v>
      </c>
      <c r="AR29">
        <v>3</v>
      </c>
      <c r="AS29">
        <v>0</v>
      </c>
      <c r="AT29">
        <v>191</v>
      </c>
      <c r="AU29" s="2">
        <v>2404118.9974305178</v>
      </c>
      <c r="AV29" s="6">
        <v>1752160</v>
      </c>
      <c r="AW29" s="6">
        <v>594000</v>
      </c>
      <c r="AX29" s="6">
        <v>0</v>
      </c>
      <c r="AY29" s="6">
        <v>2346160</v>
      </c>
      <c r="AZ29" s="3">
        <v>49.083298352167887</v>
      </c>
      <c r="BA29">
        <v>4</v>
      </c>
      <c r="BB29">
        <v>0</v>
      </c>
      <c r="BC29">
        <v>0</v>
      </c>
      <c r="BD29">
        <v>4</v>
      </c>
      <c r="BE29" s="2">
        <v>64575.24075722845</v>
      </c>
      <c r="BF29" s="6">
        <v>22200</v>
      </c>
      <c r="BG29" s="6">
        <v>0</v>
      </c>
      <c r="BH29" s="6">
        <v>0</v>
      </c>
      <c r="BI29" s="6">
        <v>22200</v>
      </c>
      <c r="BJ29" s="3">
        <v>66.168436777608491</v>
      </c>
      <c r="BK29" s="6">
        <v>3753200</v>
      </c>
      <c r="BL29" s="6">
        <v>594000</v>
      </c>
      <c r="BM29" s="6">
        <v>0</v>
      </c>
      <c r="BN29" s="6">
        <v>4347200</v>
      </c>
      <c r="BO29" s="3">
        <v>126.14578548482372</v>
      </c>
      <c r="BP29" s="7">
        <v>68507600</v>
      </c>
      <c r="BQ29" s="2">
        <v>45.259868978780453</v>
      </c>
      <c r="BR29" s="2">
        <v>196.12609890804862</v>
      </c>
    </row>
    <row r="30" spans="1:70">
      <c r="A30">
        <v>2003</v>
      </c>
      <c r="B30" s="1">
        <v>61839</v>
      </c>
      <c r="C30" s="2">
        <v>9687670.3959304113</v>
      </c>
      <c r="D30" s="3">
        <v>156.65955781837371</v>
      </c>
      <c r="E30" s="1">
        <v>37103</v>
      </c>
      <c r="F30" s="4">
        <v>0.76050586774205597</v>
      </c>
      <c r="G30" s="4">
        <v>0.579692144514942</v>
      </c>
      <c r="H30" s="4">
        <v>0.999999994391226</v>
      </c>
      <c r="I30" s="4">
        <v>0.76108528862845826</v>
      </c>
      <c r="J30" s="5">
        <v>8.6953821677241301</v>
      </c>
      <c r="K30">
        <v>3479</v>
      </c>
      <c r="L30">
        <v>13615</v>
      </c>
      <c r="M30">
        <v>5182</v>
      </c>
      <c r="N30">
        <v>22276</v>
      </c>
      <c r="O30" s="6">
        <v>26092500</v>
      </c>
      <c r="P30" s="6">
        <v>34037500</v>
      </c>
      <c r="Q30" s="6">
        <v>6218400</v>
      </c>
      <c r="R30" s="6">
        <v>66348400</v>
      </c>
      <c r="S30" s="2">
        <v>16.096666666666668</v>
      </c>
      <c r="T30" s="2">
        <v>8.3984444444444453</v>
      </c>
      <c r="U30" s="2">
        <v>0.95906666666666662</v>
      </c>
      <c r="V30" s="2">
        <v>25.45417777777778</v>
      </c>
      <c r="W30">
        <v>63</v>
      </c>
      <c r="X30">
        <v>0</v>
      </c>
      <c r="Y30">
        <v>0</v>
      </c>
      <c r="Z30">
        <v>63</v>
      </c>
      <c r="AA30" s="2">
        <v>5520159.2502362235</v>
      </c>
      <c r="AB30" s="6">
        <v>1543500</v>
      </c>
      <c r="AC30" s="6">
        <v>0</v>
      </c>
      <c r="AD30" s="6">
        <v>0</v>
      </c>
      <c r="AE30" s="6">
        <v>1543500</v>
      </c>
      <c r="AF30" s="3">
        <v>10.960149317992466</v>
      </c>
      <c r="AG30">
        <v>63</v>
      </c>
      <c r="AH30">
        <v>0</v>
      </c>
      <c r="AI30">
        <v>0</v>
      </c>
      <c r="AJ30">
        <v>63</v>
      </c>
      <c r="AK30" s="2">
        <v>1474009.7247573528</v>
      </c>
      <c r="AL30" s="6">
        <v>486360</v>
      </c>
      <c r="AM30" s="6">
        <v>0</v>
      </c>
      <c r="AN30" s="6">
        <v>0</v>
      </c>
      <c r="AO30" s="6">
        <v>486360</v>
      </c>
      <c r="AP30" s="3">
        <v>0.51290910275641954</v>
      </c>
      <c r="AQ30">
        <v>203</v>
      </c>
      <c r="AR30">
        <v>4</v>
      </c>
      <c r="AS30">
        <v>0</v>
      </c>
      <c r="AT30">
        <v>207</v>
      </c>
      <c r="AU30" s="2">
        <v>2628089.7317584343</v>
      </c>
      <c r="AV30" s="6">
        <v>2070600</v>
      </c>
      <c r="AW30" s="6">
        <v>960000</v>
      </c>
      <c r="AX30" s="6">
        <v>0</v>
      </c>
      <c r="AY30" s="6">
        <v>3030600</v>
      </c>
      <c r="AZ30" s="3">
        <v>54.474668283822581</v>
      </c>
      <c r="BA30">
        <v>4</v>
      </c>
      <c r="BB30">
        <v>0</v>
      </c>
      <c r="BC30">
        <v>0</v>
      </c>
      <c r="BD30">
        <v>4</v>
      </c>
      <c r="BE30" s="2">
        <v>65411.689178401037</v>
      </c>
      <c r="BF30" s="6">
        <v>23280</v>
      </c>
      <c r="BG30" s="6">
        <v>0</v>
      </c>
      <c r="BH30" s="6">
        <v>0</v>
      </c>
      <c r="BI30" s="6">
        <v>23280</v>
      </c>
      <c r="BJ30" s="3">
        <v>69.490829152997648</v>
      </c>
      <c r="BK30" s="6">
        <v>4123740</v>
      </c>
      <c r="BL30" s="6">
        <v>960000</v>
      </c>
      <c r="BM30" s="6">
        <v>0</v>
      </c>
      <c r="BN30" s="6">
        <v>5083740</v>
      </c>
      <c r="BO30" s="3">
        <v>135.4385558575691</v>
      </c>
      <c r="BP30" s="7">
        <v>71432140</v>
      </c>
      <c r="BQ30" s="2">
        <v>48.267820090604062</v>
      </c>
      <c r="BR30" s="2">
        <v>209.16055372595093</v>
      </c>
    </row>
    <row r="31" spans="1:70">
      <c r="A31">
        <v>2004</v>
      </c>
      <c r="B31" s="1">
        <v>62148</v>
      </c>
      <c r="C31" s="2">
        <v>10415181.085508183</v>
      </c>
      <c r="D31" s="3">
        <v>167.58674592115889</v>
      </c>
      <c r="E31" s="1">
        <v>37288</v>
      </c>
      <c r="F31" s="4">
        <v>0.77027443469720325</v>
      </c>
      <c r="G31" s="4">
        <v>0.58475714637873477</v>
      </c>
      <c r="H31" s="4">
        <v>0.99999999891100633</v>
      </c>
      <c r="I31" s="4">
        <v>0.76654973970906148</v>
      </c>
      <c r="J31" s="5">
        <v>8.7713571956810217</v>
      </c>
      <c r="K31">
        <v>3677</v>
      </c>
      <c r="L31">
        <v>13960</v>
      </c>
      <c r="M31">
        <v>5069</v>
      </c>
      <c r="N31">
        <v>22706</v>
      </c>
      <c r="O31" s="6">
        <v>27577500</v>
      </c>
      <c r="P31" s="6">
        <v>34900000</v>
      </c>
      <c r="Q31" s="6">
        <v>6082800</v>
      </c>
      <c r="R31" s="6">
        <v>68560300</v>
      </c>
      <c r="S31" s="2">
        <v>16.771666666666668</v>
      </c>
      <c r="T31" s="2">
        <v>8.4906666666666659</v>
      </c>
      <c r="U31" s="2">
        <v>0.92500000000000004</v>
      </c>
      <c r="V31" s="2">
        <v>26.187333333333335</v>
      </c>
      <c r="W31">
        <v>64</v>
      </c>
      <c r="X31">
        <v>0</v>
      </c>
      <c r="Y31">
        <v>0</v>
      </c>
      <c r="Z31">
        <v>64</v>
      </c>
      <c r="AA31" s="2">
        <v>5916509.614098575</v>
      </c>
      <c r="AB31" s="6">
        <v>1542400</v>
      </c>
      <c r="AC31" s="6">
        <v>0</v>
      </c>
      <c r="AD31" s="6">
        <v>0</v>
      </c>
      <c r="AE31" s="6">
        <v>1542400</v>
      </c>
      <c r="AF31" s="3">
        <v>11.546106584752403</v>
      </c>
      <c r="AG31">
        <v>64</v>
      </c>
      <c r="AH31">
        <v>0</v>
      </c>
      <c r="AI31">
        <v>0</v>
      </c>
      <c r="AJ31">
        <v>64</v>
      </c>
      <c r="AK31" s="2">
        <v>1562868.0049147487</v>
      </c>
      <c r="AL31" s="6">
        <v>494080</v>
      </c>
      <c r="AM31" s="6">
        <v>0</v>
      </c>
      <c r="AN31" s="6">
        <v>0</v>
      </c>
      <c r="AO31" s="6">
        <v>494080</v>
      </c>
      <c r="AP31" s="3">
        <v>0.52342945937871621</v>
      </c>
      <c r="AQ31">
        <v>219</v>
      </c>
      <c r="AR31">
        <v>4</v>
      </c>
      <c r="AS31">
        <v>0</v>
      </c>
      <c r="AT31">
        <v>223</v>
      </c>
      <c r="AU31" s="2">
        <v>2869584.1865372951</v>
      </c>
      <c r="AV31" s="6">
        <v>2041080</v>
      </c>
      <c r="AW31" s="6">
        <v>736000</v>
      </c>
      <c r="AX31" s="6">
        <v>0</v>
      </c>
      <c r="AY31" s="6">
        <v>2777080</v>
      </c>
      <c r="AZ31" s="3">
        <v>59.832055960487772</v>
      </c>
      <c r="BA31">
        <v>4</v>
      </c>
      <c r="BB31">
        <v>0</v>
      </c>
      <c r="BC31">
        <v>0</v>
      </c>
      <c r="BD31">
        <v>4</v>
      </c>
      <c r="BE31" s="2">
        <v>66219.279957565232</v>
      </c>
      <c r="BF31" s="6">
        <v>22740</v>
      </c>
      <c r="BG31" s="6">
        <v>0</v>
      </c>
      <c r="BH31" s="6">
        <v>0</v>
      </c>
      <c r="BI31" s="6">
        <v>22740</v>
      </c>
      <c r="BJ31" s="3">
        <v>72.904798119693609</v>
      </c>
      <c r="BK31" s="6">
        <v>4100300</v>
      </c>
      <c r="BL31" s="6">
        <v>736000</v>
      </c>
      <c r="BM31" s="6">
        <v>0</v>
      </c>
      <c r="BN31" s="6">
        <v>4836300</v>
      </c>
      <c r="BO31" s="3">
        <v>144.80639012431249</v>
      </c>
      <c r="BP31" s="7">
        <v>73396600</v>
      </c>
      <c r="BQ31" s="2">
        <v>51.298117037293743</v>
      </c>
      <c r="BR31" s="2">
        <v>222.29184049493955</v>
      </c>
    </row>
    <row r="32" spans="1:70">
      <c r="A32">
        <v>2005</v>
      </c>
      <c r="B32" s="1">
        <v>62458</v>
      </c>
      <c r="C32" s="2">
        <v>11192005.764868068</v>
      </c>
      <c r="D32" s="3">
        <v>179.1925096043432</v>
      </c>
      <c r="E32" s="1">
        <v>37474</v>
      </c>
      <c r="F32" s="4">
        <v>0.77994700735256062</v>
      </c>
      <c r="G32" s="4">
        <v>0.58952718549659289</v>
      </c>
      <c r="H32" s="4">
        <v>0.99999999980902454</v>
      </c>
      <c r="I32" s="4">
        <v>0.77183235059089939</v>
      </c>
      <c r="J32" s="5">
        <v>8.8429077824488935</v>
      </c>
      <c r="K32">
        <v>3877</v>
      </c>
      <c r="L32">
        <v>14303</v>
      </c>
      <c r="M32">
        <v>4952</v>
      </c>
      <c r="N32">
        <v>23132</v>
      </c>
      <c r="O32" s="6">
        <v>29077500</v>
      </c>
      <c r="P32" s="6">
        <v>35757500</v>
      </c>
      <c r="Q32" s="6">
        <v>5942400</v>
      </c>
      <c r="R32" s="6">
        <v>70777400</v>
      </c>
      <c r="S32" s="2">
        <v>17.446666666666665</v>
      </c>
      <c r="T32" s="2">
        <v>8.5817777777777771</v>
      </c>
      <c r="U32" s="2">
        <v>0.89139999999999997</v>
      </c>
      <c r="V32" s="2">
        <v>26.919844444444443</v>
      </c>
      <c r="W32">
        <v>66</v>
      </c>
      <c r="X32">
        <v>0</v>
      </c>
      <c r="Y32">
        <v>0</v>
      </c>
      <c r="Z32">
        <v>66</v>
      </c>
      <c r="AA32" s="2">
        <v>6337120.9069117885</v>
      </c>
      <c r="AB32" s="6">
        <v>1630200</v>
      </c>
      <c r="AC32" s="6">
        <v>0</v>
      </c>
      <c r="AD32" s="6">
        <v>0</v>
      </c>
      <c r="AE32" s="6">
        <v>1630200</v>
      </c>
      <c r="AF32" s="3">
        <v>12.149163180087825</v>
      </c>
      <c r="AG32">
        <v>66</v>
      </c>
      <c r="AH32">
        <v>0</v>
      </c>
      <c r="AI32">
        <v>0</v>
      </c>
      <c r="AJ32">
        <v>66</v>
      </c>
      <c r="AK32" s="2">
        <v>1657748.8566579327</v>
      </c>
      <c r="AL32" s="6">
        <v>504240</v>
      </c>
      <c r="AM32" s="6">
        <v>0</v>
      </c>
      <c r="AN32" s="6">
        <v>0</v>
      </c>
      <c r="AO32" s="6">
        <v>504240</v>
      </c>
      <c r="AP32" s="3">
        <v>0.53472288789778322</v>
      </c>
      <c r="AQ32">
        <v>236</v>
      </c>
      <c r="AR32">
        <v>5</v>
      </c>
      <c r="AS32">
        <v>0</v>
      </c>
      <c r="AT32">
        <v>241</v>
      </c>
      <c r="AU32" s="2">
        <v>3130141.9278563675</v>
      </c>
      <c r="AV32" s="6">
        <v>2303360</v>
      </c>
      <c r="AW32" s="6">
        <v>1200000</v>
      </c>
      <c r="AX32" s="6">
        <v>0</v>
      </c>
      <c r="AY32" s="6">
        <v>3503360</v>
      </c>
      <c r="AZ32" s="3">
        <v>65.169108596309442</v>
      </c>
      <c r="BA32">
        <v>4</v>
      </c>
      <c r="BB32">
        <v>0</v>
      </c>
      <c r="BC32">
        <v>0</v>
      </c>
      <c r="BD32">
        <v>4</v>
      </c>
      <c r="BE32" s="2">
        <v>66994.073441977816</v>
      </c>
      <c r="BF32" s="6">
        <v>23280</v>
      </c>
      <c r="BG32" s="6">
        <v>0</v>
      </c>
      <c r="BH32" s="6">
        <v>0</v>
      </c>
      <c r="BI32" s="6">
        <v>23280</v>
      </c>
      <c r="BJ32" s="3">
        <v>76.41284322789565</v>
      </c>
      <c r="BK32" s="6">
        <v>4461080</v>
      </c>
      <c r="BL32" s="6">
        <v>1200000</v>
      </c>
      <c r="BM32" s="6">
        <v>0</v>
      </c>
      <c r="BN32" s="6">
        <v>5661080</v>
      </c>
      <c r="BO32" s="3">
        <v>154.26583789219069</v>
      </c>
      <c r="BP32" s="7">
        <v>76438480</v>
      </c>
      <c r="BQ32" s="2">
        <v>54.355704700990536</v>
      </c>
      <c r="BR32" s="2">
        <v>235.54138703762567</v>
      </c>
    </row>
    <row r="33" spans="1:70">
      <c r="A33">
        <v>2006</v>
      </c>
      <c r="B33" s="1">
        <v>62770</v>
      </c>
      <c r="C33" s="2">
        <v>12021662.450328872</v>
      </c>
      <c r="D33" s="3">
        <v>191.51923610528709</v>
      </c>
      <c r="E33" s="1">
        <v>37662</v>
      </c>
      <c r="F33" s="4">
        <v>0.78952794699853968</v>
      </c>
      <c r="G33" s="4">
        <v>0.59401943916160127</v>
      </c>
      <c r="H33" s="4">
        <v>0.99999999996994182</v>
      </c>
      <c r="I33" s="4">
        <v>0.77694341158595193</v>
      </c>
      <c r="J33" s="5">
        <v>8.9102915874240196</v>
      </c>
      <c r="K33">
        <v>4079</v>
      </c>
      <c r="L33">
        <v>14642</v>
      </c>
      <c r="M33">
        <v>4830</v>
      </c>
      <c r="N33">
        <v>23551</v>
      </c>
      <c r="O33" s="6">
        <v>30592500</v>
      </c>
      <c r="P33" s="6">
        <v>36605000</v>
      </c>
      <c r="Q33" s="6">
        <v>5796000</v>
      </c>
      <c r="R33" s="6">
        <v>72993500</v>
      </c>
      <c r="S33" s="2">
        <v>18.118333333333332</v>
      </c>
      <c r="T33" s="2">
        <v>8.6717777777777769</v>
      </c>
      <c r="U33" s="2">
        <v>0.85826666666666662</v>
      </c>
      <c r="V33" s="2">
        <v>27.648377777777775</v>
      </c>
      <c r="W33">
        <v>67</v>
      </c>
      <c r="X33">
        <v>1</v>
      </c>
      <c r="Y33">
        <v>0</v>
      </c>
      <c r="Z33">
        <v>68</v>
      </c>
      <c r="AA33" s="2">
        <v>6783441.4875499057</v>
      </c>
      <c r="AB33" s="6">
        <v>1628100</v>
      </c>
      <c r="AC33" s="6">
        <v>241000</v>
      </c>
      <c r="AD33" s="6">
        <v>0</v>
      </c>
      <c r="AE33" s="6">
        <v>1869100</v>
      </c>
      <c r="AF33" s="3">
        <v>12.769698920872445</v>
      </c>
      <c r="AG33">
        <v>67</v>
      </c>
      <c r="AH33">
        <v>1</v>
      </c>
      <c r="AI33">
        <v>0</v>
      </c>
      <c r="AJ33">
        <v>68</v>
      </c>
      <c r="AK33" s="2">
        <v>1759066.7114523228</v>
      </c>
      <c r="AL33" s="6">
        <v>514560</v>
      </c>
      <c r="AM33" s="6">
        <v>97000</v>
      </c>
      <c r="AN33" s="6">
        <v>0</v>
      </c>
      <c r="AO33" s="6">
        <v>611560</v>
      </c>
      <c r="AP33" s="3">
        <v>0.54679548316897242</v>
      </c>
      <c r="AQ33">
        <v>255</v>
      </c>
      <c r="AR33">
        <v>5</v>
      </c>
      <c r="AS33">
        <v>0</v>
      </c>
      <c r="AT33">
        <v>260</v>
      </c>
      <c r="AU33" s="2">
        <v>3411420.7457205895</v>
      </c>
      <c r="AV33" s="6">
        <v>2432700</v>
      </c>
      <c r="AW33" s="6">
        <v>780000</v>
      </c>
      <c r="AX33" s="6">
        <v>0</v>
      </c>
      <c r="AY33" s="6">
        <v>3212700</v>
      </c>
      <c r="AZ33" s="3">
        <v>70.498435624150702</v>
      </c>
      <c r="BA33">
        <v>4</v>
      </c>
      <c r="BB33">
        <v>0</v>
      </c>
      <c r="BC33">
        <v>0</v>
      </c>
      <c r="BD33">
        <v>4</v>
      </c>
      <c r="BE33" s="2">
        <v>67733.505606054139</v>
      </c>
      <c r="BF33" s="6">
        <v>22560</v>
      </c>
      <c r="BG33" s="6">
        <v>0</v>
      </c>
      <c r="BH33" s="6">
        <v>0</v>
      </c>
      <c r="BI33" s="6">
        <v>22560</v>
      </c>
      <c r="BJ33" s="3">
        <v>80.017271668355164</v>
      </c>
      <c r="BK33" s="6">
        <v>4597920</v>
      </c>
      <c r="BL33" s="6">
        <v>1118000</v>
      </c>
      <c r="BM33" s="6">
        <v>0</v>
      </c>
      <c r="BN33" s="6">
        <v>5715920</v>
      </c>
      <c r="BO33" s="3">
        <v>163.83220169654729</v>
      </c>
      <c r="BP33" s="7">
        <v>78709420</v>
      </c>
      <c r="BQ33" s="2">
        <v>57.444173842297516</v>
      </c>
      <c r="BR33" s="2">
        <v>248.92475331662257</v>
      </c>
    </row>
    <row r="34" spans="1:70">
      <c r="A34">
        <v>2007</v>
      </c>
      <c r="B34" s="1">
        <v>63083</v>
      </c>
      <c r="C34" s="2">
        <v>12906957.382940669</v>
      </c>
      <c r="D34" s="3">
        <v>204.60278336383286</v>
      </c>
      <c r="E34" s="1">
        <v>37849</v>
      </c>
      <c r="F34" s="4">
        <v>0.79901436517776292</v>
      </c>
      <c r="G34" s="4">
        <v>0.59825008433916993</v>
      </c>
      <c r="H34" s="4">
        <v>0.99999999999577682</v>
      </c>
      <c r="I34" s="4">
        <v>0.78189022784932116</v>
      </c>
      <c r="J34" s="5">
        <v>8.9737512650875484</v>
      </c>
      <c r="K34">
        <v>4282</v>
      </c>
      <c r="L34">
        <v>14975</v>
      </c>
      <c r="M34">
        <v>4704</v>
      </c>
      <c r="N34">
        <v>23961</v>
      </c>
      <c r="O34" s="6">
        <v>32115000</v>
      </c>
      <c r="P34" s="6">
        <v>37437500</v>
      </c>
      <c r="Q34" s="6">
        <v>5644800</v>
      </c>
      <c r="R34" s="6">
        <v>75197300</v>
      </c>
      <c r="S34" s="2">
        <v>18.79</v>
      </c>
      <c r="T34" s="2">
        <v>8.7608888888888892</v>
      </c>
      <c r="U34" s="2">
        <v>0.8256</v>
      </c>
      <c r="V34" s="2">
        <v>28.37648888888889</v>
      </c>
      <c r="W34">
        <v>69</v>
      </c>
      <c r="X34">
        <v>1</v>
      </c>
      <c r="Y34">
        <v>0</v>
      </c>
      <c r="Z34">
        <v>70</v>
      </c>
      <c r="AA34" s="2">
        <v>7256594.6713661887</v>
      </c>
      <c r="AB34" s="6">
        <v>1669800</v>
      </c>
      <c r="AC34" s="6">
        <v>240000</v>
      </c>
      <c r="AD34" s="6">
        <v>0</v>
      </c>
      <c r="AE34" s="6">
        <v>1909800</v>
      </c>
      <c r="AF34" s="3">
        <v>13.408117450328715</v>
      </c>
      <c r="AG34">
        <v>69</v>
      </c>
      <c r="AH34">
        <v>1</v>
      </c>
      <c r="AI34">
        <v>0</v>
      </c>
      <c r="AJ34">
        <v>70</v>
      </c>
      <c r="AK34" s="2">
        <v>1867128.4075060331</v>
      </c>
      <c r="AL34" s="6">
        <v>532680</v>
      </c>
      <c r="AM34" s="6">
        <v>99000</v>
      </c>
      <c r="AN34" s="6">
        <v>0</v>
      </c>
      <c r="AO34" s="6">
        <v>631680</v>
      </c>
      <c r="AP34" s="3">
        <v>0.55965412835533268</v>
      </c>
      <c r="AQ34">
        <v>275</v>
      </c>
      <c r="AR34">
        <v>6</v>
      </c>
      <c r="AS34">
        <v>0</v>
      </c>
      <c r="AT34">
        <v>281</v>
      </c>
      <c r="AU34" s="2">
        <v>3714805.9886035142</v>
      </c>
      <c r="AV34" s="6">
        <v>2563000</v>
      </c>
      <c r="AW34" s="6">
        <v>852000</v>
      </c>
      <c r="AX34" s="6">
        <v>0</v>
      </c>
      <c r="AY34" s="6">
        <v>3415000</v>
      </c>
      <c r="AZ34" s="3">
        <v>75.832001904754719</v>
      </c>
      <c r="BA34">
        <v>4</v>
      </c>
      <c r="BB34">
        <v>0</v>
      </c>
      <c r="BC34">
        <v>0</v>
      </c>
      <c r="BD34">
        <v>4</v>
      </c>
      <c r="BE34" s="2">
        <v>68428.31546493221</v>
      </c>
      <c r="BF34" s="6">
        <v>22920</v>
      </c>
      <c r="BG34" s="6">
        <v>0</v>
      </c>
      <c r="BH34" s="6">
        <v>0</v>
      </c>
      <c r="BI34" s="6">
        <v>22920</v>
      </c>
      <c r="BJ34" s="3">
        <v>83.720548374091464</v>
      </c>
      <c r="BK34" s="6">
        <v>4788400</v>
      </c>
      <c r="BL34" s="6">
        <v>1191000</v>
      </c>
      <c r="BM34" s="6">
        <v>0</v>
      </c>
      <c r="BN34" s="6">
        <v>5979400</v>
      </c>
      <c r="BO34" s="3">
        <v>173.52032185753023</v>
      </c>
      <c r="BP34" s="7">
        <v>81176700</v>
      </c>
      <c r="BQ34" s="2">
        <v>60.569043223925739</v>
      </c>
      <c r="BR34" s="2">
        <v>262.46585397034488</v>
      </c>
    </row>
    <row r="35" spans="1:70">
      <c r="A35">
        <v>2008</v>
      </c>
      <c r="B35" s="1">
        <v>63398</v>
      </c>
      <c r="C35" s="2">
        <v>13852138.456174096</v>
      </c>
      <c r="D35" s="3">
        <v>218.49488085072235</v>
      </c>
      <c r="E35" s="1">
        <v>38038</v>
      </c>
      <c r="F35" s="4">
        <v>0.80841376691326361</v>
      </c>
      <c r="G35" s="4">
        <v>0.60223435592158336</v>
      </c>
      <c r="H35" s="4">
        <v>0.99999999999947442</v>
      </c>
      <c r="I35" s="4">
        <v>0.78668295902813945</v>
      </c>
      <c r="J35" s="5">
        <v>9.0335153388237508</v>
      </c>
      <c r="K35">
        <v>4486</v>
      </c>
      <c r="L35">
        <v>15301</v>
      </c>
      <c r="M35">
        <v>4572</v>
      </c>
      <c r="N35">
        <v>24359</v>
      </c>
      <c r="O35" s="6">
        <v>33645000</v>
      </c>
      <c r="P35" s="6">
        <v>38252500</v>
      </c>
      <c r="Q35" s="6">
        <v>5486400</v>
      </c>
      <c r="R35" s="6">
        <v>77383900</v>
      </c>
      <c r="S35" s="2">
        <v>19.458333333333332</v>
      </c>
      <c r="T35" s="2">
        <v>8.8491111111111103</v>
      </c>
      <c r="U35" s="2">
        <v>0.79333333333333333</v>
      </c>
      <c r="V35" s="2">
        <v>29.100777777777775</v>
      </c>
      <c r="W35">
        <v>70</v>
      </c>
      <c r="X35">
        <v>1</v>
      </c>
      <c r="Y35">
        <v>0</v>
      </c>
      <c r="Z35">
        <v>71</v>
      </c>
      <c r="AA35" s="2">
        <v>7758364.7331060618</v>
      </c>
      <c r="AB35" s="6">
        <v>1701000</v>
      </c>
      <c r="AC35" s="6">
        <v>243000</v>
      </c>
      <c r="AD35" s="6">
        <v>0</v>
      </c>
      <c r="AE35" s="6">
        <v>1944000</v>
      </c>
      <c r="AF35" s="3">
        <v>14.064812207565693</v>
      </c>
      <c r="AG35">
        <v>70</v>
      </c>
      <c r="AH35">
        <v>1</v>
      </c>
      <c r="AI35">
        <v>0</v>
      </c>
      <c r="AJ35">
        <v>71</v>
      </c>
      <c r="AK35" s="2">
        <v>1982460.7717018633</v>
      </c>
      <c r="AL35" s="6">
        <v>548800</v>
      </c>
      <c r="AM35" s="6">
        <v>95000</v>
      </c>
      <c r="AN35" s="6">
        <v>0</v>
      </c>
      <c r="AO35" s="6">
        <v>643800</v>
      </c>
      <c r="AP35" s="3">
        <v>0.57330579209335397</v>
      </c>
      <c r="AQ35">
        <v>297</v>
      </c>
      <c r="AR35">
        <v>7</v>
      </c>
      <c r="AS35">
        <v>0</v>
      </c>
      <c r="AT35">
        <v>304</v>
      </c>
      <c r="AU35" s="2">
        <v>4042234.2574528572</v>
      </c>
      <c r="AV35" s="6">
        <v>2768040</v>
      </c>
      <c r="AW35" s="6">
        <v>1582000</v>
      </c>
      <c r="AX35" s="6">
        <v>0</v>
      </c>
      <c r="AY35" s="6">
        <v>4350040</v>
      </c>
      <c r="AZ35" s="3">
        <v>81.180924598129806</v>
      </c>
      <c r="BA35">
        <v>4</v>
      </c>
      <c r="BB35">
        <v>0</v>
      </c>
      <c r="BC35">
        <v>0</v>
      </c>
      <c r="BD35">
        <v>4</v>
      </c>
      <c r="BE35" s="2">
        <v>69078.693913315117</v>
      </c>
      <c r="BF35" s="6">
        <v>23460</v>
      </c>
      <c r="BG35" s="6">
        <v>0</v>
      </c>
      <c r="BH35" s="6">
        <v>0</v>
      </c>
      <c r="BI35" s="6">
        <v>23460</v>
      </c>
      <c r="BJ35" s="3">
        <v>87.525008572154817</v>
      </c>
      <c r="BK35" s="6">
        <v>5041300</v>
      </c>
      <c r="BL35" s="6">
        <v>1920000</v>
      </c>
      <c r="BM35" s="6">
        <v>0</v>
      </c>
      <c r="BN35" s="6">
        <v>6961300</v>
      </c>
      <c r="BO35" s="3">
        <v>183.34405116994367</v>
      </c>
      <c r="BP35" s="7">
        <v>84345200</v>
      </c>
      <c r="BQ35" s="2">
        <v>63.733448684316429</v>
      </c>
      <c r="BR35" s="2">
        <v>276.17827763203786</v>
      </c>
    </row>
    <row r="36" spans="1:70">
      <c r="A36">
        <v>2009</v>
      </c>
      <c r="B36" s="1">
        <v>63714</v>
      </c>
      <c r="C36" s="2">
        <v>14860761.168755017</v>
      </c>
      <c r="D36" s="3">
        <v>233.24169207324948</v>
      </c>
      <c r="E36" s="1">
        <v>38228</v>
      </c>
      <c r="F36" s="4">
        <v>0.81772685459621719</v>
      </c>
      <c r="G36" s="4">
        <v>0.6059866015900679</v>
      </c>
      <c r="H36" s="4">
        <v>0.99999999999994249</v>
      </c>
      <c r="I36" s="4">
        <v>0.79132902268021688</v>
      </c>
      <c r="J36" s="5">
        <v>9.0897990238510182</v>
      </c>
      <c r="K36">
        <v>4690</v>
      </c>
      <c r="L36">
        <v>15619</v>
      </c>
      <c r="M36">
        <v>4436</v>
      </c>
      <c r="N36">
        <v>24745</v>
      </c>
      <c r="O36" s="6">
        <v>35175000</v>
      </c>
      <c r="P36" s="6">
        <v>39047500</v>
      </c>
      <c r="Q36" s="6">
        <v>5323200</v>
      </c>
      <c r="R36" s="6">
        <v>79545700</v>
      </c>
      <c r="S36" s="2">
        <v>20.125</v>
      </c>
      <c r="T36" s="2">
        <v>8.9366666666666674</v>
      </c>
      <c r="U36" s="2">
        <v>0.76146666666666663</v>
      </c>
      <c r="V36" s="2">
        <v>29.823133333333335</v>
      </c>
      <c r="W36">
        <v>72</v>
      </c>
      <c r="X36">
        <v>1</v>
      </c>
      <c r="Y36">
        <v>0</v>
      </c>
      <c r="Z36">
        <v>73</v>
      </c>
      <c r="AA36" s="2">
        <v>8290213.0192220891</v>
      </c>
      <c r="AB36" s="6">
        <v>1771200</v>
      </c>
      <c r="AC36" s="6">
        <v>243000</v>
      </c>
      <c r="AD36" s="6">
        <v>0</v>
      </c>
      <c r="AE36" s="6">
        <v>2014200</v>
      </c>
      <c r="AF36" s="3">
        <v>14.740180492914311</v>
      </c>
      <c r="AG36">
        <v>72</v>
      </c>
      <c r="AH36">
        <v>1</v>
      </c>
      <c r="AI36">
        <v>0</v>
      </c>
      <c r="AJ36">
        <v>73</v>
      </c>
      <c r="AK36" s="2">
        <v>2105485.2905164217</v>
      </c>
      <c r="AL36" s="6">
        <v>564480</v>
      </c>
      <c r="AM36" s="6">
        <v>97000</v>
      </c>
      <c r="AN36" s="6">
        <v>0</v>
      </c>
      <c r="AO36" s="6">
        <v>661480</v>
      </c>
      <c r="AP36" s="3">
        <v>0.58775780620144003</v>
      </c>
      <c r="AQ36">
        <v>320</v>
      </c>
      <c r="AR36">
        <v>8</v>
      </c>
      <c r="AS36">
        <v>0</v>
      </c>
      <c r="AT36">
        <v>328</v>
      </c>
      <c r="AU36" s="2">
        <v>4395384.7636230392</v>
      </c>
      <c r="AV36" s="6">
        <v>3123200</v>
      </c>
      <c r="AW36" s="6">
        <v>1248000</v>
      </c>
      <c r="AX36" s="6">
        <v>0</v>
      </c>
      <c r="AY36" s="6">
        <v>4371200</v>
      </c>
      <c r="AZ36" s="3">
        <v>86.555646081861909</v>
      </c>
      <c r="BA36">
        <v>4</v>
      </c>
      <c r="BB36">
        <v>0</v>
      </c>
      <c r="BC36">
        <v>0</v>
      </c>
      <c r="BD36">
        <v>4</v>
      </c>
      <c r="BE36" s="2">
        <v>69678.095393468437</v>
      </c>
      <c r="BF36" s="6">
        <v>23640</v>
      </c>
      <c r="BG36" s="6">
        <v>0</v>
      </c>
      <c r="BH36" s="6">
        <v>0</v>
      </c>
      <c r="BI36" s="6">
        <v>23640</v>
      </c>
      <c r="BJ36" s="3">
        <v>91.432982863294015</v>
      </c>
      <c r="BK36" s="6">
        <v>5482520</v>
      </c>
      <c r="BL36" s="6">
        <v>1588000</v>
      </c>
      <c r="BM36" s="6">
        <v>0</v>
      </c>
      <c r="BN36" s="6">
        <v>7070520</v>
      </c>
      <c r="BO36" s="3">
        <v>193.31656724427165</v>
      </c>
      <c r="BP36" s="7">
        <v>86616220</v>
      </c>
      <c r="BQ36" s="2">
        <v>66.941910173281499</v>
      </c>
      <c r="BR36" s="2">
        <v>290.08161075088651</v>
      </c>
    </row>
    <row r="37" spans="1:70">
      <c r="A37">
        <v>2010</v>
      </c>
      <c r="B37" s="1">
        <v>64032</v>
      </c>
      <c r="C37" s="2">
        <v>15936776.754979389</v>
      </c>
      <c r="D37" s="3">
        <v>248.88769295007791</v>
      </c>
      <c r="E37" s="1">
        <v>38419</v>
      </c>
      <c r="F37" s="4">
        <v>0.82695177048273194</v>
      </c>
      <c r="G37" s="4">
        <v>0.60952033348194179</v>
      </c>
      <c r="H37" s="4">
        <v>0.99999999999999456</v>
      </c>
      <c r="I37" s="4">
        <v>0.79583455676602621</v>
      </c>
      <c r="J37" s="5">
        <v>9.1428050022291263</v>
      </c>
      <c r="K37">
        <v>4893</v>
      </c>
      <c r="L37">
        <v>15926</v>
      </c>
      <c r="M37">
        <v>4295</v>
      </c>
      <c r="N37">
        <v>25114</v>
      </c>
      <c r="O37" s="6">
        <v>36697500</v>
      </c>
      <c r="P37" s="6">
        <v>39815000</v>
      </c>
      <c r="Q37" s="6">
        <v>5154000</v>
      </c>
      <c r="R37" s="6">
        <v>81666500</v>
      </c>
      <c r="S37" s="2">
        <v>20.79</v>
      </c>
      <c r="T37" s="2">
        <v>9.0233333333333334</v>
      </c>
      <c r="U37" s="2">
        <v>0.7301333333333333</v>
      </c>
      <c r="V37" s="2">
        <v>30.543466666666667</v>
      </c>
      <c r="W37">
        <v>74</v>
      </c>
      <c r="X37">
        <v>1</v>
      </c>
      <c r="Y37">
        <v>0</v>
      </c>
      <c r="Z37">
        <v>75</v>
      </c>
      <c r="AA37" s="2">
        <v>8853781.1167068277</v>
      </c>
      <c r="AB37" s="6">
        <v>1776000</v>
      </c>
      <c r="AC37" s="6">
        <v>241000</v>
      </c>
      <c r="AD37" s="6">
        <v>0</v>
      </c>
      <c r="AE37" s="6">
        <v>2017000</v>
      </c>
      <c r="AF37" s="3">
        <v>15.434639760608521</v>
      </c>
      <c r="AG37">
        <v>74</v>
      </c>
      <c r="AH37">
        <v>1</v>
      </c>
      <c r="AI37">
        <v>0</v>
      </c>
      <c r="AJ37">
        <v>75</v>
      </c>
      <c r="AK37" s="2">
        <v>2236683.4127303073</v>
      </c>
      <c r="AL37" s="6">
        <v>577200</v>
      </c>
      <c r="AM37" s="6">
        <v>96500</v>
      </c>
      <c r="AN37" s="6">
        <v>0</v>
      </c>
      <c r="AO37" s="6">
        <v>673700</v>
      </c>
      <c r="AP37" s="3">
        <v>0.60301819904183573</v>
      </c>
      <c r="AQ37">
        <v>345</v>
      </c>
      <c r="AR37">
        <v>8</v>
      </c>
      <c r="AS37">
        <v>0</v>
      </c>
      <c r="AT37">
        <v>353</v>
      </c>
      <c r="AU37" s="2">
        <v>4776090.8992585</v>
      </c>
      <c r="AV37" s="6">
        <v>2911800</v>
      </c>
      <c r="AW37" s="6">
        <v>1360000</v>
      </c>
      <c r="AX37" s="6">
        <v>0</v>
      </c>
      <c r="AY37" s="6">
        <v>4271800</v>
      </c>
      <c r="AZ37" s="3">
        <v>91.966117030227551</v>
      </c>
      <c r="BA37">
        <v>4</v>
      </c>
      <c r="BB37">
        <v>0</v>
      </c>
      <c r="BC37">
        <v>0</v>
      </c>
      <c r="BD37">
        <v>4</v>
      </c>
      <c r="BE37" s="2">
        <v>70221.326283752569</v>
      </c>
      <c r="BF37" s="6">
        <v>23280</v>
      </c>
      <c r="BG37" s="6">
        <v>0</v>
      </c>
      <c r="BH37" s="6">
        <v>0</v>
      </c>
      <c r="BI37" s="6">
        <v>23280</v>
      </c>
      <c r="BJ37" s="3">
        <v>95.446935387540179</v>
      </c>
      <c r="BK37" s="6">
        <v>5288280</v>
      </c>
      <c r="BL37" s="6">
        <v>1697500</v>
      </c>
      <c r="BM37" s="6">
        <v>0</v>
      </c>
      <c r="BN37" s="6">
        <v>6985780</v>
      </c>
      <c r="BO37" s="3">
        <v>203.45071037741809</v>
      </c>
      <c r="BP37" s="7">
        <v>88652280</v>
      </c>
      <c r="BQ37" s="2">
        <v>70.198253113225419</v>
      </c>
      <c r="BR37" s="2">
        <v>304.19243015731018</v>
      </c>
    </row>
    <row r="38" spans="1:70">
      <c r="A38">
        <v>2011</v>
      </c>
      <c r="B38" s="1">
        <v>64352</v>
      </c>
      <c r="C38" s="2">
        <v>17056362.197112355</v>
      </c>
      <c r="D38" s="3">
        <v>265.04789590241728</v>
      </c>
      <c r="E38" s="1">
        <v>38611</v>
      </c>
      <c r="F38" s="4">
        <v>0.83567625893837472</v>
      </c>
      <c r="G38" s="4">
        <v>0.61284827684890419</v>
      </c>
      <c r="H38" s="4">
        <v>0.99999999999999956</v>
      </c>
      <c r="I38" s="4">
        <v>0.80007434480643225</v>
      </c>
      <c r="J38" s="5">
        <v>9.1927241527335628</v>
      </c>
      <c r="K38">
        <v>5089</v>
      </c>
      <c r="L38">
        <v>16216</v>
      </c>
      <c r="M38">
        <v>4158</v>
      </c>
      <c r="N38">
        <v>25463</v>
      </c>
      <c r="O38" s="6">
        <v>38167500</v>
      </c>
      <c r="P38" s="6">
        <v>40540000</v>
      </c>
      <c r="Q38" s="6">
        <v>4989600</v>
      </c>
      <c r="R38" s="6">
        <v>83697100</v>
      </c>
      <c r="S38" s="2">
        <v>21.436666666666667</v>
      </c>
      <c r="T38" s="2">
        <v>9.1064444444444437</v>
      </c>
      <c r="U38" s="2">
        <v>0.7006</v>
      </c>
      <c r="V38" s="2">
        <v>31.243711111111111</v>
      </c>
      <c r="W38">
        <v>76</v>
      </c>
      <c r="X38">
        <v>1</v>
      </c>
      <c r="Y38">
        <v>0</v>
      </c>
      <c r="Z38">
        <v>77</v>
      </c>
      <c r="AA38" s="2">
        <v>9450787.9336828254</v>
      </c>
      <c r="AB38" s="6">
        <v>1862000</v>
      </c>
      <c r="AC38" s="6">
        <v>247000</v>
      </c>
      <c r="AD38" s="6">
        <v>0</v>
      </c>
      <c r="AE38" s="6">
        <v>2109000</v>
      </c>
      <c r="AF38" s="3">
        <v>16.148596915467063</v>
      </c>
      <c r="AG38">
        <v>76</v>
      </c>
      <c r="AH38">
        <v>1</v>
      </c>
      <c r="AI38">
        <v>0</v>
      </c>
      <c r="AJ38">
        <v>77</v>
      </c>
      <c r="AK38" s="2">
        <v>2376564.7372130677</v>
      </c>
      <c r="AL38" s="6">
        <v>589760</v>
      </c>
      <c r="AM38" s="6">
        <v>96500</v>
      </c>
      <c r="AN38" s="6">
        <v>0</v>
      </c>
      <c r="AO38" s="6">
        <v>686260</v>
      </c>
      <c r="AP38" s="3">
        <v>0.61909506016422744</v>
      </c>
      <c r="AQ38">
        <v>370</v>
      </c>
      <c r="AR38">
        <v>9</v>
      </c>
      <c r="AS38">
        <v>0</v>
      </c>
      <c r="AT38">
        <v>379</v>
      </c>
      <c r="AU38" s="2">
        <v>5158306.6363100894</v>
      </c>
      <c r="AV38" s="6">
        <v>3285600</v>
      </c>
      <c r="AW38" s="6">
        <v>2034000</v>
      </c>
      <c r="AX38" s="6">
        <v>0</v>
      </c>
      <c r="AY38" s="6">
        <v>5319600</v>
      </c>
      <c r="AZ38" s="3">
        <v>92.296494263879922</v>
      </c>
      <c r="BA38">
        <v>3</v>
      </c>
      <c r="BB38">
        <v>0</v>
      </c>
      <c r="BC38">
        <v>0</v>
      </c>
      <c r="BD38">
        <v>3</v>
      </c>
      <c r="BE38" s="2">
        <v>70702.889906374607</v>
      </c>
      <c r="BF38" s="6">
        <v>17190</v>
      </c>
      <c r="BG38" s="6">
        <v>0</v>
      </c>
      <c r="BH38" s="6">
        <v>0</v>
      </c>
      <c r="BI38" s="6">
        <v>17190</v>
      </c>
      <c r="BJ38" s="3">
        <v>99.569204686244944</v>
      </c>
      <c r="BK38" s="6">
        <v>5754550</v>
      </c>
      <c r="BL38" s="6">
        <v>2377500</v>
      </c>
      <c r="BM38" s="6">
        <v>0</v>
      </c>
      <c r="BN38" s="6">
        <v>8132050</v>
      </c>
      <c r="BO38" s="3">
        <v>208.63339092575615</v>
      </c>
      <c r="BP38" s="7">
        <v>91829150</v>
      </c>
      <c r="BQ38" s="2">
        <v>71.96313061106018</v>
      </c>
      <c r="BR38" s="2">
        <v>311.84023264792745</v>
      </c>
    </row>
    <row r="39" spans="1:70">
      <c r="A39">
        <v>2012</v>
      </c>
      <c r="B39" s="1">
        <v>64673</v>
      </c>
      <c r="C39" s="2">
        <v>18249927.292948689</v>
      </c>
      <c r="D39" s="3">
        <v>282.18773356653764</v>
      </c>
      <c r="E39" s="1">
        <v>38803</v>
      </c>
      <c r="F39" s="4">
        <v>0.8443417100272238</v>
      </c>
      <c r="G39" s="4">
        <v>0.61598241588168634</v>
      </c>
      <c r="H39" s="4">
        <v>1</v>
      </c>
      <c r="I39" s="4">
        <v>0.80419651391607261</v>
      </c>
      <c r="J39" s="5">
        <v>9.2397362382252943</v>
      </c>
      <c r="K39">
        <v>5284</v>
      </c>
      <c r="L39">
        <v>16494</v>
      </c>
      <c r="M39">
        <v>4017</v>
      </c>
      <c r="N39">
        <v>25795</v>
      </c>
      <c r="O39" s="6">
        <v>39630000</v>
      </c>
      <c r="P39" s="6">
        <v>41235000</v>
      </c>
      <c r="Q39" s="6">
        <v>4820400</v>
      </c>
      <c r="R39" s="6">
        <v>85685400</v>
      </c>
      <c r="S39" s="2">
        <v>22.08</v>
      </c>
      <c r="T39" s="2">
        <v>9.1893333333333338</v>
      </c>
      <c r="U39" s="2">
        <v>0.67146666666666666</v>
      </c>
      <c r="V39" s="2">
        <v>31.940799999999999</v>
      </c>
      <c r="W39">
        <v>78</v>
      </c>
      <c r="X39">
        <v>2</v>
      </c>
      <c r="Y39">
        <v>1</v>
      </c>
      <c r="Z39">
        <v>81</v>
      </c>
      <c r="AA39" s="2">
        <v>10082894.605012931</v>
      </c>
      <c r="AB39" s="6">
        <v>1872000</v>
      </c>
      <c r="AC39" s="6">
        <v>492000</v>
      </c>
      <c r="AD39" s="6">
        <v>2865000</v>
      </c>
      <c r="AE39" s="6">
        <v>5229000</v>
      </c>
      <c r="AF39" s="3">
        <v>16.882463983285472</v>
      </c>
      <c r="AG39">
        <v>78</v>
      </c>
      <c r="AH39">
        <v>2</v>
      </c>
      <c r="AI39">
        <v>1</v>
      </c>
      <c r="AJ39">
        <v>81</v>
      </c>
      <c r="AK39" s="2">
        <v>2525623.410629184</v>
      </c>
      <c r="AL39" s="6">
        <v>614640</v>
      </c>
      <c r="AM39" s="6">
        <v>195000</v>
      </c>
      <c r="AN39" s="6">
        <v>1188000</v>
      </c>
      <c r="AO39" s="6">
        <v>1997640</v>
      </c>
      <c r="AP39" s="3">
        <v>0.63599685174985132</v>
      </c>
      <c r="AQ39">
        <v>397</v>
      </c>
      <c r="AR39">
        <v>10</v>
      </c>
      <c r="AS39">
        <v>0</v>
      </c>
      <c r="AT39">
        <v>407</v>
      </c>
      <c r="AU39" s="2">
        <v>5570293.946849836</v>
      </c>
      <c r="AV39" s="6">
        <v>3700040</v>
      </c>
      <c r="AW39" s="6">
        <v>1700000</v>
      </c>
      <c r="AX39" s="6">
        <v>0</v>
      </c>
      <c r="AY39" s="6">
        <v>5400040</v>
      </c>
      <c r="AZ39" s="3">
        <v>92.89456948564343</v>
      </c>
      <c r="BA39">
        <v>3</v>
      </c>
      <c r="BB39">
        <v>0</v>
      </c>
      <c r="BC39">
        <v>0</v>
      </c>
      <c r="BD39">
        <v>3</v>
      </c>
      <c r="BE39" s="2">
        <v>71115.330456737167</v>
      </c>
      <c r="BF39" s="6">
        <v>16920</v>
      </c>
      <c r="BG39" s="6">
        <v>0</v>
      </c>
      <c r="BH39" s="6">
        <v>0</v>
      </c>
      <c r="BI39" s="6">
        <v>16920</v>
      </c>
      <c r="BJ39" s="3">
        <v>103.80214157384076</v>
      </c>
      <c r="BK39" s="6">
        <v>6203600</v>
      </c>
      <c r="BL39" s="6">
        <v>2387000</v>
      </c>
      <c r="BM39" s="6">
        <v>4053000</v>
      </c>
      <c r="BN39" s="6">
        <v>12643600</v>
      </c>
      <c r="BO39" s="3">
        <v>214.21517189451953</v>
      </c>
      <c r="BP39" s="7">
        <v>98329000</v>
      </c>
      <c r="BQ39" s="2">
        <v>73.846791568355854</v>
      </c>
      <c r="BR39" s="2">
        <v>320.00276346287535</v>
      </c>
    </row>
    <row r="40" spans="1:70">
      <c r="A40">
        <v>2013</v>
      </c>
      <c r="B40" s="1">
        <v>64996</v>
      </c>
      <c r="C40" s="2">
        <v>19522508.143747494</v>
      </c>
      <c r="D40" s="3">
        <v>300.36476311999957</v>
      </c>
      <c r="E40" s="1">
        <v>38997</v>
      </c>
      <c r="F40" s="4">
        <v>0.85294819362528229</v>
      </c>
      <c r="G40" s="4">
        <v>0.6189340368660825</v>
      </c>
      <c r="H40" s="4">
        <v>1</v>
      </c>
      <c r="I40" s="4">
        <v>0.80820650209048961</v>
      </c>
      <c r="J40" s="5">
        <v>9.2840105529912371</v>
      </c>
      <c r="K40">
        <v>5476</v>
      </c>
      <c r="L40">
        <v>16761</v>
      </c>
      <c r="M40">
        <v>3872</v>
      </c>
      <c r="N40">
        <v>26109</v>
      </c>
      <c r="O40" s="6">
        <v>41070000</v>
      </c>
      <c r="P40" s="6">
        <v>41902500</v>
      </c>
      <c r="Q40" s="6">
        <v>4646400</v>
      </c>
      <c r="R40" s="6">
        <v>87618900</v>
      </c>
      <c r="S40" s="2">
        <v>22.721666666666668</v>
      </c>
      <c r="T40" s="2">
        <v>9.2717777777777783</v>
      </c>
      <c r="U40" s="2">
        <v>0.64259999999999995</v>
      </c>
      <c r="V40" s="2">
        <v>32.636044444444444</v>
      </c>
      <c r="W40">
        <v>81</v>
      </c>
      <c r="X40">
        <v>2</v>
      </c>
      <c r="Y40">
        <v>1</v>
      </c>
      <c r="Z40">
        <v>84</v>
      </c>
      <c r="AA40" s="2">
        <v>10752274.134286385</v>
      </c>
      <c r="AB40" s="6">
        <v>1992600</v>
      </c>
      <c r="AC40" s="6">
        <v>480000</v>
      </c>
      <c r="AD40" s="6">
        <v>2880000</v>
      </c>
      <c r="AE40" s="6">
        <v>5352600</v>
      </c>
      <c r="AF40" s="3">
        <v>17.636667316346429</v>
      </c>
      <c r="AG40">
        <v>81</v>
      </c>
      <c r="AH40">
        <v>2</v>
      </c>
      <c r="AI40">
        <v>1</v>
      </c>
      <c r="AJ40">
        <v>84</v>
      </c>
      <c r="AK40" s="2">
        <v>2684519.7274506469</v>
      </c>
      <c r="AL40" s="6">
        <v>635040</v>
      </c>
      <c r="AM40" s="6">
        <v>193000</v>
      </c>
      <c r="AN40" s="6">
        <v>1188000</v>
      </c>
      <c r="AO40" s="6">
        <v>2016040</v>
      </c>
      <c r="AP40" s="3">
        <v>0.65373259561523256</v>
      </c>
      <c r="AQ40">
        <v>426</v>
      </c>
      <c r="AR40">
        <v>11</v>
      </c>
      <c r="AS40">
        <v>0</v>
      </c>
      <c r="AT40">
        <v>437</v>
      </c>
      <c r="AU40" s="2">
        <v>6014258.4651435278</v>
      </c>
      <c r="AV40" s="6">
        <v>3782880</v>
      </c>
      <c r="AW40" s="6">
        <v>2024000</v>
      </c>
      <c r="AX40" s="6">
        <v>0</v>
      </c>
      <c r="AY40" s="6">
        <v>5806880</v>
      </c>
      <c r="AZ40" s="3">
        <v>93.746525045814238</v>
      </c>
      <c r="BA40">
        <v>3</v>
      </c>
      <c r="BB40">
        <v>0</v>
      </c>
      <c r="BC40">
        <v>0</v>
      </c>
      <c r="BD40">
        <v>3</v>
      </c>
      <c r="BE40" s="2">
        <v>71455.816866936046</v>
      </c>
      <c r="BF40" s="6">
        <v>17055</v>
      </c>
      <c r="BG40" s="6">
        <v>0</v>
      </c>
      <c r="BH40" s="6">
        <v>0</v>
      </c>
      <c r="BI40" s="6">
        <v>17055</v>
      </c>
      <c r="BJ40" s="3">
        <v>108.14818718360739</v>
      </c>
      <c r="BK40" s="6">
        <v>6427575</v>
      </c>
      <c r="BL40" s="6">
        <v>2697000</v>
      </c>
      <c r="BM40" s="6">
        <v>4068000</v>
      </c>
      <c r="BN40" s="6">
        <v>13192575</v>
      </c>
      <c r="BO40" s="3">
        <v>220.18511214138329</v>
      </c>
      <c r="BP40" s="7">
        <v>100811475</v>
      </c>
      <c r="BQ40" s="2">
        <v>75.846346975748318</v>
      </c>
      <c r="BR40" s="2">
        <v>328.66750356157604</v>
      </c>
    </row>
    <row r="41" spans="1:70">
      <c r="A41">
        <v>2014</v>
      </c>
      <c r="B41" s="1">
        <v>65320</v>
      </c>
      <c r="C41" s="2">
        <v>20878413.253246799</v>
      </c>
      <c r="D41" s="3">
        <v>319.63278097438456</v>
      </c>
      <c r="E41" s="1">
        <v>39192</v>
      </c>
      <c r="F41" s="4">
        <v>0.86149244871752462</v>
      </c>
      <c r="G41" s="4">
        <v>0.62171376882577001</v>
      </c>
      <c r="H41" s="4">
        <v>1</v>
      </c>
      <c r="I41" s="4">
        <v>0.81210837059107543</v>
      </c>
      <c r="J41" s="5">
        <v>9.3257065323865493</v>
      </c>
      <c r="K41">
        <v>5666</v>
      </c>
      <c r="L41">
        <v>17016</v>
      </c>
      <c r="M41">
        <v>3723</v>
      </c>
      <c r="N41">
        <v>26405</v>
      </c>
      <c r="O41" s="6">
        <v>42495000</v>
      </c>
      <c r="P41" s="6">
        <v>42540000</v>
      </c>
      <c r="Q41" s="6">
        <v>4467600</v>
      </c>
      <c r="R41" s="6">
        <v>89502600</v>
      </c>
      <c r="S41" s="2">
        <v>23.36</v>
      </c>
      <c r="T41" s="2">
        <v>9.3537777777777773</v>
      </c>
      <c r="U41" s="2">
        <v>0.61399999999999999</v>
      </c>
      <c r="V41" s="2">
        <v>33.327777777777776</v>
      </c>
      <c r="W41">
        <v>83</v>
      </c>
      <c r="X41">
        <v>2</v>
      </c>
      <c r="Y41">
        <v>1</v>
      </c>
      <c r="Z41">
        <v>86</v>
      </c>
      <c r="AA41" s="2">
        <v>11460782.083181672</v>
      </c>
      <c r="AB41" s="6">
        <v>2041800</v>
      </c>
      <c r="AC41" s="6">
        <v>482000</v>
      </c>
      <c r="AD41" s="6">
        <v>2925000</v>
      </c>
      <c r="AE41" s="6">
        <v>5448800</v>
      </c>
      <c r="AF41" s="3">
        <v>18.411639801448338</v>
      </c>
      <c r="AG41">
        <v>83</v>
      </c>
      <c r="AH41">
        <v>2</v>
      </c>
      <c r="AI41">
        <v>1</v>
      </c>
      <c r="AJ41">
        <v>86</v>
      </c>
      <c r="AK41" s="2">
        <v>2853816.1657867595</v>
      </c>
      <c r="AL41" s="6">
        <v>647400</v>
      </c>
      <c r="AM41" s="6">
        <v>195000</v>
      </c>
      <c r="AN41" s="6">
        <v>1140000</v>
      </c>
      <c r="AO41" s="6">
        <v>1982400</v>
      </c>
      <c r="AP41" s="3">
        <v>0.67231171199849848</v>
      </c>
      <c r="AQ41">
        <v>457</v>
      </c>
      <c r="AR41">
        <v>12</v>
      </c>
      <c r="AS41">
        <v>0</v>
      </c>
      <c r="AT41">
        <v>469</v>
      </c>
      <c r="AU41" s="2">
        <v>6492098.7837171452</v>
      </c>
      <c r="AV41" s="6">
        <v>3857080</v>
      </c>
      <c r="AW41" s="6">
        <v>1536000</v>
      </c>
      <c r="AX41" s="6">
        <v>0</v>
      </c>
      <c r="AY41" s="6">
        <v>5393080</v>
      </c>
      <c r="AZ41" s="3">
        <v>94.839799248786719</v>
      </c>
      <c r="BA41">
        <v>3</v>
      </c>
      <c r="BB41">
        <v>0</v>
      </c>
      <c r="BC41">
        <v>0</v>
      </c>
      <c r="BD41">
        <v>3</v>
      </c>
      <c r="BE41" s="2">
        <v>71716.220561220383</v>
      </c>
      <c r="BF41" s="6">
        <v>17595</v>
      </c>
      <c r="BG41" s="6">
        <v>0</v>
      </c>
      <c r="BH41" s="6">
        <v>0</v>
      </c>
      <c r="BI41" s="6">
        <v>17595</v>
      </c>
      <c r="BJ41" s="3">
        <v>112.60980616593577</v>
      </c>
      <c r="BK41" s="6">
        <v>6563875</v>
      </c>
      <c r="BL41" s="6">
        <v>2213000</v>
      </c>
      <c r="BM41" s="6">
        <v>4065000</v>
      </c>
      <c r="BN41" s="6">
        <v>12841875</v>
      </c>
      <c r="BO41" s="3">
        <v>226.53355692816933</v>
      </c>
      <c r="BP41" s="7">
        <v>102344475</v>
      </c>
      <c r="BQ41" s="2">
        <v>77.958400411784126</v>
      </c>
      <c r="BR41" s="2">
        <v>337.81973511773123</v>
      </c>
    </row>
    <row r="42" spans="1:70">
      <c r="A42">
        <v>2015</v>
      </c>
      <c r="B42" s="1">
        <v>65646</v>
      </c>
      <c r="C42" s="2">
        <v>22322049.22715101</v>
      </c>
      <c r="D42" s="3">
        <v>340.03670028868493</v>
      </c>
      <c r="E42" s="1">
        <v>39387</v>
      </c>
      <c r="F42" s="4">
        <v>0.86996658375091984</v>
      </c>
      <c r="G42" s="4">
        <v>0.62433162179827417</v>
      </c>
      <c r="H42" s="4">
        <v>1</v>
      </c>
      <c r="I42" s="4">
        <v>0.81590444870664058</v>
      </c>
      <c r="J42" s="5">
        <v>9.3649743269741119</v>
      </c>
      <c r="K42">
        <v>5852</v>
      </c>
      <c r="L42">
        <v>17260</v>
      </c>
      <c r="M42">
        <v>3571</v>
      </c>
      <c r="N42">
        <v>26683</v>
      </c>
      <c r="O42" s="6">
        <v>43890000</v>
      </c>
      <c r="P42" s="6">
        <v>43150000</v>
      </c>
      <c r="Q42" s="6">
        <v>4285200</v>
      </c>
      <c r="R42" s="6">
        <v>91325200</v>
      </c>
      <c r="S42" s="2">
        <v>23.996666666666666</v>
      </c>
      <c r="T42" s="2">
        <v>9.4355555555555561</v>
      </c>
      <c r="U42" s="2">
        <v>0.58573333333333333</v>
      </c>
      <c r="V42" s="2">
        <v>34.017955555555552</v>
      </c>
      <c r="W42">
        <v>86</v>
      </c>
      <c r="X42">
        <v>2</v>
      </c>
      <c r="Y42">
        <v>1</v>
      </c>
      <c r="Z42">
        <v>89</v>
      </c>
      <c r="AA42" s="2">
        <v>12210334.484114971</v>
      </c>
      <c r="AB42" s="6">
        <v>2115600</v>
      </c>
      <c r="AC42" s="6">
        <v>494000</v>
      </c>
      <c r="AD42" s="6">
        <v>2970000</v>
      </c>
      <c r="AE42" s="6">
        <v>5579600</v>
      </c>
      <c r="AF42" s="3">
        <v>19.20781184397768</v>
      </c>
      <c r="AG42">
        <v>86</v>
      </c>
      <c r="AH42">
        <v>2</v>
      </c>
      <c r="AI42">
        <v>1</v>
      </c>
      <c r="AJ42">
        <v>89</v>
      </c>
      <c r="AK42" s="2">
        <v>3034099.862895573</v>
      </c>
      <c r="AL42" s="6">
        <v>667360</v>
      </c>
      <c r="AM42" s="6">
        <v>191000</v>
      </c>
      <c r="AN42" s="6">
        <v>1158000</v>
      </c>
      <c r="AO42" s="6">
        <v>2016360</v>
      </c>
      <c r="AP42" s="3">
        <v>0.69174382794304867</v>
      </c>
      <c r="AQ42">
        <v>491</v>
      </c>
      <c r="AR42">
        <v>14</v>
      </c>
      <c r="AS42">
        <v>0</v>
      </c>
      <c r="AT42">
        <v>505</v>
      </c>
      <c r="AU42" s="2">
        <v>7005726.8398571955</v>
      </c>
      <c r="AV42" s="6">
        <v>4468100</v>
      </c>
      <c r="AW42" s="6">
        <v>2380000</v>
      </c>
      <c r="AX42" s="6">
        <v>0</v>
      </c>
      <c r="AY42" s="6">
        <v>6848100</v>
      </c>
      <c r="AZ42" s="3">
        <v>96.162945452397423</v>
      </c>
      <c r="BA42">
        <v>3</v>
      </c>
      <c r="BB42">
        <v>0</v>
      </c>
      <c r="BC42">
        <v>0</v>
      </c>
      <c r="BD42">
        <v>3</v>
      </c>
      <c r="BE42" s="2">
        <v>71888.040283270529</v>
      </c>
      <c r="BF42" s="6">
        <v>17460</v>
      </c>
      <c r="BG42" s="6">
        <v>0</v>
      </c>
      <c r="BH42" s="6">
        <v>0</v>
      </c>
      <c r="BI42" s="6">
        <v>17460</v>
      </c>
      <c r="BJ42" s="3">
        <v>117.18941247114425</v>
      </c>
      <c r="BK42" s="6">
        <v>7268520</v>
      </c>
      <c r="BL42" s="6">
        <v>3065000</v>
      </c>
      <c r="BM42" s="6">
        <v>4128000</v>
      </c>
      <c r="BN42" s="6">
        <v>14461520</v>
      </c>
      <c r="BO42" s="3">
        <v>233.25191359546238</v>
      </c>
      <c r="BP42" s="7">
        <v>105786720</v>
      </c>
      <c r="BQ42" s="2">
        <v>80.18096074530537</v>
      </c>
      <c r="BR42" s="2">
        <v>347.45082989632328</v>
      </c>
    </row>
    <row r="43" spans="1:70">
      <c r="A43">
        <v>2016</v>
      </c>
      <c r="B43" s="1">
        <v>65974</v>
      </c>
      <c r="C43" s="2">
        <v>23859143.093855064</v>
      </c>
      <c r="D43" s="3">
        <v>361.64463415671423</v>
      </c>
      <c r="E43" s="1">
        <v>39584</v>
      </c>
      <c r="F43" s="4">
        <v>0.87839828551045329</v>
      </c>
      <c r="G43" s="4">
        <v>0.62679702288191674</v>
      </c>
      <c r="H43" s="4">
        <v>1</v>
      </c>
      <c r="I43" s="4">
        <v>0.81960789813250245</v>
      </c>
      <c r="J43" s="5">
        <v>9.4019553432287513</v>
      </c>
      <c r="K43">
        <v>6036</v>
      </c>
      <c r="L43">
        <v>17492</v>
      </c>
      <c r="M43">
        <v>3417</v>
      </c>
      <c r="N43">
        <v>26945</v>
      </c>
      <c r="O43" s="6">
        <v>45270000</v>
      </c>
      <c r="P43" s="6">
        <v>43730000</v>
      </c>
      <c r="Q43" s="6">
        <v>4100400</v>
      </c>
      <c r="R43" s="6">
        <v>93100400</v>
      </c>
      <c r="S43" s="2">
        <v>24.631666666666668</v>
      </c>
      <c r="T43" s="2">
        <v>9.5171111111111113</v>
      </c>
      <c r="U43" s="2">
        <v>0.5577333333333333</v>
      </c>
      <c r="V43" s="2">
        <v>34.706511111111112</v>
      </c>
      <c r="W43">
        <v>90</v>
      </c>
      <c r="X43">
        <v>2</v>
      </c>
      <c r="Y43">
        <v>1</v>
      </c>
      <c r="Z43">
        <v>93</v>
      </c>
      <c r="AA43" s="2">
        <v>13003455.141275806</v>
      </c>
      <c r="AB43" s="6">
        <v>2160000</v>
      </c>
      <c r="AC43" s="6">
        <v>494000</v>
      </c>
      <c r="AD43" s="6">
        <v>2880000</v>
      </c>
      <c r="AE43" s="6">
        <v>5534000</v>
      </c>
      <c r="AF43" s="3">
        <v>20.025630257095397</v>
      </c>
      <c r="AG43">
        <v>90</v>
      </c>
      <c r="AH43">
        <v>2</v>
      </c>
      <c r="AI43">
        <v>1</v>
      </c>
      <c r="AJ43">
        <v>93</v>
      </c>
      <c r="AK43" s="2">
        <v>3226154.6628104155</v>
      </c>
      <c r="AL43" s="6">
        <v>691200</v>
      </c>
      <c r="AM43" s="6">
        <v>194000</v>
      </c>
      <c r="AN43" s="6">
        <v>1182000</v>
      </c>
      <c r="AO43" s="6">
        <v>2067200</v>
      </c>
      <c r="AP43" s="3">
        <v>0.71203916151634838</v>
      </c>
      <c r="AQ43">
        <v>527</v>
      </c>
      <c r="AR43">
        <v>15</v>
      </c>
      <c r="AS43">
        <v>0</v>
      </c>
      <c r="AT43">
        <v>542</v>
      </c>
      <c r="AU43" s="2">
        <v>7557565.973718876</v>
      </c>
      <c r="AV43" s="6">
        <v>4795700</v>
      </c>
      <c r="AW43" s="6">
        <v>2550000</v>
      </c>
      <c r="AX43" s="6">
        <v>0</v>
      </c>
      <c r="AY43" s="6">
        <v>7345700</v>
      </c>
      <c r="AZ43" s="3">
        <v>97.705630708813644</v>
      </c>
      <c r="BA43">
        <v>3</v>
      </c>
      <c r="BB43">
        <v>0</v>
      </c>
      <c r="BC43">
        <v>0</v>
      </c>
      <c r="BD43">
        <v>3</v>
      </c>
      <c r="BE43" s="2">
        <v>71967.316049967631</v>
      </c>
      <c r="BF43" s="6">
        <v>17190</v>
      </c>
      <c r="BG43" s="6">
        <v>0</v>
      </c>
      <c r="BH43" s="6">
        <v>0</v>
      </c>
      <c r="BI43" s="6">
        <v>17190</v>
      </c>
      <c r="BJ43" s="3">
        <v>121.8895305886663</v>
      </c>
      <c r="BK43" s="6">
        <v>7664090</v>
      </c>
      <c r="BL43" s="6">
        <v>3238000</v>
      </c>
      <c r="BM43" s="6">
        <v>4062000</v>
      </c>
      <c r="BN43" s="6">
        <v>14964090</v>
      </c>
      <c r="BO43" s="3">
        <v>240.33283071609168</v>
      </c>
      <c r="BP43" s="7">
        <v>108064490</v>
      </c>
      <c r="BQ43" s="2">
        <v>82.511802548160844</v>
      </c>
      <c r="BR43" s="2">
        <v>357.55114437536366</v>
      </c>
    </row>
    <row r="44" spans="1:70">
      <c r="A44">
        <v>2017</v>
      </c>
      <c r="B44" s="1">
        <v>66303</v>
      </c>
      <c r="C44" s="2">
        <v>25494052.072160989</v>
      </c>
      <c r="D44" s="3">
        <v>384.50827371553305</v>
      </c>
      <c r="E44" s="1">
        <v>39781</v>
      </c>
      <c r="F44" s="4">
        <v>0.88675834803871378</v>
      </c>
      <c r="G44" s="4">
        <v>0.62911885018355151</v>
      </c>
      <c r="H44" s="4">
        <v>1</v>
      </c>
      <c r="I44" s="4">
        <v>0.82321383621139987</v>
      </c>
      <c r="J44" s="5">
        <v>9.4367827527532722</v>
      </c>
      <c r="K44">
        <v>6216</v>
      </c>
      <c r="L44">
        <v>17712</v>
      </c>
      <c r="M44">
        <v>3260</v>
      </c>
      <c r="N44">
        <v>27188</v>
      </c>
      <c r="O44" s="6">
        <v>46620000</v>
      </c>
      <c r="P44" s="6">
        <v>44280000</v>
      </c>
      <c r="Q44" s="6">
        <v>3912000</v>
      </c>
      <c r="R44" s="6">
        <v>94812000</v>
      </c>
      <c r="S44" s="2">
        <v>25.265000000000001</v>
      </c>
      <c r="T44" s="2">
        <v>9.5982222222222227</v>
      </c>
      <c r="U44" s="2">
        <v>0.53006666666666669</v>
      </c>
      <c r="V44" s="2">
        <v>35.39328888888889</v>
      </c>
      <c r="W44">
        <v>93</v>
      </c>
      <c r="X44">
        <v>3</v>
      </c>
      <c r="Y44">
        <v>1</v>
      </c>
      <c r="Z44">
        <v>97</v>
      </c>
      <c r="AA44" s="2">
        <v>13842093.964306271</v>
      </c>
      <c r="AB44" s="6">
        <v>2287800</v>
      </c>
      <c r="AC44" s="6">
        <v>726000</v>
      </c>
      <c r="AD44" s="6">
        <v>2880000</v>
      </c>
      <c r="AE44" s="6">
        <v>5893800</v>
      </c>
      <c r="AF44" s="3">
        <v>20.865549528222306</v>
      </c>
      <c r="AG44">
        <v>93</v>
      </c>
      <c r="AH44">
        <v>3</v>
      </c>
      <c r="AI44">
        <v>1</v>
      </c>
      <c r="AJ44">
        <v>97</v>
      </c>
      <c r="AK44" s="2">
        <v>3430588.4124187999</v>
      </c>
      <c r="AL44" s="6">
        <v>725400</v>
      </c>
      <c r="AM44" s="6">
        <v>289500</v>
      </c>
      <c r="AN44" s="6">
        <v>1140000</v>
      </c>
      <c r="AO44" s="6">
        <v>2154900</v>
      </c>
      <c r="AP44" s="3">
        <v>0.73320834264070445</v>
      </c>
      <c r="AQ44">
        <v>566</v>
      </c>
      <c r="AR44">
        <v>16</v>
      </c>
      <c r="AS44">
        <v>0</v>
      </c>
      <c r="AT44">
        <v>582</v>
      </c>
      <c r="AU44" s="2">
        <v>8149426.5997846052</v>
      </c>
      <c r="AV44" s="6">
        <v>5026080</v>
      </c>
      <c r="AW44" s="6">
        <v>2944000</v>
      </c>
      <c r="AX44" s="6">
        <v>0</v>
      </c>
      <c r="AY44" s="6">
        <v>7970080</v>
      </c>
      <c r="AZ44" s="3">
        <v>99.458510345324029</v>
      </c>
      <c r="BA44">
        <v>3</v>
      </c>
      <c r="BB44">
        <v>0</v>
      </c>
      <c r="BC44">
        <v>0</v>
      </c>
      <c r="BD44">
        <v>3</v>
      </c>
      <c r="BE44" s="2">
        <v>71943.095651315205</v>
      </c>
      <c r="BF44" s="6">
        <v>17595</v>
      </c>
      <c r="BG44" s="6">
        <v>0</v>
      </c>
      <c r="BH44" s="6">
        <v>0</v>
      </c>
      <c r="BI44" s="6">
        <v>17595</v>
      </c>
      <c r="BJ44" s="3">
        <v>126.71271991773828</v>
      </c>
      <c r="BK44" s="6">
        <v>8056875</v>
      </c>
      <c r="BL44" s="6">
        <v>3959500</v>
      </c>
      <c r="BM44" s="6">
        <v>4020000</v>
      </c>
      <c r="BN44" s="6">
        <v>16036375</v>
      </c>
      <c r="BO44" s="3">
        <v>247.76998813392532</v>
      </c>
      <c r="BP44" s="7">
        <v>110848375</v>
      </c>
      <c r="BQ44" s="2">
        <v>84.948983106844267</v>
      </c>
      <c r="BR44" s="2">
        <v>368.11226012965847</v>
      </c>
    </row>
    <row r="45" spans="1:70">
      <c r="A45">
        <v>2018</v>
      </c>
      <c r="B45" s="1">
        <v>66634</v>
      </c>
      <c r="C45" s="2">
        <v>27232945.676032223</v>
      </c>
      <c r="D45" s="3">
        <v>408.6944454187385</v>
      </c>
      <c r="E45" s="1">
        <v>39980</v>
      </c>
      <c r="F45" s="4">
        <v>0.89504691346065302</v>
      </c>
      <c r="G45" s="4">
        <v>0.6313054647893388</v>
      </c>
      <c r="H45" s="4">
        <v>1</v>
      </c>
      <c r="I45" s="4">
        <v>0.82672635509921422</v>
      </c>
      <c r="J45" s="5">
        <v>9.469581971840082</v>
      </c>
      <c r="K45">
        <v>6393</v>
      </c>
      <c r="L45">
        <v>17922</v>
      </c>
      <c r="M45">
        <v>3102</v>
      </c>
      <c r="N45">
        <v>27417</v>
      </c>
      <c r="O45" s="6">
        <v>47947500</v>
      </c>
      <c r="P45" s="6">
        <v>44805000</v>
      </c>
      <c r="Q45" s="6">
        <v>3722400</v>
      </c>
      <c r="R45" s="6">
        <v>96474900</v>
      </c>
      <c r="S45" s="2">
        <v>25.895</v>
      </c>
      <c r="T45" s="2">
        <v>9.6791111111111103</v>
      </c>
      <c r="U45" s="2">
        <v>0.50266666666666671</v>
      </c>
      <c r="V45" s="2">
        <v>36.076777777777778</v>
      </c>
      <c r="W45">
        <v>97</v>
      </c>
      <c r="X45">
        <v>3</v>
      </c>
      <c r="Y45">
        <v>1</v>
      </c>
      <c r="Z45">
        <v>101</v>
      </c>
      <c r="AA45" s="2">
        <v>14729036.021723172</v>
      </c>
      <c r="AB45" s="6">
        <v>2337700</v>
      </c>
      <c r="AC45" s="6">
        <v>738000</v>
      </c>
      <c r="AD45" s="6">
        <v>2910000</v>
      </c>
      <c r="AE45" s="6">
        <v>5985700</v>
      </c>
      <c r="AF45" s="3">
        <v>21.728021795019728</v>
      </c>
      <c r="AG45">
        <v>97</v>
      </c>
      <c r="AH45">
        <v>3</v>
      </c>
      <c r="AI45">
        <v>1</v>
      </c>
      <c r="AJ45">
        <v>101</v>
      </c>
      <c r="AK45" s="2">
        <v>3648279.6213743645</v>
      </c>
      <c r="AL45" s="6">
        <v>748840</v>
      </c>
      <c r="AM45" s="6">
        <v>294000</v>
      </c>
      <c r="AN45" s="6">
        <v>1164000</v>
      </c>
      <c r="AO45" s="6">
        <v>2206840</v>
      </c>
      <c r="AP45" s="3">
        <v>0.75526220149670742</v>
      </c>
      <c r="AQ45">
        <v>608</v>
      </c>
      <c r="AR45">
        <v>18</v>
      </c>
      <c r="AS45">
        <v>0</v>
      </c>
      <c r="AT45">
        <v>626</v>
      </c>
      <c r="AU45" s="2">
        <v>8783819.5266615693</v>
      </c>
      <c r="AV45" s="6">
        <v>5131520</v>
      </c>
      <c r="AW45" s="6">
        <v>3816000</v>
      </c>
      <c r="AX45" s="6">
        <v>0</v>
      </c>
      <c r="AY45" s="6">
        <v>8947520</v>
      </c>
      <c r="AZ45" s="3">
        <v>101.41310407312356</v>
      </c>
      <c r="BA45">
        <v>3</v>
      </c>
      <c r="BB45">
        <v>0</v>
      </c>
      <c r="BC45">
        <v>0</v>
      </c>
      <c r="BD45">
        <v>3</v>
      </c>
      <c r="BE45" s="2">
        <v>71810.506273118983</v>
      </c>
      <c r="BF45" s="6">
        <v>17730</v>
      </c>
      <c r="BG45" s="6">
        <v>0</v>
      </c>
      <c r="BH45" s="6">
        <v>0</v>
      </c>
      <c r="BI45" s="6">
        <v>17730</v>
      </c>
      <c r="BJ45" s="3">
        <v>131.66149158005413</v>
      </c>
      <c r="BK45" s="6">
        <v>8235790</v>
      </c>
      <c r="BL45" s="6">
        <v>4848000</v>
      </c>
      <c r="BM45" s="6">
        <v>4074000</v>
      </c>
      <c r="BN45" s="6">
        <v>17157790</v>
      </c>
      <c r="BO45" s="3">
        <v>255.55787964969414</v>
      </c>
      <c r="BP45" s="7">
        <v>113632690</v>
      </c>
      <c r="BQ45" s="2">
        <v>87.490397228241562</v>
      </c>
      <c r="BR45" s="2">
        <v>379.12505465571348</v>
      </c>
    </row>
    <row r="46" spans="1:70">
      <c r="A46">
        <v>2019</v>
      </c>
      <c r="B46" s="1">
        <v>66967</v>
      </c>
      <c r="C46" s="2">
        <v>29080894.014656916</v>
      </c>
      <c r="D46" s="3">
        <v>434.25708206515026</v>
      </c>
      <c r="E46" s="1">
        <v>40180</v>
      </c>
      <c r="F46" s="4">
        <v>0.9032586628804411</v>
      </c>
      <c r="G46" s="4">
        <v>0.63336474087368644</v>
      </c>
      <c r="H46" s="4">
        <v>1</v>
      </c>
      <c r="I46" s="4">
        <v>0.83014764342937775</v>
      </c>
      <c r="J46" s="5">
        <v>9.5004711131052968</v>
      </c>
      <c r="K46">
        <v>6566</v>
      </c>
      <c r="L46">
        <v>18122</v>
      </c>
      <c r="M46">
        <v>2944</v>
      </c>
      <c r="N46">
        <v>27632</v>
      </c>
      <c r="O46" s="6">
        <v>49245000</v>
      </c>
      <c r="P46" s="6">
        <v>45305000</v>
      </c>
      <c r="Q46" s="6">
        <v>3532800</v>
      </c>
      <c r="R46" s="6">
        <v>98082800</v>
      </c>
      <c r="S46" s="2">
        <v>26.521666666666668</v>
      </c>
      <c r="T46" s="2">
        <v>9.759555555555556</v>
      </c>
      <c r="U46" s="2">
        <v>0.47560000000000002</v>
      </c>
      <c r="V46" s="2">
        <v>36.756822222222226</v>
      </c>
      <c r="W46">
        <v>101</v>
      </c>
      <c r="X46">
        <v>3</v>
      </c>
      <c r="Y46">
        <v>1</v>
      </c>
      <c r="Z46">
        <v>105</v>
      </c>
      <c r="AA46" s="2">
        <v>15666637.332763717</v>
      </c>
      <c r="AB46" s="6">
        <v>2484600</v>
      </c>
      <c r="AC46" s="6">
        <v>729000</v>
      </c>
      <c r="AD46" s="6">
        <v>2940000</v>
      </c>
      <c r="AE46" s="6">
        <v>6153600</v>
      </c>
      <c r="AF46" s="3">
        <v>22.613517610151117</v>
      </c>
      <c r="AG46">
        <v>101</v>
      </c>
      <c r="AH46">
        <v>3</v>
      </c>
      <c r="AI46">
        <v>1</v>
      </c>
      <c r="AJ46">
        <v>105</v>
      </c>
      <c r="AK46" s="2">
        <v>3879977.6882709204</v>
      </c>
      <c r="AL46" s="6">
        <v>791840</v>
      </c>
      <c r="AM46" s="6">
        <v>297000</v>
      </c>
      <c r="AN46" s="6">
        <v>1176000</v>
      </c>
      <c r="AO46" s="6">
        <v>2264840</v>
      </c>
      <c r="AP46" s="3">
        <v>0.77821219217748483</v>
      </c>
      <c r="AQ46">
        <v>653</v>
      </c>
      <c r="AR46">
        <v>19</v>
      </c>
      <c r="AS46">
        <v>0</v>
      </c>
      <c r="AT46">
        <v>672</v>
      </c>
      <c r="AU46" s="2">
        <v>9462719.706302749</v>
      </c>
      <c r="AV46" s="6">
        <v>6085960</v>
      </c>
      <c r="AW46" s="6">
        <v>4560000</v>
      </c>
      <c r="AX46" s="6">
        <v>0</v>
      </c>
      <c r="AY46" s="6">
        <v>10645960</v>
      </c>
      <c r="AZ46" s="3">
        <v>103.56182351055136</v>
      </c>
      <c r="BA46">
        <v>3</v>
      </c>
      <c r="BB46">
        <v>0</v>
      </c>
      <c r="BC46">
        <v>0</v>
      </c>
      <c r="BD46">
        <v>3</v>
      </c>
      <c r="BE46" s="2">
        <v>71559.287319532334</v>
      </c>
      <c r="BF46" s="6">
        <v>16650</v>
      </c>
      <c r="BG46" s="6">
        <v>0</v>
      </c>
      <c r="BH46" s="6">
        <v>0</v>
      </c>
      <c r="BI46" s="6">
        <v>16650</v>
      </c>
      <c r="BJ46" s="3">
        <v>136.73848511232018</v>
      </c>
      <c r="BK46" s="6">
        <v>9379050</v>
      </c>
      <c r="BL46" s="6">
        <v>5586000</v>
      </c>
      <c r="BM46" s="6">
        <v>4116000</v>
      </c>
      <c r="BN46" s="6">
        <v>19081050</v>
      </c>
      <c r="BO46" s="3">
        <v>263.69203842520017</v>
      </c>
      <c r="BP46" s="7">
        <v>117163850</v>
      </c>
      <c r="BQ46" s="2">
        <v>90.134658194226716</v>
      </c>
      <c r="BR46" s="2">
        <v>390.58351884164915</v>
      </c>
    </row>
    <row r="47" spans="1:70">
      <c r="A47">
        <v>2020</v>
      </c>
      <c r="B47" s="1">
        <v>67301</v>
      </c>
      <c r="C47" s="2">
        <v>31042990.026077017</v>
      </c>
      <c r="D47" s="3">
        <v>461.25599955538576</v>
      </c>
      <c r="E47" s="1">
        <v>40380</v>
      </c>
      <c r="F47" s="4">
        <v>0.91139065642183259</v>
      </c>
      <c r="G47" s="4">
        <v>0.63530409405478339</v>
      </c>
      <c r="H47" s="4">
        <v>1</v>
      </c>
      <c r="I47" s="4">
        <v>0.83348043293594809</v>
      </c>
      <c r="J47" s="5">
        <v>9.529561410821751</v>
      </c>
      <c r="K47">
        <v>6736</v>
      </c>
      <c r="L47">
        <v>18313</v>
      </c>
      <c r="M47">
        <v>2785</v>
      </c>
      <c r="N47">
        <v>27834</v>
      </c>
      <c r="O47" s="6">
        <v>50520000</v>
      </c>
      <c r="P47" s="6">
        <v>45782500</v>
      </c>
      <c r="Q47" s="6">
        <v>3342000</v>
      </c>
      <c r="R47" s="6">
        <v>99644500</v>
      </c>
      <c r="S47" s="2">
        <v>27.145</v>
      </c>
      <c r="T47" s="2">
        <v>9.8395555555555561</v>
      </c>
      <c r="U47" s="2">
        <v>0.44893333333333335</v>
      </c>
      <c r="V47" s="2">
        <v>37.433488888888895</v>
      </c>
      <c r="W47">
        <v>106</v>
      </c>
      <c r="X47">
        <v>3</v>
      </c>
      <c r="Y47">
        <v>1</v>
      </c>
      <c r="Z47">
        <v>110</v>
      </c>
      <c r="AA47" s="2">
        <v>16657333.940367656</v>
      </c>
      <c r="AB47" s="6">
        <v>2607600</v>
      </c>
      <c r="AC47" s="6">
        <v>738000</v>
      </c>
      <c r="AD47" s="6">
        <v>2970000</v>
      </c>
      <c r="AE47" s="6">
        <v>6315600</v>
      </c>
      <c r="AF47" s="3">
        <v>23.522516187797475</v>
      </c>
      <c r="AG47">
        <v>106</v>
      </c>
      <c r="AH47">
        <v>3</v>
      </c>
      <c r="AI47">
        <v>1</v>
      </c>
      <c r="AJ47">
        <v>110</v>
      </c>
      <c r="AK47" s="2">
        <v>4126465.0664901063</v>
      </c>
      <c r="AL47" s="6">
        <v>839520</v>
      </c>
      <c r="AM47" s="6">
        <v>289500</v>
      </c>
      <c r="AN47" s="6">
        <v>1182000</v>
      </c>
      <c r="AO47" s="6">
        <v>2311020</v>
      </c>
      <c r="AP47" s="3">
        <v>0.80207019379248157</v>
      </c>
      <c r="AQ47">
        <v>700</v>
      </c>
      <c r="AR47">
        <v>21</v>
      </c>
      <c r="AS47">
        <v>0</v>
      </c>
      <c r="AT47">
        <v>721</v>
      </c>
      <c r="AU47" s="2">
        <v>10188012.319621133</v>
      </c>
      <c r="AV47" s="6">
        <v>6216000</v>
      </c>
      <c r="AW47" s="6">
        <v>2688000</v>
      </c>
      <c r="AX47" s="6">
        <v>0</v>
      </c>
      <c r="AY47" s="6">
        <v>8904000</v>
      </c>
      <c r="AZ47" s="3">
        <v>105.89786029027955</v>
      </c>
      <c r="BA47">
        <v>3</v>
      </c>
      <c r="BB47">
        <v>0</v>
      </c>
      <c r="BC47">
        <v>0</v>
      </c>
      <c r="BD47">
        <v>3</v>
      </c>
      <c r="BE47" s="2">
        <v>71178.699598127816</v>
      </c>
      <c r="BF47" s="6">
        <v>16920</v>
      </c>
      <c r="BG47" s="6">
        <v>0</v>
      </c>
      <c r="BH47" s="6">
        <v>0</v>
      </c>
      <c r="BI47" s="6">
        <v>16920</v>
      </c>
      <c r="BJ47" s="3">
        <v>141.94638355321672</v>
      </c>
      <c r="BK47" s="6">
        <v>9680040</v>
      </c>
      <c r="BL47" s="6">
        <v>3715500</v>
      </c>
      <c r="BM47" s="6">
        <v>4152000</v>
      </c>
      <c r="BN47" s="6">
        <v>17547540</v>
      </c>
      <c r="BO47" s="3">
        <v>272.16883022508625</v>
      </c>
      <c r="BP47" s="7">
        <v>117192040</v>
      </c>
      <c r="BQ47" s="2">
        <v>92.880695734192543</v>
      </c>
      <c r="BR47" s="2">
        <v>402.48301484816773</v>
      </c>
    </row>
    <row r="48" spans="1:70">
      <c r="A48">
        <v>2021</v>
      </c>
      <c r="B48" s="1">
        <v>67637</v>
      </c>
      <c r="C48" s="2">
        <v>33125986.662200421</v>
      </c>
      <c r="D48" s="3">
        <v>489.76132386416344</v>
      </c>
      <c r="E48" s="1">
        <v>40582</v>
      </c>
      <c r="F48" s="4">
        <v>0.91944322054082628</v>
      </c>
      <c r="G48" s="4">
        <v>0.63713050809883431</v>
      </c>
      <c r="H48" s="4">
        <v>1</v>
      </c>
      <c r="I48" s="4">
        <v>0.83672826272937062</v>
      </c>
      <c r="J48" s="5">
        <v>9.556957621482514</v>
      </c>
      <c r="K48">
        <v>6903</v>
      </c>
      <c r="L48">
        <v>18495</v>
      </c>
      <c r="M48">
        <v>2626</v>
      </c>
      <c r="N48">
        <v>28024</v>
      </c>
      <c r="O48" s="6">
        <v>51772500</v>
      </c>
      <c r="P48" s="6">
        <v>46237500</v>
      </c>
      <c r="Q48" s="6">
        <v>3151200</v>
      </c>
      <c r="R48" s="6">
        <v>101161200</v>
      </c>
      <c r="S48" s="2">
        <v>27.766666666666666</v>
      </c>
      <c r="T48" s="2">
        <v>9.9195555555555561</v>
      </c>
      <c r="U48" s="2">
        <v>0.42253333333333332</v>
      </c>
      <c r="V48" s="2">
        <v>38.108755555555554</v>
      </c>
      <c r="W48">
        <v>111</v>
      </c>
      <c r="X48">
        <v>3</v>
      </c>
      <c r="Y48">
        <v>2</v>
      </c>
      <c r="Z48">
        <v>116</v>
      </c>
      <c r="AA48" s="2">
        <v>17704358.212831482</v>
      </c>
      <c r="AB48" s="6">
        <v>2697300</v>
      </c>
      <c r="AC48" s="6">
        <v>738000</v>
      </c>
      <c r="AD48" s="6">
        <v>5730000</v>
      </c>
      <c r="AE48" s="6">
        <v>9165300</v>
      </c>
      <c r="AF48" s="3">
        <v>24.455494288476995</v>
      </c>
      <c r="AG48">
        <v>111</v>
      </c>
      <c r="AH48">
        <v>3</v>
      </c>
      <c r="AI48">
        <v>2</v>
      </c>
      <c r="AJ48">
        <v>116</v>
      </c>
      <c r="AK48" s="2">
        <v>4388784.5852752486</v>
      </c>
      <c r="AL48" s="6">
        <v>861360</v>
      </c>
      <c r="AM48" s="6">
        <v>294000</v>
      </c>
      <c r="AN48" s="6">
        <v>2280000</v>
      </c>
      <c r="AO48" s="6">
        <v>3435360</v>
      </c>
      <c r="AP48" s="3">
        <v>0.82684827697761054</v>
      </c>
      <c r="AQ48">
        <v>752</v>
      </c>
      <c r="AR48">
        <v>23</v>
      </c>
      <c r="AS48">
        <v>0</v>
      </c>
      <c r="AT48">
        <v>775</v>
      </c>
      <c r="AU48" s="2">
        <v>10962181.656798955</v>
      </c>
      <c r="AV48" s="6">
        <v>6677760</v>
      </c>
      <c r="AW48" s="6">
        <v>5520000</v>
      </c>
      <c r="AX48" s="6">
        <v>0</v>
      </c>
      <c r="AY48" s="6">
        <v>12197760</v>
      </c>
      <c r="AZ48" s="3">
        <v>108.41507399181047</v>
      </c>
      <c r="BA48">
        <v>3</v>
      </c>
      <c r="BB48">
        <v>0</v>
      </c>
      <c r="BC48">
        <v>0</v>
      </c>
      <c r="BD48">
        <v>3</v>
      </c>
      <c r="BE48" s="2">
        <v>70662.207294735068</v>
      </c>
      <c r="BF48" s="6">
        <v>16920</v>
      </c>
      <c r="BG48" s="6">
        <v>0</v>
      </c>
      <c r="BH48" s="6">
        <v>0</v>
      </c>
      <c r="BI48" s="6">
        <v>16920</v>
      </c>
      <c r="BJ48" s="3">
        <v>147.28782079745645</v>
      </c>
      <c r="BK48" s="6">
        <v>10253340</v>
      </c>
      <c r="BL48" s="6">
        <v>6552000</v>
      </c>
      <c r="BM48" s="6">
        <v>8010000</v>
      </c>
      <c r="BN48" s="6">
        <v>24815340</v>
      </c>
      <c r="BO48" s="3">
        <v>280.98523735472156</v>
      </c>
      <c r="BP48" s="7">
        <v>125976540</v>
      </c>
      <c r="BQ48" s="2">
        <v>95.728197873083133</v>
      </c>
      <c r="BR48" s="2">
        <v>414.82219078336027</v>
      </c>
    </row>
    <row r="49" spans="1:70">
      <c r="A49">
        <v>2022</v>
      </c>
      <c r="B49" s="1">
        <v>67975</v>
      </c>
      <c r="C49" s="2">
        <v>35335213.186813071</v>
      </c>
      <c r="D49" s="3">
        <v>519.82660076223715</v>
      </c>
      <c r="E49" s="1">
        <v>40785</v>
      </c>
      <c r="F49" s="4">
        <v>0.92741130197429866</v>
      </c>
      <c r="G49" s="4">
        <v>0.63885056006916163</v>
      </c>
      <c r="H49" s="4">
        <v>1</v>
      </c>
      <c r="I49" s="4">
        <v>0.83989285749886711</v>
      </c>
      <c r="J49" s="5">
        <v>9.5827584010374238</v>
      </c>
      <c r="K49">
        <v>7067</v>
      </c>
      <c r="L49">
        <v>18670</v>
      </c>
      <c r="M49">
        <v>2467</v>
      </c>
      <c r="N49">
        <v>28204</v>
      </c>
      <c r="O49" s="6">
        <v>53002500</v>
      </c>
      <c r="P49" s="6">
        <v>46675000</v>
      </c>
      <c r="Q49" s="6">
        <v>2960400</v>
      </c>
      <c r="R49" s="6">
        <v>102637900</v>
      </c>
      <c r="S49" s="2">
        <v>28.385000000000002</v>
      </c>
      <c r="T49" s="2">
        <v>9.9991111111111106</v>
      </c>
      <c r="U49" s="2">
        <v>0.39646666666666669</v>
      </c>
      <c r="V49" s="2">
        <v>38.780577777777779</v>
      </c>
      <c r="W49">
        <v>117</v>
      </c>
      <c r="X49">
        <v>4</v>
      </c>
      <c r="Y49">
        <v>2</v>
      </c>
      <c r="Z49">
        <v>123</v>
      </c>
      <c r="AA49" s="2">
        <v>18810429.661135204</v>
      </c>
      <c r="AB49" s="6">
        <v>2854800</v>
      </c>
      <c r="AC49" s="6">
        <v>964000</v>
      </c>
      <c r="AD49" s="6">
        <v>5910000</v>
      </c>
      <c r="AE49" s="6">
        <v>9728800</v>
      </c>
      <c r="AF49" s="3">
        <v>25.412948958835372</v>
      </c>
      <c r="AG49">
        <v>117</v>
      </c>
      <c r="AH49">
        <v>4</v>
      </c>
      <c r="AI49">
        <v>2</v>
      </c>
      <c r="AJ49">
        <v>123</v>
      </c>
      <c r="AK49" s="2">
        <v>4667826.156801478</v>
      </c>
      <c r="AL49" s="6">
        <v>907920</v>
      </c>
      <c r="AM49" s="6">
        <v>388000</v>
      </c>
      <c r="AN49" s="6">
        <v>2328000</v>
      </c>
      <c r="AO49" s="6">
        <v>3623920</v>
      </c>
      <c r="AP49" s="3">
        <v>0.85255916882801142</v>
      </c>
      <c r="AQ49">
        <v>806</v>
      </c>
      <c r="AR49">
        <v>24</v>
      </c>
      <c r="AS49">
        <v>0</v>
      </c>
      <c r="AT49">
        <v>830</v>
      </c>
      <c r="AU49" s="2">
        <v>11786959.502522949</v>
      </c>
      <c r="AV49" s="6">
        <v>7334600</v>
      </c>
      <c r="AW49" s="6">
        <v>3744000</v>
      </c>
      <c r="AX49" s="6">
        <v>0</v>
      </c>
      <c r="AY49" s="6">
        <v>11078600</v>
      </c>
      <c r="AZ49" s="3">
        <v>111.1080446084047</v>
      </c>
      <c r="BA49">
        <v>3</v>
      </c>
      <c r="BB49">
        <v>0</v>
      </c>
      <c r="BC49">
        <v>0</v>
      </c>
      <c r="BD49">
        <v>3</v>
      </c>
      <c r="BE49" s="2">
        <v>69997.866353440011</v>
      </c>
      <c r="BF49" s="6">
        <v>17460</v>
      </c>
      <c r="BG49" s="6">
        <v>0</v>
      </c>
      <c r="BH49" s="6">
        <v>0</v>
      </c>
      <c r="BI49" s="6">
        <v>17460</v>
      </c>
      <c r="BJ49" s="3">
        <v>152.76557478160248</v>
      </c>
      <c r="BK49" s="6">
        <v>11114780</v>
      </c>
      <c r="BL49" s="6">
        <v>5096000</v>
      </c>
      <c r="BM49" s="6">
        <v>8238000</v>
      </c>
      <c r="BN49" s="6">
        <v>24448780</v>
      </c>
      <c r="BO49" s="3">
        <v>290.13912751767054</v>
      </c>
      <c r="BP49" s="7">
        <v>127086680</v>
      </c>
      <c r="BQ49" s="2">
        <v>98.675911588634506</v>
      </c>
      <c r="BR49" s="2">
        <v>427.59561688408286</v>
      </c>
    </row>
    <row r="50" spans="1:70">
      <c r="A50">
        <v>2023</v>
      </c>
      <c r="B50" s="1">
        <v>68314</v>
      </c>
      <c r="C50" s="2">
        <v>37675915.886376217</v>
      </c>
      <c r="D50" s="3">
        <v>551.51090386123224</v>
      </c>
      <c r="E50" s="1">
        <v>40988</v>
      </c>
      <c r="F50" s="4">
        <v>0.93529218901905775</v>
      </c>
      <c r="G50" s="4">
        <v>0.64047044401073761</v>
      </c>
      <c r="H50" s="4">
        <v>1</v>
      </c>
      <c r="I50" s="4">
        <v>0.84297649809491371</v>
      </c>
      <c r="J50" s="5">
        <v>9.6070566601610636</v>
      </c>
      <c r="K50">
        <v>7227</v>
      </c>
      <c r="L50">
        <v>18839</v>
      </c>
      <c r="M50">
        <v>2310</v>
      </c>
      <c r="N50">
        <v>28376</v>
      </c>
      <c r="O50" s="6">
        <v>54202500</v>
      </c>
      <c r="P50" s="6">
        <v>47097500</v>
      </c>
      <c r="Q50" s="6">
        <v>2772000</v>
      </c>
      <c r="R50" s="6">
        <v>104072000</v>
      </c>
      <c r="S50" s="2">
        <v>28.998333333333335</v>
      </c>
      <c r="T50" s="2">
        <v>10.078222222222223</v>
      </c>
      <c r="U50" s="2">
        <v>0.37080000000000002</v>
      </c>
      <c r="V50" s="2">
        <v>39.447355555555561</v>
      </c>
      <c r="W50">
        <v>122</v>
      </c>
      <c r="X50">
        <v>4</v>
      </c>
      <c r="Y50">
        <v>2</v>
      </c>
      <c r="Z50">
        <v>128</v>
      </c>
      <c r="AA50" s="2">
        <v>19978359.92059746</v>
      </c>
      <c r="AB50" s="6">
        <v>2952400</v>
      </c>
      <c r="AC50" s="6">
        <v>968000</v>
      </c>
      <c r="AD50" s="6">
        <v>5940000</v>
      </c>
      <c r="AE50" s="6">
        <v>9860400</v>
      </c>
      <c r="AF50" s="3">
        <v>26.395386660055298</v>
      </c>
      <c r="AG50">
        <v>122</v>
      </c>
      <c r="AH50">
        <v>4</v>
      </c>
      <c r="AI50">
        <v>2</v>
      </c>
      <c r="AJ50">
        <v>128</v>
      </c>
      <c r="AK50" s="2">
        <v>4964518.8835045667</v>
      </c>
      <c r="AL50" s="6">
        <v>946720</v>
      </c>
      <c r="AM50" s="6">
        <v>382000</v>
      </c>
      <c r="AN50" s="6">
        <v>2376000</v>
      </c>
      <c r="AO50" s="6">
        <v>3704720</v>
      </c>
      <c r="AP50" s="3">
        <v>0.87921603207046362</v>
      </c>
      <c r="AQ50">
        <v>864</v>
      </c>
      <c r="AR50">
        <v>26</v>
      </c>
      <c r="AS50">
        <v>0</v>
      </c>
      <c r="AT50">
        <v>890</v>
      </c>
      <c r="AU50" s="2">
        <v>12663863.938472096</v>
      </c>
      <c r="AV50" s="6">
        <v>8432640</v>
      </c>
      <c r="AW50" s="6">
        <v>4420000</v>
      </c>
      <c r="AX50" s="6">
        <v>0</v>
      </c>
      <c r="AY50" s="6">
        <v>12852640</v>
      </c>
      <c r="AZ50" s="3">
        <v>113.97196965887318</v>
      </c>
      <c r="BA50">
        <v>3</v>
      </c>
      <c r="BB50">
        <v>0</v>
      </c>
      <c r="BC50">
        <v>0</v>
      </c>
      <c r="BD50">
        <v>3</v>
      </c>
      <c r="BE50" s="2">
        <v>69173.143802090475</v>
      </c>
      <c r="BF50" s="6">
        <v>17595</v>
      </c>
      <c r="BG50" s="6">
        <v>0</v>
      </c>
      <c r="BH50" s="6">
        <v>0</v>
      </c>
      <c r="BI50" s="6">
        <v>17595</v>
      </c>
      <c r="BJ50" s="3">
        <v>158.38247262635932</v>
      </c>
      <c r="BK50" s="6">
        <v>12349355</v>
      </c>
      <c r="BL50" s="6">
        <v>5770000</v>
      </c>
      <c r="BM50" s="6">
        <v>8316000</v>
      </c>
      <c r="BN50" s="6">
        <v>26435355</v>
      </c>
      <c r="BO50" s="3">
        <v>299.62904497735826</v>
      </c>
      <c r="BP50" s="7">
        <v>130507355</v>
      </c>
      <c r="BQ50" s="2">
        <v>101.72292015987414</v>
      </c>
      <c r="BR50" s="2">
        <v>440.79932069278794</v>
      </c>
    </row>
    <row r="51" spans="1:70">
      <c r="A51">
        <v>2024</v>
      </c>
      <c r="B51" s="1">
        <v>68655</v>
      </c>
      <c r="C51" s="2">
        <v>40155210.296680167</v>
      </c>
      <c r="D51" s="3">
        <v>584.88398946442601</v>
      </c>
      <c r="E51" s="1">
        <v>41193</v>
      </c>
      <c r="F51" s="4">
        <v>0.9430864000343262</v>
      </c>
      <c r="G51" s="4">
        <v>0.64199599325543655</v>
      </c>
      <c r="H51" s="4">
        <v>1</v>
      </c>
      <c r="I51" s="4">
        <v>0.84598228036392542</v>
      </c>
      <c r="J51" s="5">
        <v>9.6299398988315481</v>
      </c>
      <c r="K51">
        <v>7386</v>
      </c>
      <c r="L51">
        <v>19003</v>
      </c>
      <c r="M51">
        <v>2154</v>
      </c>
      <c r="N51">
        <v>28543</v>
      </c>
      <c r="O51" s="6">
        <v>55395000</v>
      </c>
      <c r="P51" s="6">
        <v>47507500</v>
      </c>
      <c r="Q51" s="6">
        <v>2584800</v>
      </c>
      <c r="R51" s="6">
        <v>105487300</v>
      </c>
      <c r="S51" s="2">
        <v>29.61</v>
      </c>
      <c r="T51" s="2">
        <v>10.157111111111112</v>
      </c>
      <c r="U51" s="2">
        <v>0.34539999999999998</v>
      </c>
      <c r="V51" s="2">
        <v>40.112511111111111</v>
      </c>
      <c r="W51">
        <v>129</v>
      </c>
      <c r="X51">
        <v>4</v>
      </c>
      <c r="Y51">
        <v>2</v>
      </c>
      <c r="Z51">
        <v>135</v>
      </c>
      <c r="AA51" s="2">
        <v>21211902.593637235</v>
      </c>
      <c r="AB51" s="6">
        <v>3147600</v>
      </c>
      <c r="AC51" s="6">
        <v>968000</v>
      </c>
      <c r="AD51" s="6">
        <v>5850000</v>
      </c>
      <c r="AE51" s="6">
        <v>9965600</v>
      </c>
      <c r="AF51" s="3">
        <v>27.403323438189041</v>
      </c>
      <c r="AG51">
        <v>129</v>
      </c>
      <c r="AH51">
        <v>4</v>
      </c>
      <c r="AI51">
        <v>2</v>
      </c>
      <c r="AJ51">
        <v>135</v>
      </c>
      <c r="AK51" s="2">
        <v>5280100.9525645636</v>
      </c>
      <c r="AL51" s="6">
        <v>1021680</v>
      </c>
      <c r="AM51" s="6">
        <v>380000</v>
      </c>
      <c r="AN51" s="6">
        <v>2304000</v>
      </c>
      <c r="AO51" s="6">
        <v>3705680</v>
      </c>
      <c r="AP51" s="3">
        <v>0.90683246731120526</v>
      </c>
      <c r="AQ51">
        <v>926</v>
      </c>
      <c r="AR51">
        <v>28</v>
      </c>
      <c r="AS51">
        <v>0</v>
      </c>
      <c r="AT51">
        <v>954</v>
      </c>
      <c r="AU51" s="2">
        <v>13595027.393238297</v>
      </c>
      <c r="AV51" s="6">
        <v>9241480</v>
      </c>
      <c r="AW51" s="6">
        <v>5544000</v>
      </c>
      <c r="AX51" s="6">
        <v>0</v>
      </c>
      <c r="AY51" s="6">
        <v>14785480</v>
      </c>
      <c r="AZ51" s="3">
        <v>117.00261823180581</v>
      </c>
      <c r="BA51">
        <v>3</v>
      </c>
      <c r="BB51">
        <v>0</v>
      </c>
      <c r="BC51">
        <v>0</v>
      </c>
      <c r="BD51">
        <v>3</v>
      </c>
      <c r="BE51" s="2">
        <v>68179.357240071127</v>
      </c>
      <c r="BF51" s="6">
        <v>17595</v>
      </c>
      <c r="BG51" s="6">
        <v>0</v>
      </c>
      <c r="BH51" s="6">
        <v>0</v>
      </c>
      <c r="BI51" s="6">
        <v>17595</v>
      </c>
      <c r="BJ51" s="3">
        <v>164.14139184486558</v>
      </c>
      <c r="BK51" s="6">
        <v>13428355</v>
      </c>
      <c r="BL51" s="6">
        <v>6892000</v>
      </c>
      <c r="BM51" s="6">
        <v>8154000</v>
      </c>
      <c r="BN51" s="6">
        <v>28474355</v>
      </c>
      <c r="BO51" s="3">
        <v>309.45416598217162</v>
      </c>
      <c r="BP51" s="7">
        <v>133961655</v>
      </c>
      <c r="BQ51" s="2">
        <v>104.87000312798482</v>
      </c>
      <c r="BR51" s="2">
        <v>454.43668022126758</v>
      </c>
    </row>
    <row r="52" spans="1:70">
      <c r="A52">
        <v>2025</v>
      </c>
      <c r="B52" s="1">
        <v>68998</v>
      </c>
      <c r="C52" s="2">
        <v>42777630.714654587</v>
      </c>
      <c r="D52" s="3">
        <v>619.9836330713149</v>
      </c>
      <c r="E52" s="1">
        <v>41398</v>
      </c>
      <c r="F52" s="4">
        <v>0.95078647527519511</v>
      </c>
      <c r="G52" s="4">
        <v>0.64343270142833009</v>
      </c>
      <c r="H52" s="4">
        <v>1</v>
      </c>
      <c r="I52" s="4">
        <v>0.84891076639632645</v>
      </c>
      <c r="J52" s="5">
        <v>9.651490521424952</v>
      </c>
      <c r="K52">
        <v>7542</v>
      </c>
      <c r="L52">
        <v>19162</v>
      </c>
      <c r="M52">
        <v>1999</v>
      </c>
      <c r="N52">
        <v>28703</v>
      </c>
      <c r="O52" s="6">
        <v>56565000</v>
      </c>
      <c r="P52" s="6">
        <v>47905000</v>
      </c>
      <c r="Q52" s="6">
        <v>2398800</v>
      </c>
      <c r="R52" s="6">
        <v>106868800</v>
      </c>
      <c r="S52" s="2">
        <v>30.216666666666665</v>
      </c>
      <c r="T52" s="2">
        <v>10.235555555555555</v>
      </c>
      <c r="U52" s="2">
        <v>0.32040000000000002</v>
      </c>
      <c r="V52" s="2">
        <v>40.772622222222218</v>
      </c>
      <c r="W52">
        <v>135</v>
      </c>
      <c r="X52">
        <v>5</v>
      </c>
      <c r="Y52">
        <v>2</v>
      </c>
      <c r="Z52">
        <v>142</v>
      </c>
      <c r="AA52" s="2">
        <v>22513893.150827385</v>
      </c>
      <c r="AB52" s="6">
        <v>3307500</v>
      </c>
      <c r="AC52" s="6">
        <v>1240000</v>
      </c>
      <c r="AD52" s="6">
        <v>5820000</v>
      </c>
      <c r="AE52" s="6">
        <v>10367500</v>
      </c>
      <c r="AF52" s="3">
        <v>28.437272151331626</v>
      </c>
      <c r="AG52">
        <v>135</v>
      </c>
      <c r="AH52">
        <v>5</v>
      </c>
      <c r="AI52">
        <v>2</v>
      </c>
      <c r="AJ52">
        <v>142</v>
      </c>
      <c r="AK52" s="2">
        <v>5615533.5077937618</v>
      </c>
      <c r="AL52" s="6">
        <v>1031400</v>
      </c>
      <c r="AM52" s="6">
        <v>487500</v>
      </c>
      <c r="AN52" s="6">
        <v>2280000</v>
      </c>
      <c r="AO52" s="6">
        <v>3798900</v>
      </c>
      <c r="AP52" s="3">
        <v>0.93542224578007593</v>
      </c>
      <c r="AQ52">
        <v>991</v>
      </c>
      <c r="AR52">
        <v>31</v>
      </c>
      <c r="AS52">
        <v>0</v>
      </c>
      <c r="AT52">
        <v>1022</v>
      </c>
      <c r="AU52" s="2">
        <v>14581203.111837072</v>
      </c>
      <c r="AV52" s="6">
        <v>10108200</v>
      </c>
      <c r="AW52" s="6">
        <v>6138000</v>
      </c>
      <c r="AX52" s="6">
        <v>0</v>
      </c>
      <c r="AY52" s="6">
        <v>16246200</v>
      </c>
      <c r="AZ52" s="3">
        <v>120.1962280831079</v>
      </c>
      <c r="BA52">
        <v>3</v>
      </c>
      <c r="BB52">
        <v>0</v>
      </c>
      <c r="BC52">
        <v>0</v>
      </c>
      <c r="BD52">
        <v>3</v>
      </c>
      <c r="BE52" s="2">
        <v>67000.944196362805</v>
      </c>
      <c r="BF52" s="6">
        <v>16785</v>
      </c>
      <c r="BG52" s="6">
        <v>0</v>
      </c>
      <c r="BH52" s="6">
        <v>0</v>
      </c>
      <c r="BI52" s="6">
        <v>16785</v>
      </c>
      <c r="BJ52" s="3">
        <v>170.04515365566178</v>
      </c>
      <c r="BK52" s="6">
        <v>14463885</v>
      </c>
      <c r="BL52" s="6">
        <v>7865500</v>
      </c>
      <c r="BM52" s="6">
        <v>8100000</v>
      </c>
      <c r="BN52" s="6">
        <v>30429385</v>
      </c>
      <c r="BO52" s="3">
        <v>319.61407613588142</v>
      </c>
      <c r="BP52" s="7">
        <v>137298185</v>
      </c>
      <c r="BQ52" s="2">
        <v>108.11600950743109</v>
      </c>
      <c r="BR52" s="2">
        <v>468.50270786553472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4425-ACAF-4972-AD9E-0601C229841A}">
  <dimension ref="A1:BR52"/>
  <sheetViews>
    <sheetView workbookViewId="0">
      <selection activeCell="R2" sqref="R2"/>
    </sheetView>
  </sheetViews>
  <sheetFormatPr defaultRowHeight="14.45"/>
  <cols>
    <col min="1" max="1" width="5" bestFit="1" customWidth="1"/>
    <col min="2" max="2" width="11.42578125" bestFit="1" customWidth="1"/>
    <col min="3" max="3" width="12.7109375" bestFit="1" customWidth="1"/>
    <col min="4" max="4" width="6.28515625" bestFit="1" customWidth="1"/>
    <col min="5" max="5" width="7.5703125" bestFit="1" customWidth="1"/>
    <col min="6" max="9" width="6.5703125" bestFit="1" customWidth="1"/>
    <col min="10" max="10" width="12.7109375" bestFit="1" customWidth="1"/>
    <col min="11" max="11" width="10.28515625" bestFit="1" customWidth="1"/>
    <col min="12" max="12" width="12" bestFit="1" customWidth="1"/>
    <col min="13" max="13" width="11.42578125" bestFit="1" customWidth="1"/>
    <col min="14" max="14" width="7" bestFit="1" customWidth="1"/>
    <col min="15" max="15" width="13.7109375" bestFit="1" customWidth="1"/>
    <col min="16" max="16" width="14.7109375" bestFit="1" customWidth="1"/>
    <col min="17" max="17" width="13.7109375" bestFit="1" customWidth="1"/>
    <col min="18" max="18" width="14.7109375" bestFit="1" customWidth="1"/>
    <col min="19" max="19" width="8.140625" bestFit="1" customWidth="1"/>
    <col min="20" max="20" width="8.42578125" bestFit="1" customWidth="1"/>
    <col min="21" max="21" width="8.140625" bestFit="1" customWidth="1"/>
    <col min="22" max="22" width="6.7109375" bestFit="1" customWidth="1"/>
    <col min="23" max="23" width="8.140625" bestFit="1" customWidth="1"/>
    <col min="24" max="24" width="8.42578125" bestFit="1" customWidth="1"/>
    <col min="25" max="25" width="8.28515625" bestFit="1" customWidth="1"/>
    <col min="26" max="26" width="6.7109375" bestFit="1" customWidth="1"/>
    <col min="27" max="27" width="11.7109375" bestFit="1" customWidth="1"/>
    <col min="28" max="28" width="12.7109375" bestFit="1" customWidth="1"/>
    <col min="29" max="29" width="8.140625" bestFit="1" customWidth="1"/>
    <col min="30" max="30" width="8" bestFit="1" customWidth="1"/>
    <col min="31" max="31" width="12.7109375" bestFit="1" customWidth="1"/>
    <col min="32" max="32" width="6.5703125" bestFit="1" customWidth="1"/>
    <col min="33" max="33" width="8.28515625" bestFit="1" customWidth="1"/>
    <col min="34" max="34" width="8.5703125" bestFit="1" customWidth="1"/>
    <col min="35" max="35" width="8.42578125" bestFit="1" customWidth="1"/>
    <col min="36" max="36" width="6.7109375" bestFit="1" customWidth="1"/>
    <col min="37" max="37" width="11.7109375" bestFit="1" customWidth="1"/>
    <col min="38" max="38" width="11.140625" bestFit="1" customWidth="1"/>
    <col min="39" max="39" width="8.28515625" bestFit="1" customWidth="1"/>
    <col min="40" max="40" width="8.140625" bestFit="1" customWidth="1"/>
    <col min="41" max="41" width="11.140625" bestFit="1" customWidth="1"/>
    <col min="42" max="42" width="6.7109375" bestFit="1" customWidth="1"/>
    <col min="43" max="43" width="8.28515625" bestFit="1" customWidth="1"/>
    <col min="44" max="44" width="8.7109375" bestFit="1" customWidth="1"/>
    <col min="45" max="45" width="8.5703125" bestFit="1" customWidth="1"/>
    <col min="46" max="46" width="6.85546875" bestFit="1" customWidth="1"/>
    <col min="47" max="47" width="7.28515625" bestFit="1" customWidth="1"/>
    <col min="48" max="48" width="8" bestFit="1" customWidth="1"/>
    <col min="49" max="50" width="8.28515625" bestFit="1" customWidth="1"/>
    <col min="51" max="51" width="6.5703125" bestFit="1" customWidth="1"/>
    <col min="52" max="52" width="6.7109375" bestFit="1" customWidth="1"/>
    <col min="53" max="53" width="8.7109375" bestFit="1" customWidth="1"/>
    <col min="54" max="54" width="9" bestFit="1" customWidth="1"/>
    <col min="56" max="56" width="7.28515625" bestFit="1" customWidth="1"/>
    <col min="57" max="57" width="11.7109375" bestFit="1" customWidth="1"/>
    <col min="58" max="61" width="12.7109375" bestFit="1" customWidth="1"/>
    <col min="62" max="62" width="7.140625" bestFit="1" customWidth="1"/>
    <col min="63" max="66" width="12.7109375" bestFit="1" customWidth="1"/>
    <col min="67" max="67" width="7" bestFit="1" customWidth="1"/>
    <col min="68" max="68" width="13.7109375" bestFit="1" customWidth="1"/>
    <col min="69" max="69" width="7" bestFit="1" customWidth="1"/>
    <col min="70" max="70" width="8.7109375" bestFit="1" customWidth="1"/>
  </cols>
  <sheetData>
    <row r="1" spans="1:7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2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</row>
    <row r="2" spans="1:70">
      <c r="A2">
        <v>1975</v>
      </c>
      <c r="B2" s="1">
        <v>180000</v>
      </c>
      <c r="C2" s="2">
        <v>796552.36318588804</v>
      </c>
      <c r="D2" s="3">
        <v>4.4252909065882671</v>
      </c>
      <c r="E2" s="1">
        <v>108000</v>
      </c>
      <c r="F2" s="4">
        <v>0.22467062999147763</v>
      </c>
      <c r="G2" s="4">
        <v>0.1</v>
      </c>
      <c r="H2" s="4">
        <v>2.7720505216508075E-2</v>
      </c>
      <c r="I2" s="4">
        <v>8.5398284799902857E-2</v>
      </c>
      <c r="J2" s="5">
        <v>1.5</v>
      </c>
      <c r="K2">
        <v>15</v>
      </c>
      <c r="L2">
        <v>7111</v>
      </c>
      <c r="M2">
        <v>26125</v>
      </c>
      <c r="N2">
        <v>33251</v>
      </c>
      <c r="O2" s="6">
        <v>112500</v>
      </c>
      <c r="P2" s="6">
        <v>17777500</v>
      </c>
      <c r="Q2" s="6">
        <v>31350000</v>
      </c>
      <c r="R2" s="6">
        <f>Q2+P2+O2</f>
        <v>49240000</v>
      </c>
      <c r="S2" s="2">
        <v>0.14333333333333334</v>
      </c>
      <c r="T2" s="2">
        <v>8.554666666666666</v>
      </c>
      <c r="U2" s="2">
        <v>9.4277999999999995</v>
      </c>
      <c r="V2" s="2">
        <v>18.125799999999998</v>
      </c>
      <c r="W2">
        <v>1</v>
      </c>
      <c r="X2">
        <v>0</v>
      </c>
      <c r="Y2">
        <v>0</v>
      </c>
      <c r="Z2">
        <v>1</v>
      </c>
      <c r="AA2" s="2">
        <v>42975.305379739977</v>
      </c>
      <c r="AB2" s="6">
        <v>24500</v>
      </c>
      <c r="AC2" s="6">
        <v>0</v>
      </c>
      <c r="AD2" s="6">
        <v>0</v>
      </c>
      <c r="AE2" s="6">
        <v>24500</v>
      </c>
      <c r="AF2" s="3">
        <v>0.08</v>
      </c>
      <c r="AG2">
        <v>1</v>
      </c>
      <c r="AH2">
        <v>0</v>
      </c>
      <c r="AI2">
        <v>0</v>
      </c>
      <c r="AJ2">
        <v>1</v>
      </c>
      <c r="AK2" s="2">
        <v>41676.229250079123</v>
      </c>
      <c r="AL2" s="6">
        <v>7720</v>
      </c>
      <c r="AM2" s="6">
        <v>0</v>
      </c>
      <c r="AN2" s="6">
        <v>0</v>
      </c>
      <c r="AO2" s="6">
        <v>7720</v>
      </c>
      <c r="AP2" s="3">
        <v>1.6666666666666668E-3</v>
      </c>
      <c r="AQ2">
        <v>0</v>
      </c>
      <c r="AR2">
        <v>0</v>
      </c>
      <c r="AS2">
        <v>0</v>
      </c>
      <c r="AT2">
        <v>0</v>
      </c>
      <c r="AU2" s="2">
        <v>0</v>
      </c>
      <c r="AV2" s="6">
        <v>0</v>
      </c>
      <c r="AW2" s="6">
        <v>0</v>
      </c>
      <c r="AX2" s="6">
        <v>0</v>
      </c>
      <c r="AY2" s="6">
        <v>0</v>
      </c>
      <c r="AZ2" s="3">
        <v>1</v>
      </c>
      <c r="BA2">
        <v>35</v>
      </c>
      <c r="BB2">
        <v>2</v>
      </c>
      <c r="BC2">
        <v>0</v>
      </c>
      <c r="BD2">
        <v>37</v>
      </c>
      <c r="BE2" s="2">
        <v>711900.82855606894</v>
      </c>
      <c r="BF2" s="6">
        <v>206850</v>
      </c>
      <c r="BG2" s="6">
        <v>176100</v>
      </c>
      <c r="BH2" s="6">
        <v>0</v>
      </c>
      <c r="BI2" s="6">
        <v>382950</v>
      </c>
      <c r="BJ2" s="3">
        <v>1</v>
      </c>
      <c r="BK2" s="6">
        <v>239070</v>
      </c>
      <c r="BL2" s="6">
        <v>176100</v>
      </c>
      <c r="BM2" s="6">
        <v>0</v>
      </c>
      <c r="BN2" s="6">
        <v>415170</v>
      </c>
      <c r="BO2" s="3">
        <v>2.0816666666666666</v>
      </c>
      <c r="BP2" s="7">
        <v>49691830</v>
      </c>
      <c r="BQ2" s="2">
        <v>6.0622399999999992</v>
      </c>
      <c r="BR2" s="2">
        <v>26.269706666666664</v>
      </c>
    </row>
    <row r="3" spans="1:70">
      <c r="A3">
        <v>1976</v>
      </c>
      <c r="B3" s="1">
        <v>184512</v>
      </c>
      <c r="C3" s="2">
        <v>926274.99657712947</v>
      </c>
      <c r="D3" s="3">
        <v>5.0201341732631457</v>
      </c>
      <c r="E3" s="1">
        <v>110707</v>
      </c>
      <c r="F3" s="4">
        <v>0.24333882429256354</v>
      </c>
      <c r="G3" s="4">
        <v>0.10594039800797343</v>
      </c>
      <c r="H3" s="4">
        <v>2.9369572885869999E-2</v>
      </c>
      <c r="I3" s="4">
        <v>9.1143047435342919E-2</v>
      </c>
      <c r="J3" s="5">
        <v>1.5891059701196015</v>
      </c>
      <c r="K3">
        <v>21</v>
      </c>
      <c r="L3">
        <v>7911</v>
      </c>
      <c r="M3">
        <v>26226</v>
      </c>
      <c r="N3">
        <v>34158</v>
      </c>
      <c r="O3" s="6">
        <v>157500</v>
      </c>
      <c r="P3" s="6">
        <v>19777500</v>
      </c>
      <c r="Q3" s="6">
        <v>31471200</v>
      </c>
      <c r="R3" s="6">
        <f t="shared" ref="R3:R52" si="0">Q3+P3+O3</f>
        <v>51406200</v>
      </c>
      <c r="S3" s="2">
        <v>0.19333333333333333</v>
      </c>
      <c r="T3" s="2">
        <v>9.4962222222222223</v>
      </c>
      <c r="U3" s="2">
        <v>9.4440666666666662</v>
      </c>
      <c r="V3" s="2">
        <v>19.133622222222222</v>
      </c>
      <c r="W3">
        <v>2</v>
      </c>
      <c r="X3">
        <v>0</v>
      </c>
      <c r="Y3">
        <v>0</v>
      </c>
      <c r="Z3">
        <v>2</v>
      </c>
      <c r="AA3" s="2">
        <v>79219.240152932558</v>
      </c>
      <c r="AB3" s="6">
        <v>49000</v>
      </c>
      <c r="AC3" s="6">
        <v>0</v>
      </c>
      <c r="AD3" s="6">
        <v>0</v>
      </c>
      <c r="AE3" s="6">
        <v>49000</v>
      </c>
      <c r="AF3" s="3">
        <v>0.30451999503437854</v>
      </c>
      <c r="AG3">
        <v>2</v>
      </c>
      <c r="AH3">
        <v>0</v>
      </c>
      <c r="AI3">
        <v>0</v>
      </c>
      <c r="AJ3">
        <v>2</v>
      </c>
      <c r="AK3" s="2">
        <v>76365.763421943077</v>
      </c>
      <c r="AL3" s="6">
        <v>15600</v>
      </c>
      <c r="AM3" s="6">
        <v>0</v>
      </c>
      <c r="AN3" s="6">
        <v>0</v>
      </c>
      <c r="AO3" s="6">
        <v>15600</v>
      </c>
      <c r="AP3" s="3">
        <v>1.1171666459765773E-2</v>
      </c>
      <c r="AQ3">
        <v>0</v>
      </c>
      <c r="AR3">
        <v>0</v>
      </c>
      <c r="AS3">
        <v>0</v>
      </c>
      <c r="AT3">
        <v>0</v>
      </c>
      <c r="AU3" s="2">
        <v>0</v>
      </c>
      <c r="AV3" s="6">
        <v>0</v>
      </c>
      <c r="AW3" s="6">
        <v>0</v>
      </c>
      <c r="AX3" s="6">
        <v>0</v>
      </c>
      <c r="AY3" s="6">
        <v>0</v>
      </c>
      <c r="AZ3" s="3">
        <v>1.9949374767236494</v>
      </c>
      <c r="BA3">
        <v>38</v>
      </c>
      <c r="BB3">
        <v>2</v>
      </c>
      <c r="BC3">
        <v>0</v>
      </c>
      <c r="BD3">
        <v>40</v>
      </c>
      <c r="BE3" s="2">
        <v>770689.99300225382</v>
      </c>
      <c r="BF3" s="6">
        <v>214320</v>
      </c>
      <c r="BG3" s="6">
        <v>168300</v>
      </c>
      <c r="BH3" s="6">
        <v>0</v>
      </c>
      <c r="BI3" s="6">
        <v>382620</v>
      </c>
      <c r="BJ3" s="3">
        <v>2.8109999586198211</v>
      </c>
      <c r="BK3" s="6">
        <v>278920</v>
      </c>
      <c r="BL3" s="6">
        <v>168300</v>
      </c>
      <c r="BM3" s="6">
        <v>0</v>
      </c>
      <c r="BN3" s="6">
        <v>447220</v>
      </c>
      <c r="BO3" s="3">
        <v>5.1216290968376148</v>
      </c>
      <c r="BP3" s="7">
        <v>51853420</v>
      </c>
      <c r="BQ3" s="2">
        <v>7.2765753957179511</v>
      </c>
      <c r="BR3" s="2">
        <v>31.53182671477779</v>
      </c>
    </row>
    <row r="4" spans="1:70">
      <c r="A4">
        <v>1977</v>
      </c>
      <c r="B4" s="1">
        <v>189138</v>
      </c>
      <c r="C4" s="2">
        <v>1032250.4124230222</v>
      </c>
      <c r="D4" s="3">
        <v>5.4576574375483622</v>
      </c>
      <c r="E4" s="1">
        <v>113482</v>
      </c>
      <c r="F4" s="4">
        <v>0.25568557795627073</v>
      </c>
      <c r="G4" s="4">
        <v>0.11176316825430306</v>
      </c>
      <c r="H4" s="4">
        <v>3.0642835367198983E-2</v>
      </c>
      <c r="I4" s="4">
        <v>9.5670481903618945E-2</v>
      </c>
      <c r="J4" s="5">
        <v>1.676447523814546</v>
      </c>
      <c r="K4">
        <v>27</v>
      </c>
      <c r="L4">
        <v>8533</v>
      </c>
      <c r="M4">
        <v>26509</v>
      </c>
      <c r="N4">
        <v>35069</v>
      </c>
      <c r="O4" s="6">
        <v>202500</v>
      </c>
      <c r="P4" s="6">
        <v>21332500</v>
      </c>
      <c r="Q4" s="6">
        <v>31810800</v>
      </c>
      <c r="R4" s="6">
        <f t="shared" si="0"/>
        <v>53345800</v>
      </c>
      <c r="S4" s="2">
        <v>0.24333333333333335</v>
      </c>
      <c r="T4" s="2">
        <v>10.226888888888888</v>
      </c>
      <c r="U4" s="2">
        <v>9.5312666666666672</v>
      </c>
      <c r="V4" s="2">
        <v>20.00148888888889</v>
      </c>
      <c r="W4">
        <v>3</v>
      </c>
      <c r="X4">
        <v>0</v>
      </c>
      <c r="Y4">
        <v>0</v>
      </c>
      <c r="Z4">
        <v>3</v>
      </c>
      <c r="AA4" s="2">
        <v>106374.01696401402</v>
      </c>
      <c r="AB4" s="6">
        <v>73500</v>
      </c>
      <c r="AC4" s="6">
        <v>0</v>
      </c>
      <c r="AD4" s="6">
        <v>0</v>
      </c>
      <c r="AE4" s="6">
        <v>73500</v>
      </c>
      <c r="AF4" s="3">
        <v>0.54629321229835193</v>
      </c>
      <c r="AG4">
        <v>3</v>
      </c>
      <c r="AH4">
        <v>0</v>
      </c>
      <c r="AI4">
        <v>0</v>
      </c>
      <c r="AJ4">
        <v>3</v>
      </c>
      <c r="AK4" s="2">
        <v>98182.817524018392</v>
      </c>
      <c r="AL4" s="6">
        <v>23280</v>
      </c>
      <c r="AM4" s="6">
        <v>0</v>
      </c>
      <c r="AN4" s="6">
        <v>0</v>
      </c>
      <c r="AO4" s="6">
        <v>23280</v>
      </c>
      <c r="AP4" s="3">
        <v>2.1671700506224304E-2</v>
      </c>
      <c r="AQ4">
        <v>0</v>
      </c>
      <c r="AR4">
        <v>0</v>
      </c>
      <c r="AS4">
        <v>0</v>
      </c>
      <c r="AT4">
        <v>0</v>
      </c>
      <c r="AU4" s="2">
        <v>0</v>
      </c>
      <c r="AV4" s="6">
        <v>0</v>
      </c>
      <c r="AW4" s="6">
        <v>0</v>
      </c>
      <c r="AX4" s="6">
        <v>0</v>
      </c>
      <c r="AY4" s="6">
        <v>0</v>
      </c>
      <c r="AZ4" s="3">
        <v>3.054300683114052</v>
      </c>
      <c r="BA4">
        <v>40</v>
      </c>
      <c r="BB4">
        <v>2</v>
      </c>
      <c r="BC4">
        <v>0</v>
      </c>
      <c r="BD4">
        <v>42</v>
      </c>
      <c r="BE4" s="2">
        <v>827693.57793498982</v>
      </c>
      <c r="BF4" s="6">
        <v>234600</v>
      </c>
      <c r="BG4" s="6">
        <v>167000</v>
      </c>
      <c r="BH4" s="6">
        <v>0</v>
      </c>
      <c r="BI4" s="6">
        <v>401600</v>
      </c>
      <c r="BJ4" s="3">
        <v>4.69693677080814</v>
      </c>
      <c r="BK4" s="6">
        <v>331380</v>
      </c>
      <c r="BL4" s="6">
        <v>167000</v>
      </c>
      <c r="BM4" s="6">
        <v>0</v>
      </c>
      <c r="BN4" s="6">
        <v>498380</v>
      </c>
      <c r="BO4" s="3">
        <v>8.3192023667267687</v>
      </c>
      <c r="BP4" s="7">
        <v>53844180</v>
      </c>
      <c r="BQ4" s="2">
        <v>8.4962073766846959</v>
      </c>
      <c r="BR4" s="2">
        <v>36.816898632300351</v>
      </c>
    </row>
    <row r="5" spans="1:70">
      <c r="A5">
        <v>1978</v>
      </c>
      <c r="B5" s="1">
        <v>193882</v>
      </c>
      <c r="C5" s="2">
        <v>1132614.5273082629</v>
      </c>
      <c r="D5" s="3">
        <v>5.8417724559694193</v>
      </c>
      <c r="E5" s="1">
        <v>116329</v>
      </c>
      <c r="F5" s="4">
        <v>0.26574711558247993</v>
      </c>
      <c r="G5" s="4">
        <v>0.11747063992472538</v>
      </c>
      <c r="H5" s="4">
        <v>3.1804607347041068E-2</v>
      </c>
      <c r="I5" s="4">
        <v>9.9761425014272848E-2</v>
      </c>
      <c r="J5" s="5">
        <v>1.7620595988708807</v>
      </c>
      <c r="K5">
        <v>33</v>
      </c>
      <c r="L5">
        <v>9102</v>
      </c>
      <c r="M5">
        <v>26862</v>
      </c>
      <c r="N5">
        <v>35997</v>
      </c>
      <c r="O5" s="6">
        <v>247500</v>
      </c>
      <c r="P5" s="6">
        <v>22755000</v>
      </c>
      <c r="Q5" s="6">
        <v>32234400</v>
      </c>
      <c r="R5" s="6">
        <f t="shared" si="0"/>
        <v>55236900</v>
      </c>
      <c r="S5" s="2">
        <v>0.29833333333333334</v>
      </c>
      <c r="T5" s="2">
        <v>10.894222222222222</v>
      </c>
      <c r="U5" s="2">
        <v>9.6451333333333338</v>
      </c>
      <c r="V5" s="2">
        <v>20.837688888888891</v>
      </c>
      <c r="W5">
        <v>3</v>
      </c>
      <c r="X5">
        <v>0</v>
      </c>
      <c r="Y5">
        <v>0</v>
      </c>
      <c r="Z5">
        <v>3</v>
      </c>
      <c r="AA5" s="2">
        <v>130820.51213159435</v>
      </c>
      <c r="AB5" s="6">
        <v>72300</v>
      </c>
      <c r="AC5" s="6">
        <v>0</v>
      </c>
      <c r="AD5" s="6">
        <v>0</v>
      </c>
      <c r="AE5" s="6">
        <v>72300</v>
      </c>
      <c r="AF5" s="3">
        <v>0.80163337882545604</v>
      </c>
      <c r="AG5">
        <v>3</v>
      </c>
      <c r="AH5">
        <v>0</v>
      </c>
      <c r="AI5">
        <v>0</v>
      </c>
      <c r="AJ5">
        <v>3</v>
      </c>
      <c r="AK5" s="2">
        <v>117519.53054053035</v>
      </c>
      <c r="AL5" s="6">
        <v>22920</v>
      </c>
      <c r="AM5" s="6">
        <v>0</v>
      </c>
      <c r="AN5" s="6">
        <v>0</v>
      </c>
      <c r="AO5" s="6">
        <v>22920</v>
      </c>
      <c r="AP5" s="3">
        <v>3.3026456127079461E-2</v>
      </c>
      <c r="AQ5">
        <v>0</v>
      </c>
      <c r="AR5">
        <v>0</v>
      </c>
      <c r="AS5">
        <v>0</v>
      </c>
      <c r="AT5">
        <v>0</v>
      </c>
      <c r="AU5" s="2">
        <v>0</v>
      </c>
      <c r="AV5" s="6">
        <v>0</v>
      </c>
      <c r="AW5" s="6">
        <v>0</v>
      </c>
      <c r="AX5" s="6">
        <v>0</v>
      </c>
      <c r="AY5" s="6">
        <v>0</v>
      </c>
      <c r="AZ5" s="3">
        <v>4.1605086250196397</v>
      </c>
      <c r="BA5">
        <v>43</v>
      </c>
      <c r="BB5">
        <v>2</v>
      </c>
      <c r="BC5">
        <v>0</v>
      </c>
      <c r="BD5">
        <v>45</v>
      </c>
      <c r="BE5" s="2">
        <v>884274.48463613831</v>
      </c>
      <c r="BF5" s="6">
        <v>240585</v>
      </c>
      <c r="BG5" s="6">
        <v>172200</v>
      </c>
      <c r="BH5" s="6">
        <v>0</v>
      </c>
      <c r="BI5" s="6">
        <v>412785</v>
      </c>
      <c r="BJ5" s="3">
        <v>6.6282244209357044</v>
      </c>
      <c r="BK5" s="6">
        <v>335805</v>
      </c>
      <c r="BL5" s="6">
        <v>172200</v>
      </c>
      <c r="BM5" s="6">
        <v>0</v>
      </c>
      <c r="BN5" s="6">
        <v>508005</v>
      </c>
      <c r="BO5" s="3">
        <v>11.623392880907879</v>
      </c>
      <c r="BP5" s="7">
        <v>55744905</v>
      </c>
      <c r="BQ5" s="2">
        <v>9.7383245309390301</v>
      </c>
      <c r="BR5" s="2">
        <v>42.199406300735802</v>
      </c>
    </row>
    <row r="6" spans="1:70">
      <c r="A6">
        <v>1979</v>
      </c>
      <c r="B6" s="1">
        <v>198746</v>
      </c>
      <c r="C6" s="2">
        <v>1231782.7404541937</v>
      </c>
      <c r="D6" s="3">
        <v>6.197773743643614</v>
      </c>
      <c r="E6" s="1">
        <v>119247</v>
      </c>
      <c r="F6" s="4">
        <v>0.27451670004356515</v>
      </c>
      <c r="G6" s="4">
        <v>0.12306509608400926</v>
      </c>
      <c r="H6" s="4">
        <v>3.2919306634660271E-2</v>
      </c>
      <c r="I6" s="4">
        <v>0.10360597005144502</v>
      </c>
      <c r="J6" s="5">
        <v>1.8459764412601389</v>
      </c>
      <c r="K6">
        <v>40</v>
      </c>
      <c r="L6">
        <v>9649</v>
      </c>
      <c r="M6">
        <v>27258</v>
      </c>
      <c r="N6">
        <v>36947</v>
      </c>
      <c r="O6" s="6">
        <v>300000</v>
      </c>
      <c r="P6" s="6">
        <v>24122500</v>
      </c>
      <c r="Q6" s="6">
        <v>32709600</v>
      </c>
      <c r="R6" s="6">
        <f t="shared" si="0"/>
        <v>57132100</v>
      </c>
      <c r="S6" s="2">
        <v>0.35833333333333334</v>
      </c>
      <c r="T6" s="2">
        <v>11.534222222222223</v>
      </c>
      <c r="U6" s="2">
        <v>9.7750000000000004</v>
      </c>
      <c r="V6" s="2">
        <v>21.667555555555555</v>
      </c>
      <c r="W6">
        <v>4</v>
      </c>
      <c r="X6">
        <v>0</v>
      </c>
      <c r="Y6">
        <v>0</v>
      </c>
      <c r="Z6">
        <v>4</v>
      </c>
      <c r="AA6" s="2">
        <v>154242.64862974011</v>
      </c>
      <c r="AB6" s="6">
        <v>98400</v>
      </c>
      <c r="AC6" s="6">
        <v>0</v>
      </c>
      <c r="AD6" s="6">
        <v>0</v>
      </c>
      <c r="AE6" s="6">
        <v>98400</v>
      </c>
      <c r="AF6" s="3">
        <v>1.0692074921810832</v>
      </c>
      <c r="AG6">
        <v>4</v>
      </c>
      <c r="AH6">
        <v>0</v>
      </c>
      <c r="AI6">
        <v>0</v>
      </c>
      <c r="AJ6">
        <v>4</v>
      </c>
      <c r="AK6" s="2">
        <v>136200.51057442743</v>
      </c>
      <c r="AL6" s="6">
        <v>31360</v>
      </c>
      <c r="AM6" s="6">
        <v>0</v>
      </c>
      <c r="AN6" s="6">
        <v>0</v>
      </c>
      <c r="AO6" s="6">
        <v>31360</v>
      </c>
      <c r="AP6" s="3">
        <v>4.5188667280148517E-2</v>
      </c>
      <c r="AQ6">
        <v>0</v>
      </c>
      <c r="AR6">
        <v>0</v>
      </c>
      <c r="AS6">
        <v>0</v>
      </c>
      <c r="AT6">
        <v>0</v>
      </c>
      <c r="AU6" s="2">
        <v>0</v>
      </c>
      <c r="AV6" s="6">
        <v>0</v>
      </c>
      <c r="AW6" s="6">
        <v>0</v>
      </c>
      <c r="AX6" s="6">
        <v>0</v>
      </c>
      <c r="AY6" s="6">
        <v>0</v>
      </c>
      <c r="AZ6" s="3">
        <v>5.3073809791672302</v>
      </c>
      <c r="BA6">
        <v>46</v>
      </c>
      <c r="BB6">
        <v>3</v>
      </c>
      <c r="BC6">
        <v>0</v>
      </c>
      <c r="BD6">
        <v>49</v>
      </c>
      <c r="BE6" s="2">
        <v>941339.58125002601</v>
      </c>
      <c r="BF6" s="6">
        <v>259440</v>
      </c>
      <c r="BG6" s="6">
        <v>252450</v>
      </c>
      <c r="BH6" s="6">
        <v>0</v>
      </c>
      <c r="BI6" s="6">
        <v>511890</v>
      </c>
      <c r="BJ6" s="3">
        <v>8.5960029462184213</v>
      </c>
      <c r="BK6" s="6">
        <v>389200</v>
      </c>
      <c r="BL6" s="6">
        <v>252450</v>
      </c>
      <c r="BM6" s="6">
        <v>0</v>
      </c>
      <c r="BN6" s="6">
        <v>641650</v>
      </c>
      <c r="BO6" s="3">
        <v>15.017780084846883</v>
      </c>
      <c r="BP6" s="7">
        <v>57773750</v>
      </c>
      <c r="BQ6" s="2">
        <v>11.005600692120732</v>
      </c>
      <c r="BR6" s="2">
        <v>47.690936332523172</v>
      </c>
    </row>
    <row r="7" spans="1:70">
      <c r="A7">
        <v>1980</v>
      </c>
      <c r="B7" s="1">
        <v>203733</v>
      </c>
      <c r="C7" s="2">
        <v>1331844.6482327881</v>
      </c>
      <c r="D7" s="3">
        <v>6.5372062858387601</v>
      </c>
      <c r="E7" s="1">
        <v>122239</v>
      </c>
      <c r="F7" s="4">
        <v>0.28244005865001415</v>
      </c>
      <c r="G7" s="4">
        <v>0.12854877458921213</v>
      </c>
      <c r="H7" s="4">
        <v>3.4017212427701386E-2</v>
      </c>
      <c r="I7" s="4">
        <v>0.10729125336378464</v>
      </c>
      <c r="J7" s="5">
        <v>1.9282316188381818</v>
      </c>
      <c r="K7">
        <v>47</v>
      </c>
      <c r="L7">
        <v>10187</v>
      </c>
      <c r="M7">
        <v>27685</v>
      </c>
      <c r="N7">
        <v>37919</v>
      </c>
      <c r="O7" s="6">
        <v>352500</v>
      </c>
      <c r="P7" s="6">
        <v>25467500</v>
      </c>
      <c r="Q7" s="6">
        <v>33222000</v>
      </c>
      <c r="R7" s="6">
        <f t="shared" si="0"/>
        <v>59042000</v>
      </c>
      <c r="S7" s="2">
        <v>0.42499999999999999</v>
      </c>
      <c r="T7" s="2">
        <v>12.162888888888888</v>
      </c>
      <c r="U7" s="2">
        <v>9.916266666666667</v>
      </c>
      <c r="V7" s="2">
        <v>22.504155555555556</v>
      </c>
      <c r="W7">
        <v>4</v>
      </c>
      <c r="X7">
        <v>0</v>
      </c>
      <c r="Y7">
        <v>0</v>
      </c>
      <c r="Z7">
        <v>4</v>
      </c>
      <c r="AA7" s="2">
        <v>177388.82844621112</v>
      </c>
      <c r="AB7" s="6">
        <v>98000</v>
      </c>
      <c r="AC7" s="6">
        <v>0</v>
      </c>
      <c r="AD7" s="6">
        <v>0</v>
      </c>
      <c r="AE7" s="6">
        <v>98000</v>
      </c>
      <c r="AF7" s="3">
        <v>1.3482893019031048</v>
      </c>
      <c r="AG7">
        <v>4</v>
      </c>
      <c r="AH7">
        <v>0</v>
      </c>
      <c r="AI7">
        <v>0</v>
      </c>
      <c r="AJ7">
        <v>4</v>
      </c>
      <c r="AK7" s="2">
        <v>154946.43999249313</v>
      </c>
      <c r="AL7" s="6">
        <v>30720</v>
      </c>
      <c r="AM7" s="6">
        <v>0</v>
      </c>
      <c r="AN7" s="6">
        <v>0</v>
      </c>
      <c r="AO7" s="6">
        <v>30720</v>
      </c>
      <c r="AP7" s="3">
        <v>5.8134434730614332E-2</v>
      </c>
      <c r="AQ7">
        <v>0</v>
      </c>
      <c r="AR7">
        <v>0</v>
      </c>
      <c r="AS7">
        <v>0</v>
      </c>
      <c r="AT7">
        <v>0</v>
      </c>
      <c r="AU7" s="2">
        <v>0</v>
      </c>
      <c r="AV7" s="6">
        <v>0</v>
      </c>
      <c r="AW7" s="6">
        <v>0</v>
      </c>
      <c r="AX7" s="6">
        <v>0</v>
      </c>
      <c r="AY7" s="6">
        <v>0</v>
      </c>
      <c r="AZ7" s="3">
        <v>6.4917010910817572</v>
      </c>
      <c r="BA7">
        <v>49</v>
      </c>
      <c r="BB7">
        <v>3</v>
      </c>
      <c r="BC7">
        <v>0</v>
      </c>
      <c r="BD7">
        <v>52</v>
      </c>
      <c r="BE7" s="2">
        <v>999509.37979408377</v>
      </c>
      <c r="BF7" s="6">
        <v>285180</v>
      </c>
      <c r="BG7" s="6">
        <v>258300</v>
      </c>
      <c r="BH7" s="6">
        <v>0</v>
      </c>
      <c r="BI7" s="6">
        <v>543480</v>
      </c>
      <c r="BJ7" s="3">
        <v>10.596688145370635</v>
      </c>
      <c r="BK7" s="6">
        <v>413900</v>
      </c>
      <c r="BL7" s="6">
        <v>258300</v>
      </c>
      <c r="BM7" s="6">
        <v>0</v>
      </c>
      <c r="BN7" s="6">
        <v>672200</v>
      </c>
      <c r="BO7" s="3">
        <v>18.494812973086113</v>
      </c>
      <c r="BP7" s="7">
        <v>59714200</v>
      </c>
      <c r="BQ7" s="2">
        <v>12.2996905585925</v>
      </c>
      <c r="BR7" s="2">
        <v>53.298659087234171</v>
      </c>
    </row>
    <row r="8" spans="1:70">
      <c r="A8">
        <v>1981</v>
      </c>
      <c r="B8" s="1">
        <v>208847</v>
      </c>
      <c r="C8" s="2">
        <v>1434046.8740075924</v>
      </c>
      <c r="D8" s="3">
        <v>6.8664949652501228</v>
      </c>
      <c r="E8" s="1">
        <v>125308</v>
      </c>
      <c r="F8" s="4">
        <v>0.28976002551260638</v>
      </c>
      <c r="G8" s="4">
        <v>0.13392386898485276</v>
      </c>
      <c r="H8" s="4">
        <v>3.5116017494428928E-2</v>
      </c>
      <c r="I8" s="4">
        <v>0.11086655985617869</v>
      </c>
      <c r="J8" s="5">
        <v>2.0088580347727913</v>
      </c>
      <c r="K8">
        <v>55</v>
      </c>
      <c r="L8">
        <v>10724</v>
      </c>
      <c r="M8">
        <v>28137</v>
      </c>
      <c r="N8">
        <v>38916</v>
      </c>
      <c r="O8" s="6">
        <v>412500</v>
      </c>
      <c r="P8" s="6">
        <v>26810000</v>
      </c>
      <c r="Q8" s="6">
        <v>33764400</v>
      </c>
      <c r="R8" s="6">
        <f t="shared" si="0"/>
        <v>60986900</v>
      </c>
      <c r="S8" s="2">
        <v>0.49833333333333335</v>
      </c>
      <c r="T8" s="2">
        <v>12.789111111111112</v>
      </c>
      <c r="U8" s="2">
        <v>10.0664</v>
      </c>
      <c r="V8" s="2">
        <v>23.353844444444444</v>
      </c>
      <c r="W8">
        <v>4</v>
      </c>
      <c r="X8">
        <v>0</v>
      </c>
      <c r="Y8">
        <v>0</v>
      </c>
      <c r="Z8">
        <v>4</v>
      </c>
      <c r="AA8" s="2">
        <v>200676.8100035013</v>
      </c>
      <c r="AB8" s="6">
        <v>98800</v>
      </c>
      <c r="AC8" s="6">
        <v>0</v>
      </c>
      <c r="AD8" s="6">
        <v>0</v>
      </c>
      <c r="AE8" s="6">
        <v>98800</v>
      </c>
      <c r="AF8" s="3">
        <v>1.6383906208911707</v>
      </c>
      <c r="AG8">
        <v>4</v>
      </c>
      <c r="AH8">
        <v>0</v>
      </c>
      <c r="AI8">
        <v>0</v>
      </c>
      <c r="AJ8">
        <v>4</v>
      </c>
      <c r="AK8" s="2">
        <v>174140.8816959534</v>
      </c>
      <c r="AL8" s="6">
        <v>31040</v>
      </c>
      <c r="AM8" s="6">
        <v>0</v>
      </c>
      <c r="AN8" s="6">
        <v>0</v>
      </c>
      <c r="AO8" s="6">
        <v>31040</v>
      </c>
      <c r="AP8" s="3">
        <v>7.184867990128975E-2</v>
      </c>
      <c r="AQ8">
        <v>0</v>
      </c>
      <c r="AR8">
        <v>0</v>
      </c>
      <c r="AS8">
        <v>0</v>
      </c>
      <c r="AT8">
        <v>0</v>
      </c>
      <c r="AU8" s="2">
        <v>0</v>
      </c>
      <c r="AV8" s="6">
        <v>0</v>
      </c>
      <c r="AW8" s="6">
        <v>0</v>
      </c>
      <c r="AX8" s="6">
        <v>0</v>
      </c>
      <c r="AY8" s="6">
        <v>0</v>
      </c>
      <c r="AZ8" s="3">
        <v>7.7114213027120257</v>
      </c>
      <c r="BA8">
        <v>51</v>
      </c>
      <c r="BB8">
        <v>3</v>
      </c>
      <c r="BC8">
        <v>0</v>
      </c>
      <c r="BD8">
        <v>54</v>
      </c>
      <c r="BE8" s="2">
        <v>1059229.1823081379</v>
      </c>
      <c r="BF8" s="6">
        <v>296820</v>
      </c>
      <c r="BG8" s="6">
        <v>254400</v>
      </c>
      <c r="BH8" s="6">
        <v>0</v>
      </c>
      <c r="BI8" s="6">
        <v>551220</v>
      </c>
      <c r="BJ8" s="3">
        <v>12.628674973352341</v>
      </c>
      <c r="BK8" s="6">
        <v>426660</v>
      </c>
      <c r="BL8" s="6">
        <v>254400</v>
      </c>
      <c r="BM8" s="6">
        <v>0</v>
      </c>
      <c r="BN8" s="6">
        <v>681060</v>
      </c>
      <c r="BO8" s="3">
        <v>22.050335576856828</v>
      </c>
      <c r="BP8" s="7">
        <v>61667960</v>
      </c>
      <c r="BQ8" s="2">
        <v>13.621254006390382</v>
      </c>
      <c r="BR8" s="2">
        <v>59.025434027691652</v>
      </c>
    </row>
    <row r="9" spans="1:70">
      <c r="A9">
        <v>1982</v>
      </c>
      <c r="B9" s="1">
        <v>214090</v>
      </c>
      <c r="C9" s="2">
        <v>1539222.8378228047</v>
      </c>
      <c r="D9" s="3">
        <v>7.1896064170339793</v>
      </c>
      <c r="E9" s="1">
        <v>128454</v>
      </c>
      <c r="F9" s="4">
        <v>0.29662360568559826</v>
      </c>
      <c r="G9" s="4">
        <v>0.13919252938035823</v>
      </c>
      <c r="H9" s="4">
        <v>3.6227409698358519E-2</v>
      </c>
      <c r="I9" s="4">
        <v>0.11436320198414993</v>
      </c>
      <c r="J9" s="5">
        <v>2.0878879407053734</v>
      </c>
      <c r="K9">
        <v>64</v>
      </c>
      <c r="L9">
        <v>11264</v>
      </c>
      <c r="M9">
        <v>28610</v>
      </c>
      <c r="N9">
        <v>39938</v>
      </c>
      <c r="O9" s="6">
        <v>480000</v>
      </c>
      <c r="P9" s="6">
        <v>28160000</v>
      </c>
      <c r="Q9" s="6">
        <v>34332000</v>
      </c>
      <c r="R9" s="6">
        <f t="shared" si="0"/>
        <v>62972000</v>
      </c>
      <c r="S9" s="2">
        <v>0.57833333333333337</v>
      </c>
      <c r="T9" s="2">
        <v>13.418222222222223</v>
      </c>
      <c r="U9" s="2">
        <v>10.224</v>
      </c>
      <c r="V9" s="2">
        <v>24.220555555555556</v>
      </c>
      <c r="W9">
        <v>5</v>
      </c>
      <c r="X9">
        <v>0</v>
      </c>
      <c r="Y9">
        <v>0</v>
      </c>
      <c r="Z9">
        <v>5</v>
      </c>
      <c r="AA9" s="2">
        <v>224374.12397886236</v>
      </c>
      <c r="AB9" s="6">
        <v>121500</v>
      </c>
      <c r="AC9" s="6">
        <v>0</v>
      </c>
      <c r="AD9" s="6">
        <v>0</v>
      </c>
      <c r="AE9" s="6">
        <v>121500</v>
      </c>
      <c r="AF9" s="3">
        <v>1.9391610915951247</v>
      </c>
      <c r="AG9">
        <v>5</v>
      </c>
      <c r="AH9">
        <v>0</v>
      </c>
      <c r="AI9">
        <v>0</v>
      </c>
      <c r="AJ9">
        <v>5</v>
      </c>
      <c r="AK9" s="2">
        <v>194026.95794437223</v>
      </c>
      <c r="AL9" s="6">
        <v>39000</v>
      </c>
      <c r="AM9" s="6">
        <v>0</v>
      </c>
      <c r="AN9" s="6">
        <v>0</v>
      </c>
      <c r="AO9" s="6">
        <v>39000</v>
      </c>
      <c r="AP9" s="3">
        <v>8.6321299002477078E-2</v>
      </c>
      <c r="AQ9">
        <v>0</v>
      </c>
      <c r="AR9">
        <v>0</v>
      </c>
      <c r="AS9">
        <v>0</v>
      </c>
      <c r="AT9">
        <v>0</v>
      </c>
      <c r="AU9" s="2">
        <v>0</v>
      </c>
      <c r="AV9" s="6">
        <v>0</v>
      </c>
      <c r="AW9" s="6">
        <v>0</v>
      </c>
      <c r="AX9" s="6">
        <v>0</v>
      </c>
      <c r="AY9" s="6">
        <v>0</v>
      </c>
      <c r="AZ9" s="3">
        <v>8.9651665420454894</v>
      </c>
      <c r="BA9">
        <v>54</v>
      </c>
      <c r="BB9">
        <v>3</v>
      </c>
      <c r="BC9">
        <v>0</v>
      </c>
      <c r="BD9">
        <v>57</v>
      </c>
      <c r="BE9" s="2">
        <v>1120821.7558995702</v>
      </c>
      <c r="BF9" s="6">
        <v>311850</v>
      </c>
      <c r="BG9" s="6">
        <v>260250</v>
      </c>
      <c r="BH9" s="6">
        <v>0</v>
      </c>
      <c r="BI9" s="6">
        <v>572100</v>
      </c>
      <c r="BJ9" s="3">
        <v>14.69142337566231</v>
      </c>
      <c r="BK9" s="6">
        <v>472350</v>
      </c>
      <c r="BL9" s="6">
        <v>260250</v>
      </c>
      <c r="BM9" s="6">
        <v>0</v>
      </c>
      <c r="BN9" s="6">
        <v>732600</v>
      </c>
      <c r="BO9" s="3">
        <v>25.682072308305401</v>
      </c>
      <c r="BP9" s="7">
        <v>63704600</v>
      </c>
      <c r="BQ9" s="2">
        <v>14.970788359158286</v>
      </c>
      <c r="BR9" s="2">
        <v>64.873416223019248</v>
      </c>
    </row>
    <row r="10" spans="1:70">
      <c r="A10">
        <v>1983</v>
      </c>
      <c r="B10" s="1">
        <v>219466</v>
      </c>
      <c r="C10" s="2">
        <v>1648026.3090112261</v>
      </c>
      <c r="D10" s="3">
        <v>7.5092556888594411</v>
      </c>
      <c r="E10" s="1">
        <v>131679</v>
      </c>
      <c r="F10" s="4">
        <v>0.30312832415910501</v>
      </c>
      <c r="G10" s="4">
        <v>0.14435686331013659</v>
      </c>
      <c r="H10" s="4">
        <v>3.7360160604184706E-2</v>
      </c>
      <c r="I10" s="4">
        <v>0.11780332898654979</v>
      </c>
      <c r="J10" s="5">
        <v>2.1653529496520489</v>
      </c>
      <c r="K10">
        <v>74</v>
      </c>
      <c r="L10">
        <v>11811</v>
      </c>
      <c r="M10">
        <v>29102</v>
      </c>
      <c r="N10">
        <v>40987</v>
      </c>
      <c r="O10" s="6">
        <v>555000</v>
      </c>
      <c r="P10" s="6">
        <v>29527500</v>
      </c>
      <c r="Q10" s="6">
        <v>34922400</v>
      </c>
      <c r="R10" s="6">
        <f t="shared" si="0"/>
        <v>65004900</v>
      </c>
      <c r="S10" s="2">
        <v>0.66500000000000004</v>
      </c>
      <c r="T10" s="2">
        <v>14.054</v>
      </c>
      <c r="U10" s="2">
        <v>10.388199999999999</v>
      </c>
      <c r="V10" s="2">
        <v>25.107199999999999</v>
      </c>
      <c r="W10">
        <v>5</v>
      </c>
      <c r="X10">
        <v>0</v>
      </c>
      <c r="Y10">
        <v>0</v>
      </c>
      <c r="Z10">
        <v>5</v>
      </c>
      <c r="AA10" s="2">
        <v>248675.35205553571</v>
      </c>
      <c r="AB10" s="6">
        <v>123000</v>
      </c>
      <c r="AC10" s="6">
        <v>0</v>
      </c>
      <c r="AD10" s="6">
        <v>0</v>
      </c>
      <c r="AE10" s="6">
        <v>123000</v>
      </c>
      <c r="AF10" s="3">
        <v>2.2503702791874214</v>
      </c>
      <c r="AG10">
        <v>5</v>
      </c>
      <c r="AH10">
        <v>0</v>
      </c>
      <c r="AI10">
        <v>0</v>
      </c>
      <c r="AJ10">
        <v>5</v>
      </c>
      <c r="AK10" s="2">
        <v>214784.46673910556</v>
      </c>
      <c r="AL10" s="6">
        <v>38400</v>
      </c>
      <c r="AM10" s="6">
        <v>0</v>
      </c>
      <c r="AN10" s="6">
        <v>0</v>
      </c>
      <c r="AO10" s="6">
        <v>38400</v>
      </c>
      <c r="AP10" s="3">
        <v>0.10154661224440292</v>
      </c>
      <c r="AQ10">
        <v>0</v>
      </c>
      <c r="AR10">
        <v>0</v>
      </c>
      <c r="AS10">
        <v>0</v>
      </c>
      <c r="AT10">
        <v>0</v>
      </c>
      <c r="AU10" s="2">
        <v>0</v>
      </c>
      <c r="AV10" s="6">
        <v>0</v>
      </c>
      <c r="AW10" s="6">
        <v>0</v>
      </c>
      <c r="AX10" s="6">
        <v>0</v>
      </c>
      <c r="AY10" s="6">
        <v>0</v>
      </c>
      <c r="AZ10" s="3">
        <v>10.252135342531869</v>
      </c>
      <c r="BA10">
        <v>57</v>
      </c>
      <c r="BB10">
        <v>3</v>
      </c>
      <c r="BC10">
        <v>0</v>
      </c>
      <c r="BD10">
        <v>60</v>
      </c>
      <c r="BE10" s="2">
        <v>1184566.4902165849</v>
      </c>
      <c r="BF10" s="6">
        <v>316350</v>
      </c>
      <c r="BG10" s="6">
        <v>260250</v>
      </c>
      <c r="BH10" s="6">
        <v>0</v>
      </c>
      <c r="BI10" s="6">
        <v>576600</v>
      </c>
      <c r="BJ10" s="3">
        <v>16.785271480496114</v>
      </c>
      <c r="BK10" s="6">
        <v>477750</v>
      </c>
      <c r="BL10" s="6">
        <v>260250</v>
      </c>
      <c r="BM10" s="6">
        <v>0</v>
      </c>
      <c r="BN10" s="6">
        <v>738000</v>
      </c>
      <c r="BO10" s="3">
        <v>29.389323714459806</v>
      </c>
      <c r="BP10" s="7">
        <v>65742900</v>
      </c>
      <c r="BQ10" s="2">
        <v>16.348957114337942</v>
      </c>
      <c r="BR10" s="2">
        <v>70.845480828797747</v>
      </c>
    </row>
    <row r="11" spans="1:70">
      <c r="A11">
        <v>1984</v>
      </c>
      <c r="B11" s="1">
        <v>224979</v>
      </c>
      <c r="C11" s="2">
        <v>1761026.3662961416</v>
      </c>
      <c r="D11" s="3">
        <v>7.827514418217441</v>
      </c>
      <c r="E11" s="1">
        <v>134987</v>
      </c>
      <c r="F11" s="4">
        <v>0.30934451110341521</v>
      </c>
      <c r="G11" s="4">
        <v>0.14941893657661839</v>
      </c>
      <c r="H11" s="4">
        <v>3.8521763661291127E-2</v>
      </c>
      <c r="I11" s="4">
        <v>0.12120431255805666</v>
      </c>
      <c r="J11" s="5">
        <v>2.241284048649276</v>
      </c>
      <c r="K11">
        <v>85</v>
      </c>
      <c r="L11">
        <v>12368</v>
      </c>
      <c r="M11">
        <v>29612</v>
      </c>
      <c r="N11">
        <v>42065</v>
      </c>
      <c r="O11" s="6">
        <v>637500</v>
      </c>
      <c r="P11" s="6">
        <v>30920000</v>
      </c>
      <c r="Q11" s="6">
        <v>35534400</v>
      </c>
      <c r="R11" s="6">
        <f t="shared" si="0"/>
        <v>67091900</v>
      </c>
      <c r="S11" s="2">
        <v>0.76</v>
      </c>
      <c r="T11" s="2">
        <v>14.699333333333334</v>
      </c>
      <c r="U11" s="2">
        <v>10.558266666666666</v>
      </c>
      <c r="V11" s="2">
        <v>26.017600000000002</v>
      </c>
      <c r="W11">
        <v>6</v>
      </c>
      <c r="X11">
        <v>0</v>
      </c>
      <c r="Y11">
        <v>0</v>
      </c>
      <c r="Z11">
        <v>6</v>
      </c>
      <c r="AA11" s="2">
        <v>273737.4547501629</v>
      </c>
      <c r="AB11" s="6">
        <v>147000</v>
      </c>
      <c r="AC11" s="6">
        <v>0</v>
      </c>
      <c r="AD11" s="6">
        <v>0</v>
      </c>
      <c r="AE11" s="6">
        <v>147000</v>
      </c>
      <c r="AF11" s="3">
        <v>2.571914205736221</v>
      </c>
      <c r="AG11">
        <v>6</v>
      </c>
      <c r="AH11">
        <v>0</v>
      </c>
      <c r="AI11">
        <v>0</v>
      </c>
      <c r="AJ11">
        <v>6</v>
      </c>
      <c r="AK11" s="2">
        <v>236562.74199528139</v>
      </c>
      <c r="AL11" s="6">
        <v>47280</v>
      </c>
      <c r="AM11" s="6">
        <v>0</v>
      </c>
      <c r="AN11" s="6">
        <v>0</v>
      </c>
      <c r="AO11" s="6">
        <v>47280</v>
      </c>
      <c r="AP11" s="3">
        <v>0.11752380318123937</v>
      </c>
      <c r="AQ11">
        <v>0</v>
      </c>
      <c r="AR11">
        <v>0</v>
      </c>
      <c r="AS11">
        <v>0</v>
      </c>
      <c r="AT11">
        <v>0</v>
      </c>
      <c r="AU11" s="2">
        <v>0</v>
      </c>
      <c r="AV11" s="6">
        <v>0</v>
      </c>
      <c r="AW11" s="6">
        <v>0</v>
      </c>
      <c r="AX11" s="6">
        <v>0</v>
      </c>
      <c r="AY11" s="6">
        <v>0</v>
      </c>
      <c r="AZ11" s="3">
        <v>11.57211831184828</v>
      </c>
      <c r="BA11">
        <v>60</v>
      </c>
      <c r="BB11">
        <v>4</v>
      </c>
      <c r="BC11">
        <v>0</v>
      </c>
      <c r="BD11">
        <v>64</v>
      </c>
      <c r="BE11" s="2">
        <v>1250726.1695506973</v>
      </c>
      <c r="BF11" s="6">
        <v>346500</v>
      </c>
      <c r="BG11" s="6">
        <v>341800</v>
      </c>
      <c r="BH11" s="6">
        <v>0</v>
      </c>
      <c r="BI11" s="6">
        <v>688300</v>
      </c>
      <c r="BJ11" s="3">
        <v>18.911462193280212</v>
      </c>
      <c r="BK11" s="6">
        <v>540780</v>
      </c>
      <c r="BL11" s="6">
        <v>341800</v>
      </c>
      <c r="BM11" s="6">
        <v>0</v>
      </c>
      <c r="BN11" s="6">
        <v>882580</v>
      </c>
      <c r="BO11" s="3">
        <v>33.17301851404595</v>
      </c>
      <c r="BP11" s="7">
        <v>67974480</v>
      </c>
      <c r="BQ11" s="2">
        <v>17.757185554213784</v>
      </c>
      <c r="BR11" s="2">
        <v>76.947804068259728</v>
      </c>
    </row>
    <row r="12" spans="1:70">
      <c r="A12">
        <v>1985</v>
      </c>
      <c r="B12" s="1">
        <v>230632</v>
      </c>
      <c r="C12" s="2">
        <v>1878701.1181349137</v>
      </c>
      <c r="D12" s="3">
        <v>8.1458822632371639</v>
      </c>
      <c r="E12" s="1">
        <v>138379</v>
      </c>
      <c r="F12" s="4">
        <v>0.31532197950978913</v>
      </c>
      <c r="G12" s="4">
        <v>0.15438077407660547</v>
      </c>
      <c r="H12" s="4">
        <v>3.9718409333574255E-2</v>
      </c>
      <c r="I12" s="4">
        <v>0.12457945747472761</v>
      </c>
      <c r="J12" s="5">
        <v>2.3157116111490819</v>
      </c>
      <c r="K12">
        <v>97</v>
      </c>
      <c r="L12">
        <v>12935</v>
      </c>
      <c r="M12">
        <v>30138</v>
      </c>
      <c r="N12">
        <v>43170</v>
      </c>
      <c r="O12" s="6">
        <v>727500</v>
      </c>
      <c r="P12" s="6">
        <v>32337500</v>
      </c>
      <c r="Q12" s="6">
        <v>36165600</v>
      </c>
      <c r="R12" s="6">
        <f t="shared" si="0"/>
        <v>69230600</v>
      </c>
      <c r="S12" s="2">
        <v>0.86499999999999999</v>
      </c>
      <c r="T12" s="2">
        <v>15.356444444444444</v>
      </c>
      <c r="U12" s="2">
        <v>10.733866666666666</v>
      </c>
      <c r="V12" s="2">
        <v>26.955311111111108</v>
      </c>
      <c r="W12">
        <v>6</v>
      </c>
      <c r="X12">
        <v>0</v>
      </c>
      <c r="Y12">
        <v>0</v>
      </c>
      <c r="Z12">
        <v>6</v>
      </c>
      <c r="AA12" s="2">
        <v>299691.34110723186</v>
      </c>
      <c r="AB12" s="6">
        <v>148800</v>
      </c>
      <c r="AC12" s="6">
        <v>0</v>
      </c>
      <c r="AD12" s="6">
        <v>0</v>
      </c>
      <c r="AE12" s="6">
        <v>148800</v>
      </c>
      <c r="AF12" s="3">
        <v>2.903796468472537</v>
      </c>
      <c r="AG12">
        <v>6</v>
      </c>
      <c r="AH12">
        <v>0</v>
      </c>
      <c r="AI12">
        <v>0</v>
      </c>
      <c r="AJ12">
        <v>6</v>
      </c>
      <c r="AK12" s="2">
        <v>259490.26071393897</v>
      </c>
      <c r="AL12" s="6">
        <v>46080</v>
      </c>
      <c r="AM12" s="6">
        <v>0</v>
      </c>
      <c r="AN12" s="6">
        <v>0</v>
      </c>
      <c r="AO12" s="6">
        <v>46080</v>
      </c>
      <c r="AP12" s="3">
        <v>0.13425630221415591</v>
      </c>
      <c r="AQ12">
        <v>0</v>
      </c>
      <c r="AR12">
        <v>0</v>
      </c>
      <c r="AS12">
        <v>0</v>
      </c>
      <c r="AT12">
        <v>0</v>
      </c>
      <c r="AU12" s="2">
        <v>0</v>
      </c>
      <c r="AV12" s="6">
        <v>0</v>
      </c>
      <c r="AW12" s="6">
        <v>0</v>
      </c>
      <c r="AX12" s="6">
        <v>0</v>
      </c>
      <c r="AY12" s="6">
        <v>0</v>
      </c>
      <c r="AZ12" s="3">
        <v>12.925397823840212</v>
      </c>
      <c r="BA12">
        <v>64</v>
      </c>
      <c r="BB12">
        <v>4</v>
      </c>
      <c r="BC12">
        <v>0</v>
      </c>
      <c r="BD12">
        <v>68</v>
      </c>
      <c r="BE12" s="2">
        <v>1319519.5163137428</v>
      </c>
      <c r="BF12" s="6">
        <v>369600</v>
      </c>
      <c r="BG12" s="6">
        <v>334000</v>
      </c>
      <c r="BH12" s="6">
        <v>0</v>
      </c>
      <c r="BI12" s="6">
        <v>703600</v>
      </c>
      <c r="BJ12" s="3">
        <v>21.071958599622935</v>
      </c>
      <c r="BK12" s="6">
        <v>564480</v>
      </c>
      <c r="BL12" s="6">
        <v>334000</v>
      </c>
      <c r="BM12" s="6">
        <v>0</v>
      </c>
      <c r="BN12" s="6">
        <v>898480</v>
      </c>
      <c r="BO12" s="3">
        <v>37.035409194149842</v>
      </c>
      <c r="BP12" s="7">
        <v>70129080</v>
      </c>
      <c r="BQ12" s="2">
        <v>19.197216091578284</v>
      </c>
      <c r="BR12" s="2">
        <v>83.187936396839234</v>
      </c>
    </row>
    <row r="13" spans="1:70">
      <c r="A13">
        <v>1986</v>
      </c>
      <c r="B13" s="1">
        <v>236429</v>
      </c>
      <c r="C13" s="2">
        <v>2001505.1055334301</v>
      </c>
      <c r="D13" s="3">
        <v>8.4655651613525844</v>
      </c>
      <c r="E13" s="1">
        <v>141857</v>
      </c>
      <c r="F13" s="4">
        <v>0.32109885188341453</v>
      </c>
      <c r="G13" s="4">
        <v>0.15924436061125646</v>
      </c>
      <c r="H13" s="4">
        <v>4.0955809553380872E-2</v>
      </c>
      <c r="I13" s="4">
        <v>0.12793993026303097</v>
      </c>
      <c r="J13" s="5">
        <v>2.3886654091688468</v>
      </c>
      <c r="K13">
        <v>110</v>
      </c>
      <c r="L13">
        <v>13515</v>
      </c>
      <c r="M13">
        <v>30680</v>
      </c>
      <c r="N13">
        <v>44305</v>
      </c>
      <c r="O13" s="6">
        <v>825000</v>
      </c>
      <c r="P13" s="6">
        <v>33787500</v>
      </c>
      <c r="Q13" s="6">
        <v>36816000</v>
      </c>
      <c r="R13" s="6">
        <f t="shared" si="0"/>
        <v>71428500</v>
      </c>
      <c r="S13" s="2">
        <v>0.97833333333333339</v>
      </c>
      <c r="T13" s="2">
        <v>16.027111111111111</v>
      </c>
      <c r="U13" s="2">
        <v>10.9146</v>
      </c>
      <c r="V13" s="2">
        <v>27.920044444444443</v>
      </c>
      <c r="W13">
        <v>7</v>
      </c>
      <c r="X13">
        <v>0</v>
      </c>
      <c r="Y13">
        <v>0</v>
      </c>
      <c r="Z13">
        <v>7</v>
      </c>
      <c r="AA13" s="2">
        <v>326655.79904844961</v>
      </c>
      <c r="AB13" s="6">
        <v>170800</v>
      </c>
      <c r="AC13" s="6">
        <v>0</v>
      </c>
      <c r="AD13" s="6">
        <v>0</v>
      </c>
      <c r="AE13" s="6">
        <v>170800</v>
      </c>
      <c r="AF13" s="3">
        <v>3.2461259171141101</v>
      </c>
      <c r="AG13">
        <v>7</v>
      </c>
      <c r="AH13">
        <v>0</v>
      </c>
      <c r="AI13">
        <v>0</v>
      </c>
      <c r="AJ13">
        <v>7</v>
      </c>
      <c r="AK13" s="2">
        <v>283687.63333744736</v>
      </c>
      <c r="AL13" s="6">
        <v>53760</v>
      </c>
      <c r="AM13" s="6">
        <v>0</v>
      </c>
      <c r="AN13" s="6">
        <v>0</v>
      </c>
      <c r="AO13" s="6">
        <v>53760</v>
      </c>
      <c r="AP13" s="3">
        <v>0.15175183134564477</v>
      </c>
      <c r="AQ13">
        <v>0</v>
      </c>
      <c r="AR13">
        <v>0</v>
      </c>
      <c r="AS13">
        <v>0</v>
      </c>
      <c r="AT13">
        <v>0</v>
      </c>
      <c r="AU13" s="2">
        <v>0</v>
      </c>
      <c r="AV13" s="6">
        <v>0</v>
      </c>
      <c r="AW13" s="6">
        <v>0</v>
      </c>
      <c r="AX13" s="6">
        <v>0</v>
      </c>
      <c r="AY13" s="6">
        <v>0</v>
      </c>
      <c r="AZ13" s="3">
        <v>14.31272804519827</v>
      </c>
      <c r="BA13">
        <v>67</v>
      </c>
      <c r="BB13">
        <v>4</v>
      </c>
      <c r="BC13">
        <v>0</v>
      </c>
      <c r="BD13">
        <v>71</v>
      </c>
      <c r="BE13" s="2">
        <v>1391161.6731475331</v>
      </c>
      <c r="BF13" s="6">
        <v>386925</v>
      </c>
      <c r="BG13" s="6">
        <v>336600</v>
      </c>
      <c r="BH13" s="6">
        <v>0</v>
      </c>
      <c r="BI13" s="6">
        <v>723525</v>
      </c>
      <c r="BJ13" s="3">
        <v>23.269406379243353</v>
      </c>
      <c r="BK13" s="6">
        <v>611485</v>
      </c>
      <c r="BL13" s="6">
        <v>336600</v>
      </c>
      <c r="BM13" s="6">
        <v>0</v>
      </c>
      <c r="BN13" s="6">
        <v>948085</v>
      </c>
      <c r="BO13" s="3">
        <v>40.980012172901382</v>
      </c>
      <c r="BP13" s="7">
        <v>72376585</v>
      </c>
      <c r="BQ13" s="2">
        <v>20.670016985203748</v>
      </c>
      <c r="BR13" s="2">
        <v>89.57007360254957</v>
      </c>
    </row>
    <row r="14" spans="1:70">
      <c r="A14">
        <v>1987</v>
      </c>
      <c r="B14" s="1">
        <v>242373</v>
      </c>
      <c r="C14" s="2">
        <v>2129873.529277523</v>
      </c>
      <c r="D14" s="3">
        <v>8.7875857842149205</v>
      </c>
      <c r="E14" s="1">
        <v>145423</v>
      </c>
      <c r="F14" s="4">
        <v>0.32670547315858867</v>
      </c>
      <c r="G14" s="4">
        <v>0.16401164168003396</v>
      </c>
      <c r="H14" s="4">
        <v>4.2239521155324311E-2</v>
      </c>
      <c r="I14" s="4">
        <v>0.13129555520283906</v>
      </c>
      <c r="J14" s="5">
        <v>2.4601746252005094</v>
      </c>
      <c r="K14">
        <v>123</v>
      </c>
      <c r="L14">
        <v>14109</v>
      </c>
      <c r="M14">
        <v>31237</v>
      </c>
      <c r="N14">
        <v>45469</v>
      </c>
      <c r="O14" s="6">
        <v>922500</v>
      </c>
      <c r="P14" s="6">
        <v>35272500</v>
      </c>
      <c r="Q14" s="6">
        <v>37484400</v>
      </c>
      <c r="R14" s="6">
        <f t="shared" si="0"/>
        <v>73679400</v>
      </c>
      <c r="S14" s="2">
        <v>1.1000000000000001</v>
      </c>
      <c r="T14" s="2">
        <v>16.712888888888887</v>
      </c>
      <c r="U14" s="2">
        <v>11.100199999999999</v>
      </c>
      <c r="V14" s="2">
        <v>28.913088888888886</v>
      </c>
      <c r="W14">
        <v>8</v>
      </c>
      <c r="X14">
        <v>0</v>
      </c>
      <c r="Y14">
        <v>0</v>
      </c>
      <c r="Z14">
        <v>8</v>
      </c>
      <c r="AA14" s="2">
        <v>354741.47227531252</v>
      </c>
      <c r="AB14" s="6">
        <v>196800</v>
      </c>
      <c r="AC14" s="6">
        <v>0</v>
      </c>
      <c r="AD14" s="6">
        <v>0</v>
      </c>
      <c r="AE14" s="6">
        <v>196800</v>
      </c>
      <c r="AF14" s="3">
        <v>3.5990889566684454</v>
      </c>
      <c r="AG14">
        <v>8</v>
      </c>
      <c r="AH14">
        <v>0</v>
      </c>
      <c r="AI14">
        <v>0</v>
      </c>
      <c r="AJ14">
        <v>8</v>
      </c>
      <c r="AK14" s="2">
        <v>309271.12512214034</v>
      </c>
      <c r="AL14" s="6">
        <v>62080</v>
      </c>
      <c r="AM14" s="6">
        <v>0</v>
      </c>
      <c r="AN14" s="6">
        <v>0</v>
      </c>
      <c r="AO14" s="6">
        <v>62080</v>
      </c>
      <c r="AP14" s="3">
        <v>0.1700213845128247</v>
      </c>
      <c r="AQ14">
        <v>0</v>
      </c>
      <c r="AR14">
        <v>0</v>
      </c>
      <c r="AS14">
        <v>0</v>
      </c>
      <c r="AT14">
        <v>0</v>
      </c>
      <c r="AU14" s="2">
        <v>0</v>
      </c>
      <c r="AV14" s="6">
        <v>0</v>
      </c>
      <c r="AW14" s="6">
        <v>0</v>
      </c>
      <c r="AX14" s="6">
        <v>0</v>
      </c>
      <c r="AY14" s="6">
        <v>0</v>
      </c>
      <c r="AZ14" s="3">
        <v>15.7351969636817</v>
      </c>
      <c r="BA14">
        <v>70</v>
      </c>
      <c r="BB14">
        <v>4</v>
      </c>
      <c r="BC14">
        <v>0</v>
      </c>
      <c r="BD14">
        <v>74</v>
      </c>
      <c r="BE14" s="2">
        <v>1465860.9318800701</v>
      </c>
      <c r="BF14" s="6">
        <v>401100</v>
      </c>
      <c r="BG14" s="6">
        <v>334000</v>
      </c>
      <c r="BH14" s="6">
        <v>0</v>
      </c>
      <c r="BI14" s="6">
        <v>735100</v>
      </c>
      <c r="BJ14" s="3">
        <v>25.50688736282887</v>
      </c>
      <c r="BK14" s="6">
        <v>659980</v>
      </c>
      <c r="BL14" s="6">
        <v>334000</v>
      </c>
      <c r="BM14" s="6">
        <v>0</v>
      </c>
      <c r="BN14" s="6">
        <v>993980</v>
      </c>
      <c r="BO14" s="3">
        <v>45.011194667691839</v>
      </c>
      <c r="BP14" s="7">
        <v>74673380</v>
      </c>
      <c r="BQ14" s="2">
        <v>22.177285066974214</v>
      </c>
      <c r="BR14" s="2">
        <v>96.101568623554925</v>
      </c>
    </row>
    <row r="15" spans="1:70">
      <c r="A15">
        <v>1988</v>
      </c>
      <c r="B15" s="1">
        <v>248468</v>
      </c>
      <c r="C15" s="2">
        <v>2264244.4077650895</v>
      </c>
      <c r="D15" s="3">
        <v>9.1128209981369412</v>
      </c>
      <c r="E15" s="1">
        <v>149080</v>
      </c>
      <c r="F15" s="4">
        <v>0.3321662963469445</v>
      </c>
      <c r="G15" s="4">
        <v>0.16868452425893013</v>
      </c>
      <c r="H15" s="4">
        <v>4.3575036814313656E-2</v>
      </c>
      <c r="I15" s="4">
        <v>0.13465511521157369</v>
      </c>
      <c r="J15" s="5">
        <v>2.5302678638839518</v>
      </c>
      <c r="K15">
        <v>139</v>
      </c>
      <c r="L15">
        <v>14719</v>
      </c>
      <c r="M15">
        <v>31808</v>
      </c>
      <c r="N15">
        <v>46666</v>
      </c>
      <c r="O15" s="6">
        <v>1042500</v>
      </c>
      <c r="P15" s="6">
        <v>36797500</v>
      </c>
      <c r="Q15" s="6">
        <v>38169600</v>
      </c>
      <c r="R15" s="6">
        <f t="shared" si="0"/>
        <v>76009600</v>
      </c>
      <c r="S15" s="2">
        <v>1.2333333333333334</v>
      </c>
      <c r="T15" s="2">
        <v>17.415111111111113</v>
      </c>
      <c r="U15" s="2">
        <v>11.2906</v>
      </c>
      <c r="V15" s="2">
        <v>29.939044444444448</v>
      </c>
      <c r="W15">
        <v>8</v>
      </c>
      <c r="X15">
        <v>0</v>
      </c>
      <c r="Y15">
        <v>0</v>
      </c>
      <c r="Z15">
        <v>8</v>
      </c>
      <c r="AA15" s="2">
        <v>384055.6284070324</v>
      </c>
      <c r="AB15" s="6">
        <v>197600</v>
      </c>
      <c r="AC15" s="6">
        <v>0</v>
      </c>
      <c r="AD15" s="6">
        <v>0</v>
      </c>
      <c r="AE15" s="6">
        <v>197600</v>
      </c>
      <c r="AF15" s="3">
        <v>3.9629324207261227</v>
      </c>
      <c r="AG15">
        <v>8</v>
      </c>
      <c r="AH15">
        <v>0</v>
      </c>
      <c r="AI15">
        <v>0</v>
      </c>
      <c r="AJ15">
        <v>8</v>
      </c>
      <c r="AK15" s="2">
        <v>336357.24324452278</v>
      </c>
      <c r="AL15" s="6">
        <v>62400</v>
      </c>
      <c r="AM15" s="6">
        <v>0</v>
      </c>
      <c r="AN15" s="6">
        <v>0</v>
      </c>
      <c r="AO15" s="6">
        <v>62400</v>
      </c>
      <c r="AP15" s="3">
        <v>0.18907860970484763</v>
      </c>
      <c r="AQ15">
        <v>0</v>
      </c>
      <c r="AR15">
        <v>0</v>
      </c>
      <c r="AS15">
        <v>0</v>
      </c>
      <c r="AT15">
        <v>0</v>
      </c>
      <c r="AU15" s="2">
        <v>0</v>
      </c>
      <c r="AV15" s="6">
        <v>0</v>
      </c>
      <c r="AW15" s="6">
        <v>0</v>
      </c>
      <c r="AX15" s="6">
        <v>0</v>
      </c>
      <c r="AY15" s="6">
        <v>0</v>
      </c>
      <c r="AZ15" s="3">
        <v>17.194141213420526</v>
      </c>
      <c r="BA15">
        <v>74</v>
      </c>
      <c r="BB15">
        <v>4</v>
      </c>
      <c r="BC15">
        <v>0</v>
      </c>
      <c r="BD15">
        <v>78</v>
      </c>
      <c r="BE15" s="2">
        <v>1543831.5361135346</v>
      </c>
      <c r="BF15" s="6">
        <v>434010</v>
      </c>
      <c r="BG15" s="6">
        <v>336600</v>
      </c>
      <c r="BH15" s="6">
        <v>0</v>
      </c>
      <c r="BI15" s="6">
        <v>770610</v>
      </c>
      <c r="BJ15" s="3">
        <v>27.787771972027521</v>
      </c>
      <c r="BK15" s="6">
        <v>694010</v>
      </c>
      <c r="BL15" s="6">
        <v>336600</v>
      </c>
      <c r="BM15" s="6">
        <v>0</v>
      </c>
      <c r="BN15" s="6">
        <v>1030610</v>
      </c>
      <c r="BO15" s="3">
        <v>49.13392421587902</v>
      </c>
      <c r="BP15" s="7">
        <v>77040210</v>
      </c>
      <c r="BQ15" s="2">
        <v>23.72189059809704</v>
      </c>
      <c r="BR15" s="2">
        <v>102.7948592584205</v>
      </c>
    </row>
    <row r="16" spans="1:70">
      <c r="A16">
        <v>1989</v>
      </c>
      <c r="B16" s="1">
        <v>254719</v>
      </c>
      <c r="C16" s="2">
        <v>2405054.7549490961</v>
      </c>
      <c r="D16" s="3">
        <v>9.441991979197061</v>
      </c>
      <c r="E16" s="1">
        <v>152831</v>
      </c>
      <c r="F16" s="4">
        <v>0.33750059328286275</v>
      </c>
      <c r="G16" s="4">
        <v>0.17326487756328238</v>
      </c>
      <c r="H16" s="4">
        <v>4.4967695943842451E-2</v>
      </c>
      <c r="I16" s="4">
        <v>0.13802631839833451</v>
      </c>
      <c r="J16" s="5">
        <v>2.5989731634492355</v>
      </c>
      <c r="K16">
        <v>155</v>
      </c>
      <c r="L16">
        <v>15345</v>
      </c>
      <c r="M16">
        <v>32395</v>
      </c>
      <c r="N16">
        <v>47895</v>
      </c>
      <c r="O16" s="6">
        <v>1162500</v>
      </c>
      <c r="P16" s="6">
        <v>38362500</v>
      </c>
      <c r="Q16" s="6">
        <v>38874000</v>
      </c>
      <c r="R16" s="6">
        <f t="shared" si="0"/>
        <v>78399000</v>
      </c>
      <c r="S16" s="2">
        <v>1.3766666666666667</v>
      </c>
      <c r="T16" s="2">
        <v>18.135111111111112</v>
      </c>
      <c r="U16" s="2">
        <v>11.485533333333333</v>
      </c>
      <c r="V16" s="2">
        <v>30.997311111111109</v>
      </c>
      <c r="W16">
        <v>9</v>
      </c>
      <c r="X16">
        <v>0</v>
      </c>
      <c r="Y16">
        <v>0</v>
      </c>
      <c r="Z16">
        <v>9</v>
      </c>
      <c r="AA16" s="2">
        <v>414703.29366505169</v>
      </c>
      <c r="AB16" s="6">
        <v>217800</v>
      </c>
      <c r="AC16" s="6">
        <v>0</v>
      </c>
      <c r="AD16" s="6">
        <v>0</v>
      </c>
      <c r="AE16" s="6">
        <v>217800</v>
      </c>
      <c r="AF16" s="3">
        <v>4.3379500227260266</v>
      </c>
      <c r="AG16">
        <v>9</v>
      </c>
      <c r="AH16">
        <v>0</v>
      </c>
      <c r="AI16">
        <v>0</v>
      </c>
      <c r="AJ16">
        <v>9</v>
      </c>
      <c r="AK16" s="2">
        <v>365063.55472992186</v>
      </c>
      <c r="AL16" s="6">
        <v>68760</v>
      </c>
      <c r="AM16" s="6">
        <v>0</v>
      </c>
      <c r="AN16" s="6">
        <v>0</v>
      </c>
      <c r="AO16" s="6">
        <v>68760</v>
      </c>
      <c r="AP16" s="3">
        <v>0.20893931588218012</v>
      </c>
      <c r="AQ16">
        <v>0</v>
      </c>
      <c r="AR16">
        <v>0</v>
      </c>
      <c r="AS16">
        <v>0</v>
      </c>
      <c r="AT16">
        <v>0</v>
      </c>
      <c r="AU16" s="2">
        <v>0</v>
      </c>
      <c r="AV16" s="6">
        <v>0</v>
      </c>
      <c r="AW16" s="6">
        <v>0</v>
      </c>
      <c r="AX16" s="6">
        <v>0</v>
      </c>
      <c r="AY16" s="6">
        <v>0</v>
      </c>
      <c r="AZ16" s="3">
        <v>18.691079669050655</v>
      </c>
      <c r="BA16">
        <v>78</v>
      </c>
      <c r="BB16">
        <v>5</v>
      </c>
      <c r="BC16">
        <v>0</v>
      </c>
      <c r="BD16">
        <v>83</v>
      </c>
      <c r="BE16" s="2">
        <v>1625287.9065541227</v>
      </c>
      <c r="BF16" s="6">
        <v>436410</v>
      </c>
      <c r="BG16" s="6">
        <v>424000</v>
      </c>
      <c r="BH16" s="6">
        <v>0</v>
      </c>
      <c r="BI16" s="6">
        <v>860410</v>
      </c>
      <c r="BJ16" s="3">
        <v>30.115607668520354</v>
      </c>
      <c r="BK16" s="6">
        <v>722970</v>
      </c>
      <c r="BL16" s="6">
        <v>424000</v>
      </c>
      <c r="BM16" s="6">
        <v>0</v>
      </c>
      <c r="BN16" s="6">
        <v>1146970</v>
      </c>
      <c r="BO16" s="3">
        <v>53.353576676179216</v>
      </c>
      <c r="BP16" s="7">
        <v>79545970</v>
      </c>
      <c r="BQ16" s="2">
        <v>25.305266336187099</v>
      </c>
      <c r="BR16" s="2">
        <v>109.65615412347744</v>
      </c>
    </row>
    <row r="17" spans="1:70">
      <c r="A17">
        <v>1990</v>
      </c>
      <c r="B17" s="1">
        <v>261129</v>
      </c>
      <c r="C17" s="2">
        <v>2552718.3168716608</v>
      </c>
      <c r="D17" s="3">
        <v>9.7756982827325221</v>
      </c>
      <c r="E17" s="1">
        <v>156677</v>
      </c>
      <c r="F17" s="4">
        <v>0.34272372058818823</v>
      </c>
      <c r="G17" s="4">
        <v>0.17775453379548461</v>
      </c>
      <c r="H17" s="4">
        <v>4.6422777735431811E-2</v>
      </c>
      <c r="I17" s="4">
        <v>0.14141603548371817</v>
      </c>
      <c r="J17" s="5">
        <v>2.6663180069322694</v>
      </c>
      <c r="K17">
        <v>173</v>
      </c>
      <c r="L17">
        <v>15989</v>
      </c>
      <c r="M17">
        <v>32996</v>
      </c>
      <c r="N17">
        <v>49158</v>
      </c>
      <c r="O17" s="6">
        <v>1297500</v>
      </c>
      <c r="P17" s="6">
        <v>39972500</v>
      </c>
      <c r="Q17" s="6">
        <v>39595200</v>
      </c>
      <c r="R17" s="6">
        <f t="shared" si="0"/>
        <v>80865200</v>
      </c>
      <c r="S17" s="2">
        <v>1.5316666666666667</v>
      </c>
      <c r="T17" s="2">
        <v>18.873999999999999</v>
      </c>
      <c r="U17" s="2">
        <v>11.685066666666666</v>
      </c>
      <c r="V17" s="2">
        <v>32.090733333333333</v>
      </c>
      <c r="W17">
        <v>9</v>
      </c>
      <c r="X17">
        <v>0</v>
      </c>
      <c r="Y17">
        <v>0</v>
      </c>
      <c r="Z17">
        <v>9</v>
      </c>
      <c r="AA17" s="2">
        <v>446785.32553394552</v>
      </c>
      <c r="AB17" s="6">
        <v>216000</v>
      </c>
      <c r="AC17" s="6">
        <v>0</v>
      </c>
      <c r="AD17" s="6">
        <v>0</v>
      </c>
      <c r="AE17" s="6">
        <v>216000</v>
      </c>
      <c r="AF17" s="3">
        <v>4.7244628074833512</v>
      </c>
      <c r="AG17">
        <v>9</v>
      </c>
      <c r="AH17">
        <v>0</v>
      </c>
      <c r="AI17">
        <v>0</v>
      </c>
      <c r="AJ17">
        <v>9</v>
      </c>
      <c r="AK17" s="2">
        <v>395506.42934166163</v>
      </c>
      <c r="AL17" s="6">
        <v>68760</v>
      </c>
      <c r="AM17" s="6">
        <v>0</v>
      </c>
      <c r="AN17" s="6">
        <v>0</v>
      </c>
      <c r="AO17" s="6">
        <v>68760</v>
      </c>
      <c r="AP17" s="3">
        <v>0.22962071082741836</v>
      </c>
      <c r="AQ17">
        <v>0</v>
      </c>
      <c r="AR17">
        <v>0</v>
      </c>
      <c r="AS17">
        <v>0</v>
      </c>
      <c r="AT17">
        <v>0</v>
      </c>
      <c r="AU17" s="2">
        <v>0</v>
      </c>
      <c r="AV17" s="6">
        <v>0</v>
      </c>
      <c r="AW17" s="6">
        <v>0</v>
      </c>
      <c r="AX17" s="6">
        <v>0</v>
      </c>
      <c r="AY17" s="6">
        <v>0</v>
      </c>
      <c r="AZ17" s="3">
        <v>20.227620417968261</v>
      </c>
      <c r="BA17">
        <v>82</v>
      </c>
      <c r="BB17">
        <v>5</v>
      </c>
      <c r="BC17">
        <v>0</v>
      </c>
      <c r="BD17">
        <v>87</v>
      </c>
      <c r="BE17" s="2">
        <v>1710426.5619960537</v>
      </c>
      <c r="BF17" s="6">
        <v>458790</v>
      </c>
      <c r="BG17" s="6">
        <v>427250</v>
      </c>
      <c r="BH17" s="6">
        <v>0</v>
      </c>
      <c r="BI17" s="6">
        <v>886040</v>
      </c>
      <c r="BJ17" s="3">
        <v>32.493961786009045</v>
      </c>
      <c r="BK17" s="6">
        <v>743550</v>
      </c>
      <c r="BL17" s="6">
        <v>427250</v>
      </c>
      <c r="BM17" s="6">
        <v>0</v>
      </c>
      <c r="BN17" s="6">
        <v>1170800</v>
      </c>
      <c r="BO17" s="3">
        <v>57.675665722288073</v>
      </c>
      <c r="BP17" s="7">
        <v>82036000</v>
      </c>
      <c r="BQ17" s="2">
        <v>26.92991971668642</v>
      </c>
      <c r="BR17" s="2">
        <v>116.69631877230782</v>
      </c>
    </row>
    <row r="18" spans="1:70">
      <c r="A18">
        <v>1991</v>
      </c>
      <c r="B18" s="1">
        <v>267703</v>
      </c>
      <c r="C18" s="2">
        <v>2707679.8403087989</v>
      </c>
      <c r="D18" s="3">
        <v>10.114491956790918</v>
      </c>
      <c r="E18" s="1">
        <v>160621</v>
      </c>
      <c r="F18" s="4">
        <v>0.34784978920436238</v>
      </c>
      <c r="G18" s="4">
        <v>0.1821552888778927</v>
      </c>
      <c r="H18" s="4">
        <v>4.7945797962807395E-2</v>
      </c>
      <c r="I18" s="4">
        <v>0.1448309436462783</v>
      </c>
      <c r="J18" s="5">
        <v>2.7323293331683907</v>
      </c>
      <c r="K18">
        <v>192</v>
      </c>
      <c r="L18">
        <v>16651</v>
      </c>
      <c r="M18">
        <v>33612</v>
      </c>
      <c r="N18">
        <v>50455</v>
      </c>
      <c r="O18" s="6">
        <v>1440000</v>
      </c>
      <c r="P18" s="6">
        <v>41627500</v>
      </c>
      <c r="Q18" s="6">
        <v>40334400</v>
      </c>
      <c r="R18" s="6">
        <f t="shared" si="0"/>
        <v>83401900</v>
      </c>
      <c r="S18" s="2">
        <v>1.6983333333333333</v>
      </c>
      <c r="T18" s="2">
        <v>19.632888888888889</v>
      </c>
      <c r="U18" s="2">
        <v>11.888933333333334</v>
      </c>
      <c r="V18" s="2">
        <v>33.220155555555557</v>
      </c>
      <c r="W18">
        <v>10</v>
      </c>
      <c r="X18">
        <v>0</v>
      </c>
      <c r="Y18">
        <v>0</v>
      </c>
      <c r="Z18">
        <v>10</v>
      </c>
      <c r="AA18" s="2">
        <v>480405.53886893106</v>
      </c>
      <c r="AB18" s="6">
        <v>248000</v>
      </c>
      <c r="AC18" s="6">
        <v>0</v>
      </c>
      <c r="AD18" s="6">
        <v>0</v>
      </c>
      <c r="AE18" s="6">
        <v>248000</v>
      </c>
      <c r="AF18" s="3">
        <v>5.1228137734571062</v>
      </c>
      <c r="AG18">
        <v>10</v>
      </c>
      <c r="AH18">
        <v>0</v>
      </c>
      <c r="AI18">
        <v>0</v>
      </c>
      <c r="AJ18">
        <v>10</v>
      </c>
      <c r="AK18" s="2">
        <v>427808.70652659651</v>
      </c>
      <c r="AL18" s="6">
        <v>78800</v>
      </c>
      <c r="AM18" s="6">
        <v>0</v>
      </c>
      <c r="AN18" s="6">
        <v>0</v>
      </c>
      <c r="AO18" s="6">
        <v>78800</v>
      </c>
      <c r="AP18" s="3">
        <v>0.25114120343687729</v>
      </c>
      <c r="AQ18">
        <v>0</v>
      </c>
      <c r="AR18">
        <v>0</v>
      </c>
      <c r="AS18">
        <v>0</v>
      </c>
      <c r="AT18">
        <v>0</v>
      </c>
      <c r="AU18" s="2">
        <v>0</v>
      </c>
      <c r="AV18" s="6">
        <v>0</v>
      </c>
      <c r="AW18" s="6">
        <v>0</v>
      </c>
      <c r="AX18" s="6">
        <v>0</v>
      </c>
      <c r="AY18" s="6">
        <v>0</v>
      </c>
      <c r="AZ18" s="3">
        <v>21.805436102137467</v>
      </c>
      <c r="BA18">
        <v>86</v>
      </c>
      <c r="BB18">
        <v>5</v>
      </c>
      <c r="BC18">
        <v>0</v>
      </c>
      <c r="BD18">
        <v>91</v>
      </c>
      <c r="BE18" s="2">
        <v>1799465.5949132715</v>
      </c>
      <c r="BF18" s="6">
        <v>477300</v>
      </c>
      <c r="BG18" s="6">
        <v>420750</v>
      </c>
      <c r="BH18" s="6">
        <v>0</v>
      </c>
      <c r="BI18" s="6">
        <v>898050</v>
      </c>
      <c r="BJ18" s="3">
        <v>34.926388394264443</v>
      </c>
      <c r="BK18" s="6">
        <v>804100</v>
      </c>
      <c r="BL18" s="6">
        <v>420750</v>
      </c>
      <c r="BM18" s="6">
        <v>0</v>
      </c>
      <c r="BN18" s="6">
        <v>1224850</v>
      </c>
      <c r="BO18" s="3">
        <v>62.105779473295897</v>
      </c>
      <c r="BP18" s="7">
        <v>84626750</v>
      </c>
      <c r="BQ18" s="2">
        <v>28.597780508655436</v>
      </c>
      <c r="BR18" s="2">
        <v>123.92371553750689</v>
      </c>
    </row>
    <row r="19" spans="1:70">
      <c r="A19">
        <v>1992</v>
      </c>
      <c r="B19" s="1">
        <v>274445</v>
      </c>
      <c r="C19" s="2">
        <v>2870407.6067238534</v>
      </c>
      <c r="D19" s="3">
        <v>10.458953913257131</v>
      </c>
      <c r="E19" s="1">
        <v>164667</v>
      </c>
      <c r="F19" s="4">
        <v>0.35288975495552266</v>
      </c>
      <c r="G19" s="4">
        <v>0.18646890317121709</v>
      </c>
      <c r="H19" s="4">
        <v>4.9542874440097001E-2</v>
      </c>
      <c r="I19" s="4">
        <v>0.14827760260561521</v>
      </c>
      <c r="J19" s="5">
        <v>2.7970335475682564</v>
      </c>
      <c r="K19">
        <v>212</v>
      </c>
      <c r="L19">
        <v>17334</v>
      </c>
      <c r="M19">
        <v>34242</v>
      </c>
      <c r="N19">
        <v>51788</v>
      </c>
      <c r="O19" s="6">
        <v>1590000</v>
      </c>
      <c r="P19" s="6">
        <v>43335000</v>
      </c>
      <c r="Q19" s="6">
        <v>41090400</v>
      </c>
      <c r="R19" s="6">
        <f t="shared" si="0"/>
        <v>86015400</v>
      </c>
      <c r="S19" s="2">
        <v>1.8783333333333334</v>
      </c>
      <c r="T19" s="2">
        <v>20.41288888888889</v>
      </c>
      <c r="U19" s="2">
        <v>12.097266666666666</v>
      </c>
      <c r="V19" s="2">
        <v>34.388488888888887</v>
      </c>
      <c r="W19">
        <v>11</v>
      </c>
      <c r="X19">
        <v>0</v>
      </c>
      <c r="Y19">
        <v>0</v>
      </c>
      <c r="Z19">
        <v>11</v>
      </c>
      <c r="AA19" s="2">
        <v>515670.34379367548</v>
      </c>
      <c r="AB19" s="6">
        <v>270600</v>
      </c>
      <c r="AC19" s="6">
        <v>0</v>
      </c>
      <c r="AD19" s="6">
        <v>0</v>
      </c>
      <c r="AE19" s="6">
        <v>270600</v>
      </c>
      <c r="AF19" s="3">
        <v>5.533354239269614</v>
      </c>
      <c r="AG19">
        <v>11</v>
      </c>
      <c r="AH19">
        <v>0</v>
      </c>
      <c r="AI19">
        <v>0</v>
      </c>
      <c r="AJ19">
        <v>11</v>
      </c>
      <c r="AK19" s="2">
        <v>462099.41750530445</v>
      </c>
      <c r="AL19" s="6">
        <v>83600</v>
      </c>
      <c r="AM19" s="6">
        <v>0</v>
      </c>
      <c r="AN19" s="6">
        <v>0</v>
      </c>
      <c r="AO19" s="6">
        <v>83600</v>
      </c>
      <c r="AP19" s="3">
        <v>0.27351985450960159</v>
      </c>
      <c r="AQ19">
        <v>0</v>
      </c>
      <c r="AR19">
        <v>0</v>
      </c>
      <c r="AS19">
        <v>0</v>
      </c>
      <c r="AT19">
        <v>0</v>
      </c>
      <c r="AU19" s="2">
        <v>0</v>
      </c>
      <c r="AV19" s="6">
        <v>0</v>
      </c>
      <c r="AW19" s="6">
        <v>0</v>
      </c>
      <c r="AX19" s="6">
        <v>0</v>
      </c>
      <c r="AY19" s="6">
        <v>0</v>
      </c>
      <c r="AZ19" s="3">
        <v>23.426201021247412</v>
      </c>
      <c r="BA19">
        <v>90</v>
      </c>
      <c r="BB19">
        <v>5</v>
      </c>
      <c r="BC19">
        <v>0</v>
      </c>
      <c r="BD19">
        <v>95</v>
      </c>
      <c r="BE19" s="2">
        <v>1892637.8454248735</v>
      </c>
      <c r="BF19" s="6">
        <v>511650</v>
      </c>
      <c r="BG19" s="6">
        <v>430500</v>
      </c>
      <c r="BH19" s="6">
        <v>0</v>
      </c>
      <c r="BI19" s="6">
        <v>942150</v>
      </c>
      <c r="BJ19" s="3">
        <v>37.416326990004123</v>
      </c>
      <c r="BK19" s="6">
        <v>865850</v>
      </c>
      <c r="BL19" s="6">
        <v>430500</v>
      </c>
      <c r="BM19" s="6">
        <v>0</v>
      </c>
      <c r="BN19" s="6">
        <v>1296350</v>
      </c>
      <c r="BO19" s="3">
        <v>66.649402105030759</v>
      </c>
      <c r="BP19" s="7">
        <v>87311750</v>
      </c>
      <c r="BQ19" s="2">
        <v>30.311367298175892</v>
      </c>
      <c r="BR19" s="2">
        <v>131.34925829209553</v>
      </c>
    </row>
    <row r="20" spans="1:70">
      <c r="A20">
        <v>1993</v>
      </c>
      <c r="B20" s="1">
        <v>281359</v>
      </c>
      <c r="C20" s="2">
        <v>3041327.1712344163</v>
      </c>
      <c r="D20" s="3">
        <v>10.80941846976431</v>
      </c>
      <c r="E20" s="1">
        <v>168815</v>
      </c>
      <c r="F20" s="4">
        <v>0.35785099077872395</v>
      </c>
      <c r="G20" s="4">
        <v>0.19069710217869068</v>
      </c>
      <c r="H20" s="4">
        <v>5.1219451589605162E-2</v>
      </c>
      <c r="I20" s="4">
        <v>0.15176108187756779</v>
      </c>
      <c r="J20" s="5">
        <v>2.8604565326803604</v>
      </c>
      <c r="K20">
        <v>234</v>
      </c>
      <c r="L20">
        <v>18036</v>
      </c>
      <c r="M20">
        <v>34886</v>
      </c>
      <c r="N20">
        <v>53156</v>
      </c>
      <c r="O20" s="6">
        <v>1755000</v>
      </c>
      <c r="P20" s="6">
        <v>45090000</v>
      </c>
      <c r="Q20" s="6">
        <v>41863200</v>
      </c>
      <c r="R20" s="6">
        <f t="shared" si="0"/>
        <v>88708200</v>
      </c>
      <c r="S20" s="2">
        <v>2.0699999999999998</v>
      </c>
      <c r="T20" s="2">
        <v>21.214666666666666</v>
      </c>
      <c r="U20" s="2">
        <v>12.309933333333333</v>
      </c>
      <c r="V20" s="2">
        <v>35.5946</v>
      </c>
      <c r="W20">
        <v>11</v>
      </c>
      <c r="X20">
        <v>0</v>
      </c>
      <c r="Y20">
        <v>0</v>
      </c>
      <c r="Z20">
        <v>11</v>
      </c>
      <c r="AA20" s="2">
        <v>552681.39098172355</v>
      </c>
      <c r="AB20" s="6">
        <v>270600</v>
      </c>
      <c r="AC20" s="6">
        <v>0</v>
      </c>
      <c r="AD20" s="6">
        <v>0</v>
      </c>
      <c r="AE20" s="6">
        <v>270600</v>
      </c>
      <c r="AF20" s="3">
        <v>5.9564516808399119</v>
      </c>
      <c r="AG20">
        <v>11</v>
      </c>
      <c r="AH20">
        <v>0</v>
      </c>
      <c r="AI20">
        <v>0</v>
      </c>
      <c r="AJ20">
        <v>11</v>
      </c>
      <c r="AK20" s="2">
        <v>498504.97341939952</v>
      </c>
      <c r="AL20" s="6">
        <v>83600</v>
      </c>
      <c r="AM20" s="6">
        <v>0</v>
      </c>
      <c r="AN20" s="6">
        <v>0</v>
      </c>
      <c r="AO20" s="6">
        <v>83600</v>
      </c>
      <c r="AP20" s="3">
        <v>0.2967767045379166</v>
      </c>
      <c r="AQ20">
        <v>0</v>
      </c>
      <c r="AR20">
        <v>0</v>
      </c>
      <c r="AS20">
        <v>0</v>
      </c>
      <c r="AT20">
        <v>0</v>
      </c>
      <c r="AU20" s="2">
        <v>0</v>
      </c>
      <c r="AV20" s="6">
        <v>0</v>
      </c>
      <c r="AW20" s="6">
        <v>0</v>
      </c>
      <c r="AX20" s="6">
        <v>0</v>
      </c>
      <c r="AY20" s="6">
        <v>0</v>
      </c>
      <c r="AZ20" s="3">
        <v>25.09163007670297</v>
      </c>
      <c r="BA20">
        <v>94</v>
      </c>
      <c r="BB20">
        <v>5</v>
      </c>
      <c r="BC20">
        <v>0</v>
      </c>
      <c r="BD20">
        <v>99</v>
      </c>
      <c r="BE20" s="2">
        <v>1990140.8068332933</v>
      </c>
      <c r="BF20" s="6">
        <v>555540</v>
      </c>
      <c r="BG20" s="6">
        <v>420750</v>
      </c>
      <c r="BH20" s="6">
        <v>0</v>
      </c>
      <c r="BI20" s="6">
        <v>976290</v>
      </c>
      <c r="BJ20" s="3">
        <v>39.967183423724329</v>
      </c>
      <c r="BK20" s="6">
        <v>909740</v>
      </c>
      <c r="BL20" s="6">
        <v>420750</v>
      </c>
      <c r="BM20" s="6">
        <v>0</v>
      </c>
      <c r="BN20" s="6">
        <v>1330490</v>
      </c>
      <c r="BO20" s="3">
        <v>71.312041885805129</v>
      </c>
      <c r="BP20" s="7">
        <v>90038690</v>
      </c>
      <c r="BQ20" s="2">
        <v>32.071992565741539</v>
      </c>
      <c r="BR20" s="2">
        <v>138.97863445154667</v>
      </c>
    </row>
    <row r="21" spans="1:70">
      <c r="A21">
        <v>1994</v>
      </c>
      <c r="B21" s="1">
        <v>288451</v>
      </c>
      <c r="C21" s="2">
        <v>3220947.6897689337</v>
      </c>
      <c r="D21" s="3">
        <v>11.166359935548616</v>
      </c>
      <c r="E21" s="1">
        <v>173070</v>
      </c>
      <c r="F21" s="4">
        <v>0.36274200951658009</v>
      </c>
      <c r="G21" s="4">
        <v>0.19484157723629325</v>
      </c>
      <c r="H21" s="4">
        <v>5.2982093361847102E-2</v>
      </c>
      <c r="I21" s="4">
        <v>0.15528739392245627</v>
      </c>
      <c r="J21" s="5">
        <v>2.9226236585443988</v>
      </c>
      <c r="K21">
        <v>258</v>
      </c>
      <c r="L21">
        <v>18761</v>
      </c>
      <c r="M21">
        <v>35545</v>
      </c>
      <c r="N21">
        <v>54564</v>
      </c>
      <c r="O21" s="6">
        <v>1935000</v>
      </c>
      <c r="P21" s="6">
        <v>46902500</v>
      </c>
      <c r="Q21" s="6">
        <v>42654000</v>
      </c>
      <c r="R21" s="6">
        <f t="shared" si="0"/>
        <v>91491500</v>
      </c>
      <c r="S21" s="2">
        <v>2.2749999999999999</v>
      </c>
      <c r="T21" s="2">
        <v>22.039555555555555</v>
      </c>
      <c r="U21" s="2">
        <v>12.527066666666666</v>
      </c>
      <c r="V21" s="2">
        <v>36.84162222222222</v>
      </c>
      <c r="W21">
        <v>12</v>
      </c>
      <c r="X21">
        <v>0</v>
      </c>
      <c r="Y21">
        <v>0</v>
      </c>
      <c r="Z21">
        <v>12</v>
      </c>
      <c r="AA21" s="2">
        <v>591551.02526466397</v>
      </c>
      <c r="AB21" s="6">
        <v>292800</v>
      </c>
      <c r="AC21" s="6">
        <v>0</v>
      </c>
      <c r="AD21" s="6">
        <v>0</v>
      </c>
      <c r="AE21" s="6">
        <v>292800</v>
      </c>
      <c r="AF21" s="3">
        <v>6.3924745724705669</v>
      </c>
      <c r="AG21">
        <v>12</v>
      </c>
      <c r="AH21">
        <v>0</v>
      </c>
      <c r="AI21">
        <v>0</v>
      </c>
      <c r="AJ21">
        <v>12</v>
      </c>
      <c r="AK21" s="2">
        <v>537167.04437213833</v>
      </c>
      <c r="AL21" s="6">
        <v>93120</v>
      </c>
      <c r="AM21" s="6">
        <v>0</v>
      </c>
      <c r="AN21" s="6">
        <v>0</v>
      </c>
      <c r="AO21" s="6">
        <v>93120</v>
      </c>
      <c r="AP21" s="3">
        <v>0.32093215308848955</v>
      </c>
      <c r="AQ21">
        <v>0</v>
      </c>
      <c r="AR21">
        <v>0</v>
      </c>
      <c r="AS21">
        <v>0</v>
      </c>
      <c r="AT21">
        <v>0</v>
      </c>
      <c r="AU21" s="2">
        <v>0</v>
      </c>
      <c r="AV21" s="6">
        <v>0</v>
      </c>
      <c r="AW21" s="6">
        <v>0</v>
      </c>
      <c r="AX21" s="6">
        <v>0</v>
      </c>
      <c r="AY21" s="6">
        <v>0</v>
      </c>
      <c r="AZ21" s="3">
        <v>26.803409010321655</v>
      </c>
      <c r="BA21">
        <v>99</v>
      </c>
      <c r="BB21">
        <v>6</v>
      </c>
      <c r="BC21">
        <v>0</v>
      </c>
      <c r="BD21">
        <v>105</v>
      </c>
      <c r="BE21" s="2">
        <v>2092229.6201321317</v>
      </c>
      <c r="BF21" s="6">
        <v>549450</v>
      </c>
      <c r="BG21" s="6">
        <v>524400</v>
      </c>
      <c r="BH21" s="6">
        <v>0</v>
      </c>
      <c r="BI21" s="6">
        <v>1073850</v>
      </c>
      <c r="BJ21" s="3">
        <v>42.582215018693987</v>
      </c>
      <c r="BK21" s="6">
        <v>935370</v>
      </c>
      <c r="BL21" s="6">
        <v>524400</v>
      </c>
      <c r="BM21" s="6">
        <v>0</v>
      </c>
      <c r="BN21" s="6">
        <v>1459770</v>
      </c>
      <c r="BO21" s="3">
        <v>76.099030754574699</v>
      </c>
      <c r="BP21" s="7">
        <v>92951270</v>
      </c>
      <c r="BQ21" s="2">
        <v>33.882195893039075</v>
      </c>
      <c r="BR21" s="2">
        <v>146.82284886983598</v>
      </c>
    </row>
    <row r="22" spans="1:70">
      <c r="A22">
        <v>1995</v>
      </c>
      <c r="B22" s="1">
        <v>295725</v>
      </c>
      <c r="C22" s="2">
        <v>3409767.6372639872</v>
      </c>
      <c r="D22" s="3">
        <v>11.530197437700522</v>
      </c>
      <c r="E22" s="1">
        <v>177435</v>
      </c>
      <c r="F22" s="4">
        <v>0.36756965299673805</v>
      </c>
      <c r="G22" s="4">
        <v>0.19890398618930819</v>
      </c>
      <c r="H22" s="4">
        <v>5.4837621680183753E-2</v>
      </c>
      <c r="I22" s="4">
        <v>0.15886220347167412</v>
      </c>
      <c r="J22" s="5">
        <v>2.9835597928396229</v>
      </c>
      <c r="K22">
        <v>283</v>
      </c>
      <c r="L22">
        <v>19508</v>
      </c>
      <c r="M22">
        <v>36219</v>
      </c>
      <c r="N22">
        <v>56010</v>
      </c>
      <c r="O22" s="6">
        <v>2122500</v>
      </c>
      <c r="P22" s="6">
        <v>48770000</v>
      </c>
      <c r="Q22" s="6">
        <v>43462800</v>
      </c>
      <c r="R22" s="6">
        <f t="shared" si="0"/>
        <v>94355300</v>
      </c>
      <c r="S22" s="2">
        <v>2.4950000000000001</v>
      </c>
      <c r="T22" s="2">
        <v>22.888666666666666</v>
      </c>
      <c r="U22" s="2">
        <v>12.748533333333333</v>
      </c>
      <c r="V22" s="2">
        <v>38.132199999999997</v>
      </c>
      <c r="W22">
        <v>13</v>
      </c>
      <c r="X22">
        <v>0</v>
      </c>
      <c r="Y22">
        <v>0</v>
      </c>
      <c r="Z22">
        <v>13</v>
      </c>
      <c r="AA22" s="2">
        <v>632391.1392210843</v>
      </c>
      <c r="AB22" s="6">
        <v>314600</v>
      </c>
      <c r="AC22" s="6">
        <v>0</v>
      </c>
      <c r="AD22" s="6">
        <v>0</v>
      </c>
      <c r="AE22" s="6">
        <v>314600</v>
      </c>
      <c r="AF22" s="3">
        <v>6.8417917660107124</v>
      </c>
      <c r="AG22">
        <v>13</v>
      </c>
      <c r="AH22">
        <v>0</v>
      </c>
      <c r="AI22">
        <v>0</v>
      </c>
      <c r="AJ22">
        <v>13</v>
      </c>
      <c r="AK22" s="2">
        <v>578229.84643923445</v>
      </c>
      <c r="AL22" s="6">
        <v>101400</v>
      </c>
      <c r="AM22" s="6">
        <v>0</v>
      </c>
      <c r="AN22" s="6">
        <v>0</v>
      </c>
      <c r="AO22" s="6">
        <v>101400</v>
      </c>
      <c r="AP22" s="3">
        <v>0.34600692465785066</v>
      </c>
      <c r="AQ22">
        <v>0</v>
      </c>
      <c r="AR22">
        <v>0</v>
      </c>
      <c r="AS22">
        <v>0</v>
      </c>
      <c r="AT22">
        <v>0</v>
      </c>
      <c r="AU22" s="2">
        <v>0</v>
      </c>
      <c r="AV22" s="6">
        <v>0</v>
      </c>
      <c r="AW22" s="6">
        <v>0</v>
      </c>
      <c r="AX22" s="6">
        <v>0</v>
      </c>
      <c r="AY22" s="6">
        <v>0</v>
      </c>
      <c r="AZ22" s="3">
        <v>28.563194107722701</v>
      </c>
      <c r="BA22">
        <v>103</v>
      </c>
      <c r="BB22">
        <v>6</v>
      </c>
      <c r="BC22">
        <v>0</v>
      </c>
      <c r="BD22">
        <v>109</v>
      </c>
      <c r="BE22" s="2">
        <v>2199146.6516036685</v>
      </c>
      <c r="BF22" s="6">
        <v>590190</v>
      </c>
      <c r="BG22" s="6">
        <v>516600</v>
      </c>
      <c r="BH22" s="6">
        <v>0</v>
      </c>
      <c r="BI22" s="6">
        <v>1106790</v>
      </c>
      <c r="BJ22" s="3">
        <v>45.264540749227756</v>
      </c>
      <c r="BK22" s="6">
        <v>1006190</v>
      </c>
      <c r="BL22" s="6">
        <v>516600</v>
      </c>
      <c r="BM22" s="6">
        <v>0</v>
      </c>
      <c r="BN22" s="6">
        <v>1522790</v>
      </c>
      <c r="BO22" s="3">
        <v>81.015533547619015</v>
      </c>
      <c r="BP22" s="7">
        <v>95878090</v>
      </c>
      <c r="BQ22" s="2">
        <v>35.744320064285702</v>
      </c>
      <c r="BR22" s="2">
        <v>154.89205361190471</v>
      </c>
    </row>
    <row r="23" spans="1:70">
      <c r="A23">
        <v>1996</v>
      </c>
      <c r="B23" s="1">
        <v>303186</v>
      </c>
      <c r="C23" s="2">
        <v>3608273.1069774511</v>
      </c>
      <c r="D23" s="3">
        <v>11.901186423441224</v>
      </c>
      <c r="E23" s="1">
        <v>181911</v>
      </c>
      <c r="F23" s="4">
        <v>0.37233796211226999</v>
      </c>
      <c r="G23" s="4">
        <v>0.20288595405548296</v>
      </c>
      <c r="H23" s="4">
        <v>5.6792535806109511E-2</v>
      </c>
      <c r="I23" s="4">
        <v>0.16249008024900999</v>
      </c>
      <c r="J23" s="5">
        <v>3.0432893108322445</v>
      </c>
      <c r="K23">
        <v>310</v>
      </c>
      <c r="L23">
        <v>20279</v>
      </c>
      <c r="M23">
        <v>36908</v>
      </c>
      <c r="N23">
        <v>57497</v>
      </c>
      <c r="O23" s="6">
        <v>2325000</v>
      </c>
      <c r="P23" s="6">
        <v>50697500</v>
      </c>
      <c r="Q23" s="6">
        <v>44289600</v>
      </c>
      <c r="R23" s="6">
        <f t="shared" si="0"/>
        <v>97312100</v>
      </c>
      <c r="S23" s="2">
        <v>2.73</v>
      </c>
      <c r="T23" s="2">
        <v>23.762222222222221</v>
      </c>
      <c r="U23" s="2">
        <v>12.974399999999999</v>
      </c>
      <c r="V23" s="2">
        <v>39.46662222222222</v>
      </c>
      <c r="W23">
        <v>14</v>
      </c>
      <c r="X23">
        <v>0</v>
      </c>
      <c r="Y23">
        <v>0</v>
      </c>
      <c r="Z23">
        <v>14</v>
      </c>
      <c r="AA23" s="2">
        <v>675313.27388600132</v>
      </c>
      <c r="AB23" s="6">
        <v>338800</v>
      </c>
      <c r="AC23" s="6">
        <v>0</v>
      </c>
      <c r="AD23" s="6">
        <v>0</v>
      </c>
      <c r="AE23" s="6">
        <v>338800</v>
      </c>
      <c r="AF23" s="3">
        <v>7.3047812932095963</v>
      </c>
      <c r="AG23">
        <v>14</v>
      </c>
      <c r="AH23">
        <v>0</v>
      </c>
      <c r="AI23">
        <v>0</v>
      </c>
      <c r="AJ23">
        <v>14</v>
      </c>
      <c r="AK23" s="2">
        <v>621839.85620935191</v>
      </c>
      <c r="AL23" s="6">
        <v>107520</v>
      </c>
      <c r="AM23" s="6">
        <v>0</v>
      </c>
      <c r="AN23" s="6">
        <v>0</v>
      </c>
      <c r="AO23" s="6">
        <v>107520</v>
      </c>
      <c r="AP23" s="3">
        <v>0.37202242663309543</v>
      </c>
      <c r="AQ23">
        <v>0</v>
      </c>
      <c r="AR23">
        <v>0</v>
      </c>
      <c r="AS23">
        <v>0</v>
      </c>
      <c r="AT23">
        <v>0</v>
      </c>
      <c r="AU23" s="2">
        <v>0</v>
      </c>
      <c r="AV23" s="6">
        <v>0</v>
      </c>
      <c r="AW23" s="6">
        <v>0</v>
      </c>
      <c r="AX23" s="6">
        <v>0</v>
      </c>
      <c r="AY23" s="6">
        <v>0</v>
      </c>
      <c r="AZ23" s="3">
        <v>30.372655922040167</v>
      </c>
      <c r="BA23">
        <v>108</v>
      </c>
      <c r="BB23">
        <v>6</v>
      </c>
      <c r="BC23">
        <v>0</v>
      </c>
      <c r="BD23">
        <v>114</v>
      </c>
      <c r="BE23" s="2">
        <v>2311119.9768820978</v>
      </c>
      <c r="BF23" s="6">
        <v>604260</v>
      </c>
      <c r="BG23" s="6">
        <v>520500</v>
      </c>
      <c r="BH23" s="6">
        <v>0</v>
      </c>
      <c r="BI23" s="6">
        <v>1124760</v>
      </c>
      <c r="BJ23" s="3">
        <v>48.017228617301036</v>
      </c>
      <c r="BK23" s="6">
        <v>1050580</v>
      </c>
      <c r="BL23" s="6">
        <v>520500</v>
      </c>
      <c r="BM23" s="6">
        <v>0</v>
      </c>
      <c r="BN23" s="6">
        <v>1571080</v>
      </c>
      <c r="BO23" s="3">
        <v>86.066688259183906</v>
      </c>
      <c r="BP23" s="7">
        <v>98883180</v>
      </c>
      <c r="BQ23" s="2">
        <v>37.659993144421833</v>
      </c>
      <c r="BR23" s="2">
        <v>163.19330362582795</v>
      </c>
    </row>
    <row r="24" spans="1:70">
      <c r="A24">
        <v>1997</v>
      </c>
      <c r="B24" s="1">
        <v>310839</v>
      </c>
      <c r="C24" s="2">
        <v>3817031.4943428887</v>
      </c>
      <c r="D24" s="3">
        <v>12.279770216552263</v>
      </c>
      <c r="E24" s="1">
        <v>186503</v>
      </c>
      <c r="F24" s="4">
        <v>0.37705288134833947</v>
      </c>
      <c r="G24" s="4">
        <v>0.20678907367505758</v>
      </c>
      <c r="H24" s="4">
        <v>5.8854858691810008E-2</v>
      </c>
      <c r="I24" s="4">
        <v>0.16617692728529032</v>
      </c>
      <c r="J24" s="5">
        <v>3.1018361051258636</v>
      </c>
      <c r="K24">
        <v>339</v>
      </c>
      <c r="L24">
        <v>21074</v>
      </c>
      <c r="M24">
        <v>37612</v>
      </c>
      <c r="N24">
        <v>59025</v>
      </c>
      <c r="O24" s="6">
        <v>2542500</v>
      </c>
      <c r="P24" s="6">
        <v>52685000</v>
      </c>
      <c r="Q24" s="6">
        <v>45134400</v>
      </c>
      <c r="R24" s="6">
        <f t="shared" si="0"/>
        <v>100361900</v>
      </c>
      <c r="S24" s="2">
        <v>2.9816666666666665</v>
      </c>
      <c r="T24" s="2">
        <v>24.661999999999999</v>
      </c>
      <c r="U24" s="2">
        <v>13.204666666666666</v>
      </c>
      <c r="V24" s="2">
        <v>40.848333333333329</v>
      </c>
      <c r="W24">
        <v>15</v>
      </c>
      <c r="X24">
        <v>0</v>
      </c>
      <c r="Y24">
        <v>0</v>
      </c>
      <c r="Z24">
        <v>15</v>
      </c>
      <c r="AA24" s="2">
        <v>720440.45198206056</v>
      </c>
      <c r="AB24" s="6">
        <v>364500</v>
      </c>
      <c r="AC24" s="6">
        <v>0</v>
      </c>
      <c r="AD24" s="6">
        <v>0</v>
      </c>
      <c r="AE24" s="6">
        <v>364500</v>
      </c>
      <c r="AF24" s="3">
        <v>7.781817194334705</v>
      </c>
      <c r="AG24">
        <v>15</v>
      </c>
      <c r="AH24">
        <v>0</v>
      </c>
      <c r="AI24">
        <v>0</v>
      </c>
      <c r="AJ24">
        <v>15</v>
      </c>
      <c r="AK24" s="2">
        <v>668159.9924397507</v>
      </c>
      <c r="AL24" s="6">
        <v>118800</v>
      </c>
      <c r="AM24" s="6">
        <v>0</v>
      </c>
      <c r="AN24" s="6">
        <v>0</v>
      </c>
      <c r="AO24" s="6">
        <v>118800</v>
      </c>
      <c r="AP24" s="3">
        <v>0.3990002029473394</v>
      </c>
      <c r="AQ24">
        <v>0</v>
      </c>
      <c r="AR24">
        <v>0</v>
      </c>
      <c r="AS24">
        <v>0</v>
      </c>
      <c r="AT24">
        <v>0</v>
      </c>
      <c r="AU24" s="2">
        <v>0</v>
      </c>
      <c r="AV24" s="6">
        <v>0</v>
      </c>
      <c r="AW24" s="6">
        <v>0</v>
      </c>
      <c r="AX24" s="6">
        <v>0</v>
      </c>
      <c r="AY24" s="6">
        <v>0</v>
      </c>
      <c r="AZ24" s="3">
        <v>32.233418973516102</v>
      </c>
      <c r="BA24">
        <v>113</v>
      </c>
      <c r="BB24">
        <v>6</v>
      </c>
      <c r="BC24">
        <v>0</v>
      </c>
      <c r="BD24">
        <v>119</v>
      </c>
      <c r="BE24" s="2">
        <v>2428431.0499210777</v>
      </c>
      <c r="BF24" s="6">
        <v>667830</v>
      </c>
      <c r="BG24" s="6">
        <v>508800</v>
      </c>
      <c r="BH24" s="6">
        <v>0</v>
      </c>
      <c r="BI24" s="6">
        <v>1176630</v>
      </c>
      <c r="BJ24" s="3">
        <v>50.843195578218307</v>
      </c>
      <c r="BK24" s="6">
        <v>1151130</v>
      </c>
      <c r="BL24" s="6">
        <v>508800</v>
      </c>
      <c r="BM24" s="6">
        <v>0</v>
      </c>
      <c r="BN24" s="6">
        <v>1659930</v>
      </c>
      <c r="BO24" s="3">
        <v>91.25743194901645</v>
      </c>
      <c r="BP24" s="7">
        <v>102021830</v>
      </c>
      <c r="BQ24" s="2">
        <v>39.631729584704935</v>
      </c>
      <c r="BR24" s="2">
        <v>171.73749486705472</v>
      </c>
    </row>
    <row r="25" spans="1:70">
      <c r="A25">
        <v>1998</v>
      </c>
      <c r="B25" s="1">
        <v>318689</v>
      </c>
      <c r="C25" s="2">
        <v>4036585.3273724304</v>
      </c>
      <c r="D25" s="3">
        <v>12.666221072495224</v>
      </c>
      <c r="E25" s="1">
        <v>191213</v>
      </c>
      <c r="F25" s="4">
        <v>0.38171766675896929</v>
      </c>
      <c r="G25" s="4">
        <v>0.21061490634792221</v>
      </c>
      <c r="H25" s="4">
        <v>6.1032297440656538E-2</v>
      </c>
      <c r="I25" s="4">
        <v>0.16992751044866319</v>
      </c>
      <c r="J25" s="5">
        <v>3.1592235952188332</v>
      </c>
      <c r="K25">
        <v>370</v>
      </c>
      <c r="L25">
        <v>21895</v>
      </c>
      <c r="M25">
        <v>38332</v>
      </c>
      <c r="N25">
        <v>60597</v>
      </c>
      <c r="O25" s="6">
        <v>2775000</v>
      </c>
      <c r="P25" s="6">
        <v>54737500</v>
      </c>
      <c r="Q25" s="6">
        <v>45998400</v>
      </c>
      <c r="R25" s="6">
        <f t="shared" si="0"/>
        <v>103510900</v>
      </c>
      <c r="S25" s="2">
        <v>3.2483333333333335</v>
      </c>
      <c r="T25" s="2">
        <v>25.588222222222221</v>
      </c>
      <c r="U25" s="2">
        <v>13.439399999999999</v>
      </c>
      <c r="V25" s="2">
        <v>42.275955555555555</v>
      </c>
      <c r="W25">
        <v>15</v>
      </c>
      <c r="X25">
        <v>0</v>
      </c>
      <c r="Y25">
        <v>0</v>
      </c>
      <c r="Z25">
        <v>15</v>
      </c>
      <c r="AA25" s="2">
        <v>767893.96464859194</v>
      </c>
      <c r="AB25" s="6">
        <v>367500</v>
      </c>
      <c r="AC25" s="6">
        <v>0</v>
      </c>
      <c r="AD25" s="6">
        <v>0</v>
      </c>
      <c r="AE25" s="6">
        <v>367500</v>
      </c>
      <c r="AF25" s="3">
        <v>8.2732738003269102</v>
      </c>
      <c r="AG25">
        <v>15</v>
      </c>
      <c r="AH25">
        <v>0</v>
      </c>
      <c r="AI25">
        <v>0</v>
      </c>
      <c r="AJ25">
        <v>15</v>
      </c>
      <c r="AK25" s="2">
        <v>717354.15254078107</v>
      </c>
      <c r="AL25" s="6">
        <v>118200</v>
      </c>
      <c r="AM25" s="6">
        <v>0</v>
      </c>
      <c r="AN25" s="6">
        <v>0</v>
      </c>
      <c r="AO25" s="6">
        <v>118200</v>
      </c>
      <c r="AP25" s="3">
        <v>0.42696209842776456</v>
      </c>
      <c r="AQ25">
        <v>0</v>
      </c>
      <c r="AR25">
        <v>0</v>
      </c>
      <c r="AS25">
        <v>0</v>
      </c>
      <c r="AT25">
        <v>0</v>
      </c>
      <c r="AU25" s="2">
        <v>0</v>
      </c>
      <c r="AV25" s="6">
        <v>0</v>
      </c>
      <c r="AW25" s="6">
        <v>0</v>
      </c>
      <c r="AX25" s="6">
        <v>0</v>
      </c>
      <c r="AY25" s="6">
        <v>0</v>
      </c>
      <c r="AZ25" s="3">
        <v>34.147084382129911</v>
      </c>
      <c r="BA25">
        <v>119</v>
      </c>
      <c r="BB25">
        <v>7</v>
      </c>
      <c r="BC25">
        <v>0</v>
      </c>
      <c r="BD25">
        <v>126</v>
      </c>
      <c r="BE25" s="2">
        <v>2551337.2101830575</v>
      </c>
      <c r="BF25" s="6">
        <v>681870</v>
      </c>
      <c r="BG25" s="6">
        <v>616350</v>
      </c>
      <c r="BH25" s="6">
        <v>0</v>
      </c>
      <c r="BI25" s="6">
        <v>1298220</v>
      </c>
      <c r="BJ25" s="3">
        <v>53.745256334165546</v>
      </c>
      <c r="BK25" s="6">
        <v>1167570</v>
      </c>
      <c r="BL25" s="6">
        <v>616350</v>
      </c>
      <c r="BM25" s="6">
        <v>0</v>
      </c>
      <c r="BN25" s="6">
        <v>1783920</v>
      </c>
      <c r="BO25" s="3">
        <v>96.592576615050135</v>
      </c>
      <c r="BP25" s="7">
        <v>105294820</v>
      </c>
      <c r="BQ25" s="2">
        <v>41.660559651181707</v>
      </c>
      <c r="BR25" s="2">
        <v>180.5290918217874</v>
      </c>
    </row>
    <row r="26" spans="1:70">
      <c r="A26">
        <v>1999</v>
      </c>
      <c r="B26" s="1">
        <v>326742</v>
      </c>
      <c r="C26" s="2">
        <v>4267533.750271162</v>
      </c>
      <c r="D26" s="3">
        <v>13.060866831540364</v>
      </c>
      <c r="E26" s="1">
        <v>196045</v>
      </c>
      <c r="F26" s="4">
        <v>0.38633591351772734</v>
      </c>
      <c r="G26" s="4">
        <v>0.21436498245815774</v>
      </c>
      <c r="H26" s="4">
        <v>6.3333474124175185E-2</v>
      </c>
      <c r="I26" s="4">
        <v>0.17374703899140917</v>
      </c>
      <c r="J26" s="5">
        <v>3.2154747368723662</v>
      </c>
      <c r="K26">
        <v>403</v>
      </c>
      <c r="L26">
        <v>22742</v>
      </c>
      <c r="M26">
        <v>39067</v>
      </c>
      <c r="N26">
        <v>62212</v>
      </c>
      <c r="O26" s="6">
        <v>3022500</v>
      </c>
      <c r="P26" s="6">
        <v>56855000</v>
      </c>
      <c r="Q26" s="6">
        <v>46880400</v>
      </c>
      <c r="R26" s="6">
        <f t="shared" si="0"/>
        <v>106757900</v>
      </c>
      <c r="S26" s="2">
        <v>3.5333333333333332</v>
      </c>
      <c r="T26" s="2">
        <v>26.542222222222222</v>
      </c>
      <c r="U26" s="2">
        <v>13.678666666666667</v>
      </c>
      <c r="V26" s="2">
        <v>43.754222222222218</v>
      </c>
      <c r="W26">
        <v>16</v>
      </c>
      <c r="X26">
        <v>0</v>
      </c>
      <c r="Y26">
        <v>0</v>
      </c>
      <c r="Z26">
        <v>16</v>
      </c>
      <c r="AA26" s="2">
        <v>817804.18688803236</v>
      </c>
      <c r="AB26" s="6">
        <v>384000</v>
      </c>
      <c r="AC26" s="6">
        <v>0</v>
      </c>
      <c r="AD26" s="6">
        <v>0</v>
      </c>
      <c r="AE26" s="6">
        <v>384000</v>
      </c>
      <c r="AF26" s="3">
        <v>8.7795310355522957</v>
      </c>
      <c r="AG26">
        <v>16</v>
      </c>
      <c r="AH26">
        <v>0</v>
      </c>
      <c r="AI26">
        <v>0</v>
      </c>
      <c r="AJ26">
        <v>16</v>
      </c>
      <c r="AK26" s="2">
        <v>769599.82766261569</v>
      </c>
      <c r="AL26" s="6">
        <v>121600</v>
      </c>
      <c r="AM26" s="6">
        <v>0</v>
      </c>
      <c r="AN26" s="6">
        <v>0</v>
      </c>
      <c r="AO26" s="6">
        <v>121600</v>
      </c>
      <c r="AP26" s="3">
        <v>0.45593047144347332</v>
      </c>
      <c r="AQ26">
        <v>0</v>
      </c>
      <c r="AR26">
        <v>0</v>
      </c>
      <c r="AS26">
        <v>0</v>
      </c>
      <c r="AT26">
        <v>0</v>
      </c>
      <c r="AU26" s="2">
        <v>0</v>
      </c>
      <c r="AV26" s="6">
        <v>0</v>
      </c>
      <c r="AW26" s="6">
        <v>0</v>
      </c>
      <c r="AX26" s="6">
        <v>0</v>
      </c>
      <c r="AY26" s="6">
        <v>0</v>
      </c>
      <c r="AZ26" s="3">
        <v>36.115256678020458</v>
      </c>
      <c r="BA26">
        <v>124</v>
      </c>
      <c r="BB26">
        <v>7</v>
      </c>
      <c r="BC26">
        <v>0</v>
      </c>
      <c r="BD26">
        <v>131</v>
      </c>
      <c r="BE26" s="2">
        <v>2680129.7357205134</v>
      </c>
      <c r="BF26" s="6">
        <v>716100</v>
      </c>
      <c r="BG26" s="6">
        <v>598150</v>
      </c>
      <c r="BH26" s="6">
        <v>0</v>
      </c>
      <c r="BI26" s="6">
        <v>1314250</v>
      </c>
      <c r="BJ26" s="3">
        <v>56.726177894457329</v>
      </c>
      <c r="BK26" s="6">
        <v>1221700</v>
      </c>
      <c r="BL26" s="6">
        <v>598150</v>
      </c>
      <c r="BM26" s="6">
        <v>0</v>
      </c>
      <c r="BN26" s="6">
        <v>1819850</v>
      </c>
      <c r="BO26" s="3">
        <v>102.07689607947356</v>
      </c>
      <c r="BP26" s="7">
        <v>108577750</v>
      </c>
      <c r="BQ26" s="2">
        <v>43.749335490508727</v>
      </c>
      <c r="BR26" s="2">
        <v>189.58045379220448</v>
      </c>
    </row>
    <row r="27" spans="1:70">
      <c r="A27">
        <v>2000</v>
      </c>
      <c r="B27" s="1">
        <v>335003</v>
      </c>
      <c r="C27" s="2">
        <v>4510467.144215297</v>
      </c>
      <c r="D27" s="3">
        <v>13.463960454728158</v>
      </c>
      <c r="E27" s="1">
        <v>201001</v>
      </c>
      <c r="F27" s="4">
        <v>0.39090999416124977</v>
      </c>
      <c r="G27" s="4">
        <v>0.21804080208620999</v>
      </c>
      <c r="H27" s="4">
        <v>6.576722883920659E-2</v>
      </c>
      <c r="I27" s="4">
        <v>0.17764024463251613</v>
      </c>
      <c r="J27" s="5">
        <v>3.2706120312931497</v>
      </c>
      <c r="K27">
        <v>438</v>
      </c>
      <c r="L27">
        <v>23616</v>
      </c>
      <c r="M27">
        <v>39818</v>
      </c>
      <c r="N27">
        <v>63872</v>
      </c>
      <c r="O27" s="6">
        <v>3285000</v>
      </c>
      <c r="P27" s="6">
        <v>59040000</v>
      </c>
      <c r="Q27" s="6">
        <v>47781600</v>
      </c>
      <c r="R27" s="6">
        <f t="shared" si="0"/>
        <v>110106600</v>
      </c>
      <c r="S27" s="2">
        <v>3.835</v>
      </c>
      <c r="T27" s="2">
        <v>27.525111111111112</v>
      </c>
      <c r="U27" s="2">
        <v>13.922533333333334</v>
      </c>
      <c r="V27" s="2">
        <v>45.282644444444443</v>
      </c>
      <c r="W27">
        <v>17</v>
      </c>
      <c r="X27">
        <v>0</v>
      </c>
      <c r="Y27">
        <v>0</v>
      </c>
      <c r="Z27">
        <v>17</v>
      </c>
      <c r="AA27" s="2">
        <v>870302.07618934277</v>
      </c>
      <c r="AB27" s="6">
        <v>418200</v>
      </c>
      <c r="AC27" s="6">
        <v>0</v>
      </c>
      <c r="AD27" s="6">
        <v>0</v>
      </c>
      <c r="AE27" s="6">
        <v>418200</v>
      </c>
      <c r="AF27" s="3">
        <v>9.3009698903535956</v>
      </c>
      <c r="AG27">
        <v>17</v>
      </c>
      <c r="AH27">
        <v>0</v>
      </c>
      <c r="AI27">
        <v>0</v>
      </c>
      <c r="AJ27">
        <v>17</v>
      </c>
      <c r="AK27" s="2">
        <v>825078.25867813861</v>
      </c>
      <c r="AL27" s="6">
        <v>134640</v>
      </c>
      <c r="AM27" s="6">
        <v>0</v>
      </c>
      <c r="AN27" s="6">
        <v>0</v>
      </c>
      <c r="AO27" s="6">
        <v>134640</v>
      </c>
      <c r="AP27" s="3">
        <v>0.48592800383910401</v>
      </c>
      <c r="AQ27">
        <v>0</v>
      </c>
      <c r="AR27">
        <v>0</v>
      </c>
      <c r="AS27">
        <v>0</v>
      </c>
      <c r="AT27">
        <v>0</v>
      </c>
      <c r="AU27" s="2">
        <v>0</v>
      </c>
      <c r="AV27" s="6">
        <v>0</v>
      </c>
      <c r="AW27" s="6">
        <v>0</v>
      </c>
      <c r="AX27" s="6">
        <v>0</v>
      </c>
      <c r="AY27" s="6">
        <v>0</v>
      </c>
      <c r="AZ27" s="3">
        <v>38.139523879409005</v>
      </c>
      <c r="BA27">
        <v>130</v>
      </c>
      <c r="BB27">
        <v>7</v>
      </c>
      <c r="BC27">
        <v>0</v>
      </c>
      <c r="BD27">
        <v>137</v>
      </c>
      <c r="BE27" s="2">
        <v>2815086.8093478158</v>
      </c>
      <c r="BF27" s="6">
        <v>756600</v>
      </c>
      <c r="BG27" s="6">
        <v>607250</v>
      </c>
      <c r="BH27" s="6">
        <v>0</v>
      </c>
      <c r="BI27" s="6">
        <v>1363850</v>
      </c>
      <c r="BJ27" s="3">
        <v>59.788649412798584</v>
      </c>
      <c r="BK27" s="6">
        <v>1309440</v>
      </c>
      <c r="BL27" s="6">
        <v>607250</v>
      </c>
      <c r="BM27" s="6">
        <v>0</v>
      </c>
      <c r="BN27" s="6">
        <v>1916690</v>
      </c>
      <c r="BO27" s="3">
        <v>107.71507118640028</v>
      </c>
      <c r="BP27" s="7">
        <v>112023290</v>
      </c>
      <c r="BQ27" s="2">
        <v>45.899314689253409</v>
      </c>
      <c r="BR27" s="2">
        <v>198.89703032009811</v>
      </c>
    </row>
    <row r="28" spans="1:70">
      <c r="A28">
        <v>2001</v>
      </c>
      <c r="B28" s="1">
        <v>343479</v>
      </c>
      <c r="C28" s="2">
        <v>4766072.6284327377</v>
      </c>
      <c r="D28" s="3">
        <v>13.875877792915251</v>
      </c>
      <c r="E28" s="1">
        <v>206087</v>
      </c>
      <c r="F28" s="4">
        <v>0.39511788888705379</v>
      </c>
      <c r="G28" s="4">
        <v>0.22164383560894169</v>
      </c>
      <c r="H28" s="4">
        <v>6.8343850449979218E-2</v>
      </c>
      <c r="I28" s="4">
        <v>0.18156296414664885</v>
      </c>
      <c r="J28" s="5">
        <v>3.3246575341341251</v>
      </c>
      <c r="K28">
        <v>475</v>
      </c>
      <c r="L28">
        <v>24500</v>
      </c>
      <c r="M28">
        <v>40607</v>
      </c>
      <c r="N28">
        <v>65582</v>
      </c>
      <c r="O28" s="6">
        <v>3562500</v>
      </c>
      <c r="P28" s="6">
        <v>61250000</v>
      </c>
      <c r="Q28" s="6">
        <v>48728400</v>
      </c>
      <c r="R28" s="6">
        <f t="shared" si="0"/>
        <v>113540900</v>
      </c>
      <c r="S28" s="2">
        <v>4.1500000000000004</v>
      </c>
      <c r="T28" s="2">
        <v>28.514222222222223</v>
      </c>
      <c r="U28" s="2">
        <v>14.1782</v>
      </c>
      <c r="V28" s="2">
        <v>46.842422222222226</v>
      </c>
      <c r="W28">
        <v>18</v>
      </c>
      <c r="X28">
        <v>0</v>
      </c>
      <c r="Y28">
        <v>0</v>
      </c>
      <c r="Z28">
        <v>18</v>
      </c>
      <c r="AA28" s="2">
        <v>925532.9932456211</v>
      </c>
      <c r="AB28" s="6">
        <v>442800</v>
      </c>
      <c r="AC28" s="6">
        <v>0</v>
      </c>
      <c r="AD28" s="6">
        <v>0</v>
      </c>
      <c r="AE28" s="6">
        <v>442800</v>
      </c>
      <c r="AF28" s="3">
        <v>9.8379613575536169</v>
      </c>
      <c r="AG28">
        <v>18</v>
      </c>
      <c r="AH28">
        <v>0</v>
      </c>
      <c r="AI28">
        <v>0</v>
      </c>
      <c r="AJ28">
        <v>18</v>
      </c>
      <c r="AK28" s="2">
        <v>883991.4859201723</v>
      </c>
      <c r="AL28" s="6">
        <v>138960</v>
      </c>
      <c r="AM28" s="6">
        <v>0</v>
      </c>
      <c r="AN28" s="6">
        <v>0</v>
      </c>
      <c r="AO28" s="6">
        <v>138960</v>
      </c>
      <c r="AP28" s="3">
        <v>0.49416369832020657</v>
      </c>
      <c r="AQ28">
        <v>0</v>
      </c>
      <c r="AR28">
        <v>0</v>
      </c>
      <c r="AS28">
        <v>0</v>
      </c>
      <c r="AT28">
        <v>0</v>
      </c>
      <c r="AU28" s="2">
        <v>0</v>
      </c>
      <c r="AV28" s="6">
        <v>0</v>
      </c>
      <c r="AW28" s="6">
        <v>0</v>
      </c>
      <c r="AX28" s="6">
        <v>0</v>
      </c>
      <c r="AY28" s="6">
        <v>0</v>
      </c>
      <c r="AZ28" s="3">
        <v>43.643437442659689</v>
      </c>
      <c r="BA28">
        <v>136</v>
      </c>
      <c r="BB28">
        <v>7</v>
      </c>
      <c r="BC28">
        <v>0</v>
      </c>
      <c r="BD28">
        <v>143</v>
      </c>
      <c r="BE28" s="2">
        <v>2956548.1492669438</v>
      </c>
      <c r="BF28" s="6">
        <v>779280</v>
      </c>
      <c r="BG28" s="6">
        <v>593600</v>
      </c>
      <c r="BH28" s="6">
        <v>0</v>
      </c>
      <c r="BI28" s="6">
        <v>1372880</v>
      </c>
      <c r="BJ28" s="3">
        <v>62.935198310029023</v>
      </c>
      <c r="BK28" s="6">
        <v>1361040</v>
      </c>
      <c r="BL28" s="6">
        <v>593600</v>
      </c>
      <c r="BM28" s="6">
        <v>0</v>
      </c>
      <c r="BN28" s="6">
        <v>1954640</v>
      </c>
      <c r="BO28" s="3">
        <v>116.91076080856254</v>
      </c>
      <c r="BP28" s="7">
        <v>115495540</v>
      </c>
      <c r="BQ28" s="2">
        <v>49.125954909235432</v>
      </c>
      <c r="BR28" s="2">
        <v>212.8791379400202</v>
      </c>
    </row>
    <row r="29" spans="1:70">
      <c r="A29">
        <v>2002</v>
      </c>
      <c r="B29" s="1">
        <v>352175</v>
      </c>
      <c r="C29" s="2">
        <v>5034997.662710201</v>
      </c>
      <c r="D29" s="3">
        <v>14.296862817378296</v>
      </c>
      <c r="E29" s="1">
        <v>211305</v>
      </c>
      <c r="F29" s="4">
        <v>0.39926495366013437</v>
      </c>
      <c r="G29" s="4">
        <v>0.2251755242878031</v>
      </c>
      <c r="H29" s="4">
        <v>7.1073588947873287E-2</v>
      </c>
      <c r="I29" s="4">
        <v>0.18556534491520196</v>
      </c>
      <c r="J29" s="5">
        <v>3.3776328643170466</v>
      </c>
      <c r="K29">
        <v>514</v>
      </c>
      <c r="L29">
        <v>25410</v>
      </c>
      <c r="M29">
        <v>41414</v>
      </c>
      <c r="N29">
        <v>67338</v>
      </c>
      <c r="O29" s="6">
        <v>3855000</v>
      </c>
      <c r="P29" s="6">
        <v>63525000</v>
      </c>
      <c r="Q29" s="6">
        <v>49696800</v>
      </c>
      <c r="R29" s="6">
        <f t="shared" si="0"/>
        <v>117076800</v>
      </c>
      <c r="S29" s="2">
        <v>4.4833333333333334</v>
      </c>
      <c r="T29" s="2">
        <v>29.531555555555556</v>
      </c>
      <c r="U29" s="2">
        <v>14.439466666666666</v>
      </c>
      <c r="V29" s="2">
        <v>48.454355555555559</v>
      </c>
      <c r="W29">
        <v>20</v>
      </c>
      <c r="X29">
        <v>0</v>
      </c>
      <c r="Y29">
        <v>0</v>
      </c>
      <c r="Z29">
        <v>20</v>
      </c>
      <c r="AA29" s="2">
        <v>983639.5261638473</v>
      </c>
      <c r="AB29" s="6">
        <v>496000</v>
      </c>
      <c r="AC29" s="6">
        <v>0</v>
      </c>
      <c r="AD29" s="6">
        <v>0</v>
      </c>
      <c r="AE29" s="6">
        <v>496000</v>
      </c>
      <c r="AF29" s="3">
        <v>10.390894671930283</v>
      </c>
      <c r="AG29">
        <v>20</v>
      </c>
      <c r="AH29">
        <v>0</v>
      </c>
      <c r="AI29">
        <v>0</v>
      </c>
      <c r="AJ29">
        <v>20</v>
      </c>
      <c r="AK29" s="2">
        <v>946541.01252853114</v>
      </c>
      <c r="AL29" s="6">
        <v>153600</v>
      </c>
      <c r="AM29" s="6">
        <v>0</v>
      </c>
      <c r="AN29" s="6">
        <v>0</v>
      </c>
      <c r="AO29" s="6">
        <v>153600</v>
      </c>
      <c r="AP29" s="3">
        <v>0.50315568311705627</v>
      </c>
      <c r="AQ29">
        <v>0</v>
      </c>
      <c r="AR29">
        <v>0</v>
      </c>
      <c r="AS29">
        <v>0</v>
      </c>
      <c r="AT29">
        <v>0</v>
      </c>
      <c r="AU29" s="2">
        <v>0</v>
      </c>
      <c r="AV29" s="6">
        <v>0</v>
      </c>
      <c r="AW29" s="6">
        <v>0</v>
      </c>
      <c r="AX29" s="6">
        <v>0</v>
      </c>
      <c r="AY29" s="6">
        <v>0</v>
      </c>
      <c r="AZ29" s="3">
        <v>49.083298352167887</v>
      </c>
      <c r="BA29">
        <v>142</v>
      </c>
      <c r="BB29">
        <v>8</v>
      </c>
      <c r="BC29">
        <v>0</v>
      </c>
      <c r="BD29">
        <v>150</v>
      </c>
      <c r="BE29" s="2">
        <v>3104817.124017823</v>
      </c>
      <c r="BF29" s="6">
        <v>826440</v>
      </c>
      <c r="BG29" s="6">
        <v>688800</v>
      </c>
      <c r="BH29" s="6">
        <v>0</v>
      </c>
      <c r="BI29" s="6">
        <v>1515240</v>
      </c>
      <c r="BJ29" s="3">
        <v>66.168436777608491</v>
      </c>
      <c r="BK29" s="6">
        <v>1476040</v>
      </c>
      <c r="BL29" s="6">
        <v>688800</v>
      </c>
      <c r="BM29" s="6">
        <v>0</v>
      </c>
      <c r="BN29" s="6">
        <v>2164840</v>
      </c>
      <c r="BO29" s="3">
        <v>126.14578548482372</v>
      </c>
      <c r="BP29" s="7">
        <v>119241640</v>
      </c>
      <c r="BQ29" s="2">
        <v>52.38004231211378</v>
      </c>
      <c r="BR29" s="2">
        <v>226.98018335249304</v>
      </c>
    </row>
    <row r="30" spans="1:70">
      <c r="A30">
        <v>2003</v>
      </c>
      <c r="B30" s="1">
        <v>361098</v>
      </c>
      <c r="C30" s="2">
        <v>5317935.3541544499</v>
      </c>
      <c r="D30" s="3">
        <v>14.727124919424782</v>
      </c>
      <c r="E30" s="1">
        <v>216658</v>
      </c>
      <c r="F30" s="4">
        <v>0.40335211285631667</v>
      </c>
      <c r="G30" s="4">
        <v>0.22863728084535553</v>
      </c>
      <c r="H30" s="4">
        <v>7.3967227085265111E-2</v>
      </c>
      <c r="I30" s="4">
        <v>0.18965177288751625</v>
      </c>
      <c r="J30" s="5">
        <v>3.4295592126803331</v>
      </c>
      <c r="K30">
        <v>555</v>
      </c>
      <c r="L30">
        <v>26349</v>
      </c>
      <c r="M30">
        <v>42242</v>
      </c>
      <c r="N30">
        <v>69146</v>
      </c>
      <c r="O30" s="6">
        <v>4162500</v>
      </c>
      <c r="P30" s="6">
        <v>65872500</v>
      </c>
      <c r="Q30" s="6">
        <v>50690400</v>
      </c>
      <c r="R30" s="6">
        <f t="shared" si="0"/>
        <v>120725400</v>
      </c>
      <c r="S30" s="2">
        <v>4.835</v>
      </c>
      <c r="T30" s="2">
        <v>30.577555555555556</v>
      </c>
      <c r="U30" s="2">
        <v>14.706466666666667</v>
      </c>
      <c r="V30" s="2">
        <v>50.119022222222227</v>
      </c>
      <c r="W30">
        <v>21</v>
      </c>
      <c r="X30">
        <v>0</v>
      </c>
      <c r="Y30">
        <v>0</v>
      </c>
      <c r="Z30">
        <v>21</v>
      </c>
      <c r="AA30" s="2">
        <v>1044772.1072452031</v>
      </c>
      <c r="AB30" s="6">
        <v>520800</v>
      </c>
      <c r="AC30" s="6">
        <v>0</v>
      </c>
      <c r="AD30" s="6">
        <v>0</v>
      </c>
      <c r="AE30" s="6">
        <v>520800</v>
      </c>
      <c r="AF30" s="3">
        <v>10.960149317992466</v>
      </c>
      <c r="AG30">
        <v>21</v>
      </c>
      <c r="AH30">
        <v>0</v>
      </c>
      <c r="AI30">
        <v>0</v>
      </c>
      <c r="AJ30">
        <v>21</v>
      </c>
      <c r="AK30" s="2">
        <v>1012941.5080091648</v>
      </c>
      <c r="AL30" s="6">
        <v>159600</v>
      </c>
      <c r="AM30" s="6">
        <v>0</v>
      </c>
      <c r="AN30" s="6">
        <v>0</v>
      </c>
      <c r="AO30" s="6">
        <v>159600</v>
      </c>
      <c r="AP30" s="3">
        <v>0.51290910275641954</v>
      </c>
      <c r="AQ30">
        <v>0</v>
      </c>
      <c r="AR30">
        <v>0</v>
      </c>
      <c r="AS30">
        <v>0</v>
      </c>
      <c r="AT30">
        <v>0</v>
      </c>
      <c r="AU30" s="2">
        <v>0</v>
      </c>
      <c r="AV30" s="6">
        <v>0</v>
      </c>
      <c r="AW30" s="6">
        <v>0</v>
      </c>
      <c r="AX30" s="6">
        <v>0</v>
      </c>
      <c r="AY30" s="6">
        <v>0</v>
      </c>
      <c r="AZ30" s="3">
        <v>54.474668283822581</v>
      </c>
      <c r="BA30">
        <v>149</v>
      </c>
      <c r="BB30">
        <v>8</v>
      </c>
      <c r="BC30">
        <v>0</v>
      </c>
      <c r="BD30">
        <v>157</v>
      </c>
      <c r="BE30" s="2">
        <v>3260221.7389000817</v>
      </c>
      <c r="BF30" s="6">
        <v>826950</v>
      </c>
      <c r="BG30" s="6">
        <v>709600</v>
      </c>
      <c r="BH30" s="6">
        <v>0</v>
      </c>
      <c r="BI30" s="6">
        <v>1536550</v>
      </c>
      <c r="BJ30" s="3">
        <v>69.490829152997648</v>
      </c>
      <c r="BK30" s="6">
        <v>1507350</v>
      </c>
      <c r="BL30" s="6">
        <v>709600</v>
      </c>
      <c r="BM30" s="6">
        <v>0</v>
      </c>
      <c r="BN30" s="6">
        <v>2216950</v>
      </c>
      <c r="BO30" s="3">
        <v>135.4385558575691</v>
      </c>
      <c r="BP30" s="7">
        <v>122942350</v>
      </c>
      <c r="BQ30" s="2">
        <v>55.667273423937395</v>
      </c>
      <c r="BR30" s="2">
        <v>241.2248515037287</v>
      </c>
    </row>
    <row r="31" spans="1:70">
      <c r="A31">
        <v>2004</v>
      </c>
      <c r="B31" s="1">
        <v>370254</v>
      </c>
      <c r="C31" s="2">
        <v>5615669.8584330492</v>
      </c>
      <c r="D31" s="3">
        <v>15.167074112455365</v>
      </c>
      <c r="E31" s="1">
        <v>222152</v>
      </c>
      <c r="F31" s="4">
        <v>0.40738204259350147</v>
      </c>
      <c r="G31" s="4">
        <v>0.23203049003037937</v>
      </c>
      <c r="H31" s="4">
        <v>7.7037763098191797E-2</v>
      </c>
      <c r="I31" s="4">
        <v>0.19382815753117291</v>
      </c>
      <c r="J31" s="5">
        <v>3.4804573504556906</v>
      </c>
      <c r="K31">
        <v>599</v>
      </c>
      <c r="L31">
        <v>27317</v>
      </c>
      <c r="M31">
        <v>43090</v>
      </c>
      <c r="N31">
        <v>71006</v>
      </c>
      <c r="O31" s="6">
        <v>4492500</v>
      </c>
      <c r="P31" s="6">
        <v>68292500</v>
      </c>
      <c r="Q31" s="6">
        <v>51708000</v>
      </c>
      <c r="R31" s="6">
        <f t="shared" si="0"/>
        <v>124493000</v>
      </c>
      <c r="S31" s="2">
        <v>5.206666666666667</v>
      </c>
      <c r="T31" s="2">
        <v>31.653333333333332</v>
      </c>
      <c r="U31" s="2">
        <v>14.979266666666666</v>
      </c>
      <c r="V31" s="2">
        <v>51.839266666666667</v>
      </c>
      <c r="W31">
        <v>22</v>
      </c>
      <c r="X31">
        <v>0</v>
      </c>
      <c r="Y31">
        <v>0</v>
      </c>
      <c r="Z31">
        <v>22</v>
      </c>
      <c r="AA31" s="2">
        <v>1109095.7610782839</v>
      </c>
      <c r="AB31" s="6">
        <v>543400</v>
      </c>
      <c r="AC31" s="6">
        <v>0</v>
      </c>
      <c r="AD31" s="6">
        <v>0</v>
      </c>
      <c r="AE31" s="6">
        <v>543400</v>
      </c>
      <c r="AF31" s="3">
        <v>11.546106584752403</v>
      </c>
      <c r="AG31">
        <v>22</v>
      </c>
      <c r="AH31">
        <v>0</v>
      </c>
      <c r="AI31">
        <v>0</v>
      </c>
      <c r="AJ31">
        <v>22</v>
      </c>
      <c r="AK31" s="2">
        <v>1083429.0996187062</v>
      </c>
      <c r="AL31" s="6">
        <v>173360</v>
      </c>
      <c r="AM31" s="6">
        <v>0</v>
      </c>
      <c r="AN31" s="6">
        <v>0</v>
      </c>
      <c r="AO31" s="6">
        <v>173360</v>
      </c>
      <c r="AP31" s="3">
        <v>0.52342945937871621</v>
      </c>
      <c r="AQ31">
        <v>0</v>
      </c>
      <c r="AR31">
        <v>0</v>
      </c>
      <c r="AS31">
        <v>0</v>
      </c>
      <c r="AT31">
        <v>0</v>
      </c>
      <c r="AU31" s="2">
        <v>0</v>
      </c>
      <c r="AV31" s="6">
        <v>0</v>
      </c>
      <c r="AW31" s="6">
        <v>0</v>
      </c>
      <c r="AX31" s="6">
        <v>0</v>
      </c>
      <c r="AY31" s="6">
        <v>0</v>
      </c>
      <c r="AZ31" s="3">
        <v>59.832055960487772</v>
      </c>
      <c r="BA31">
        <v>156</v>
      </c>
      <c r="BB31">
        <v>8</v>
      </c>
      <c r="BC31">
        <v>0</v>
      </c>
      <c r="BD31">
        <v>164</v>
      </c>
      <c r="BE31" s="2">
        <v>3423144.9977360591</v>
      </c>
      <c r="BF31" s="6">
        <v>886860</v>
      </c>
      <c r="BG31" s="6">
        <v>704400</v>
      </c>
      <c r="BH31" s="6">
        <v>0</v>
      </c>
      <c r="BI31" s="6">
        <v>1591260</v>
      </c>
      <c r="BJ31" s="3">
        <v>72.904798119693609</v>
      </c>
      <c r="BK31" s="6">
        <v>1603620</v>
      </c>
      <c r="BL31" s="6">
        <v>704400</v>
      </c>
      <c r="BM31" s="6">
        <v>0</v>
      </c>
      <c r="BN31" s="6">
        <v>2308020</v>
      </c>
      <c r="BO31" s="3">
        <v>144.80639012431249</v>
      </c>
      <c r="BP31" s="7">
        <v>126801020</v>
      </c>
      <c r="BQ31" s="2">
        <v>58.993697037293742</v>
      </c>
      <c r="BR31" s="2">
        <v>255.6393538282729</v>
      </c>
    </row>
    <row r="32" spans="1:70">
      <c r="A32">
        <v>2005</v>
      </c>
      <c r="B32" s="1">
        <v>379650</v>
      </c>
      <c r="C32" s="2">
        <v>5928964.2856764179</v>
      </c>
      <c r="D32" s="3">
        <v>15.616921600622726</v>
      </c>
      <c r="E32" s="1">
        <v>227790</v>
      </c>
      <c r="F32" s="4">
        <v>0.41135506280810669</v>
      </c>
      <c r="G32" s="4">
        <v>0.2353565091717921</v>
      </c>
      <c r="H32" s="4">
        <v>8.0297789567594133E-2</v>
      </c>
      <c r="I32" s="4">
        <v>0.19809896978259564</v>
      </c>
      <c r="J32" s="5">
        <v>3.5303476375768814</v>
      </c>
      <c r="K32">
        <v>645</v>
      </c>
      <c r="L32">
        <v>28314</v>
      </c>
      <c r="M32">
        <v>43959</v>
      </c>
      <c r="N32">
        <v>72918</v>
      </c>
      <c r="O32" s="6">
        <v>4837500</v>
      </c>
      <c r="P32" s="6">
        <v>70785000</v>
      </c>
      <c r="Q32" s="6">
        <v>52750800</v>
      </c>
      <c r="R32" s="6">
        <f t="shared" si="0"/>
        <v>128373300</v>
      </c>
      <c r="S32" s="2">
        <v>5.5983333333333336</v>
      </c>
      <c r="T32" s="2">
        <v>32.759555555555558</v>
      </c>
      <c r="U32" s="2">
        <v>15.258133333333333</v>
      </c>
      <c r="V32" s="2">
        <v>53.616022222222227</v>
      </c>
      <c r="W32">
        <v>23</v>
      </c>
      <c r="X32">
        <v>0</v>
      </c>
      <c r="Y32">
        <v>0</v>
      </c>
      <c r="Z32">
        <v>23</v>
      </c>
      <c r="AA32" s="2">
        <v>1176775.4026845417</v>
      </c>
      <c r="AB32" s="6">
        <v>570400</v>
      </c>
      <c r="AC32" s="6">
        <v>0</v>
      </c>
      <c r="AD32" s="6">
        <v>0</v>
      </c>
      <c r="AE32" s="6">
        <v>570400</v>
      </c>
      <c r="AF32" s="3">
        <v>12.149163180087825</v>
      </c>
      <c r="AG32">
        <v>23</v>
      </c>
      <c r="AH32">
        <v>0</v>
      </c>
      <c r="AI32">
        <v>0</v>
      </c>
      <c r="AJ32">
        <v>23</v>
      </c>
      <c r="AK32" s="2">
        <v>1158243.0786362025</v>
      </c>
      <c r="AL32" s="6">
        <v>174800</v>
      </c>
      <c r="AM32" s="6">
        <v>0</v>
      </c>
      <c r="AN32" s="6">
        <v>0</v>
      </c>
      <c r="AO32" s="6">
        <v>174800</v>
      </c>
      <c r="AP32" s="3">
        <v>0.53472288789778322</v>
      </c>
      <c r="AQ32">
        <v>0</v>
      </c>
      <c r="AR32">
        <v>0</v>
      </c>
      <c r="AS32">
        <v>0</v>
      </c>
      <c r="AT32">
        <v>0</v>
      </c>
      <c r="AU32" s="2">
        <v>0</v>
      </c>
      <c r="AV32" s="6">
        <v>0</v>
      </c>
      <c r="AW32" s="6">
        <v>0</v>
      </c>
      <c r="AX32" s="6">
        <v>0</v>
      </c>
      <c r="AY32" s="6">
        <v>0</v>
      </c>
      <c r="AZ32" s="3">
        <v>65.169108596309442</v>
      </c>
      <c r="BA32">
        <v>163</v>
      </c>
      <c r="BB32">
        <v>8</v>
      </c>
      <c r="BC32">
        <v>0</v>
      </c>
      <c r="BD32">
        <v>171</v>
      </c>
      <c r="BE32" s="2">
        <v>3593945.804355673</v>
      </c>
      <c r="BF32" s="6">
        <v>955995</v>
      </c>
      <c r="BG32" s="6">
        <v>683600</v>
      </c>
      <c r="BH32" s="6">
        <v>0</v>
      </c>
      <c r="BI32" s="6">
        <v>1639595</v>
      </c>
      <c r="BJ32" s="3">
        <v>76.41284322789565</v>
      </c>
      <c r="BK32" s="6">
        <v>1701195</v>
      </c>
      <c r="BL32" s="6">
        <v>683600</v>
      </c>
      <c r="BM32" s="6">
        <v>0</v>
      </c>
      <c r="BN32" s="6">
        <v>2384795</v>
      </c>
      <c r="BO32" s="3">
        <v>154.26583789219069</v>
      </c>
      <c r="BP32" s="7">
        <v>130758095</v>
      </c>
      <c r="BQ32" s="2">
        <v>62.364558034323871</v>
      </c>
      <c r="BR32" s="2">
        <v>270.24641814873678</v>
      </c>
    </row>
    <row r="33" spans="1:70">
      <c r="A33">
        <v>2006</v>
      </c>
      <c r="B33" s="1">
        <v>389293</v>
      </c>
      <c r="C33" s="2">
        <v>6258614.0109700784</v>
      </c>
      <c r="D33" s="3">
        <v>16.07687271790163</v>
      </c>
      <c r="E33" s="1">
        <v>233575</v>
      </c>
      <c r="F33" s="4">
        <v>0.41527128641526012</v>
      </c>
      <c r="G33" s="4">
        <v>0.23861666872159765</v>
      </c>
      <c r="H33" s="4">
        <v>8.3760770846948523E-2</v>
      </c>
      <c r="I33" s="4">
        <v>0.20246864776876514</v>
      </c>
      <c r="J33" s="5">
        <v>3.5792500308239648</v>
      </c>
      <c r="K33">
        <v>693</v>
      </c>
      <c r="L33">
        <v>29343</v>
      </c>
      <c r="M33">
        <v>44851</v>
      </c>
      <c r="N33">
        <v>74887</v>
      </c>
      <c r="O33" s="6">
        <v>5197500</v>
      </c>
      <c r="P33" s="6">
        <v>73357500</v>
      </c>
      <c r="Q33" s="6">
        <v>53821200</v>
      </c>
      <c r="R33" s="6">
        <f t="shared" si="0"/>
        <v>132376200</v>
      </c>
      <c r="S33" s="2">
        <v>6.01</v>
      </c>
      <c r="T33" s="2">
        <v>33.897111111111109</v>
      </c>
      <c r="U33" s="2">
        <v>15.543200000000001</v>
      </c>
      <c r="V33" s="2">
        <v>55.450311111111105</v>
      </c>
      <c r="W33">
        <v>24</v>
      </c>
      <c r="X33">
        <v>0</v>
      </c>
      <c r="Y33">
        <v>0</v>
      </c>
      <c r="Z33">
        <v>24</v>
      </c>
      <c r="AA33" s="2">
        <v>1247982.1787296601</v>
      </c>
      <c r="AB33" s="6">
        <v>595200</v>
      </c>
      <c r="AC33" s="6">
        <v>0</v>
      </c>
      <c r="AD33" s="6">
        <v>0</v>
      </c>
      <c r="AE33" s="6">
        <v>595200</v>
      </c>
      <c r="AF33" s="3">
        <v>12.769698920872445</v>
      </c>
      <c r="AG33">
        <v>24</v>
      </c>
      <c r="AH33">
        <v>0</v>
      </c>
      <c r="AI33">
        <v>0</v>
      </c>
      <c r="AJ33">
        <v>24</v>
      </c>
      <c r="AK33" s="2">
        <v>1237634.8110675535</v>
      </c>
      <c r="AL33" s="6">
        <v>182400</v>
      </c>
      <c r="AM33" s="6">
        <v>0</v>
      </c>
      <c r="AN33" s="6">
        <v>0</v>
      </c>
      <c r="AO33" s="6">
        <v>182400</v>
      </c>
      <c r="AP33" s="3">
        <v>0.54679548316897242</v>
      </c>
      <c r="AQ33">
        <v>0</v>
      </c>
      <c r="AR33">
        <v>0</v>
      </c>
      <c r="AS33">
        <v>0</v>
      </c>
      <c r="AT33">
        <v>0</v>
      </c>
      <c r="AU33" s="2">
        <v>0</v>
      </c>
      <c r="AV33" s="6">
        <v>0</v>
      </c>
      <c r="AW33" s="6">
        <v>0</v>
      </c>
      <c r="AX33" s="6">
        <v>0</v>
      </c>
      <c r="AY33" s="6">
        <v>0</v>
      </c>
      <c r="AZ33" s="3">
        <v>70.498435624150702</v>
      </c>
      <c r="BA33">
        <v>170</v>
      </c>
      <c r="BB33">
        <v>9</v>
      </c>
      <c r="BC33">
        <v>0</v>
      </c>
      <c r="BD33">
        <v>179</v>
      </c>
      <c r="BE33" s="2">
        <v>3772997.0211728644</v>
      </c>
      <c r="BF33" s="6">
        <v>966450</v>
      </c>
      <c r="BG33" s="6">
        <v>751500</v>
      </c>
      <c r="BH33" s="6">
        <v>0</v>
      </c>
      <c r="BI33" s="6">
        <v>1717950</v>
      </c>
      <c r="BJ33" s="3">
        <v>80.017271668355164</v>
      </c>
      <c r="BK33" s="6">
        <v>1744050</v>
      </c>
      <c r="BL33" s="6">
        <v>751500</v>
      </c>
      <c r="BM33" s="6">
        <v>0</v>
      </c>
      <c r="BN33" s="6">
        <v>2495550</v>
      </c>
      <c r="BO33" s="3">
        <v>163.83220169654729</v>
      </c>
      <c r="BP33" s="7">
        <v>134871750</v>
      </c>
      <c r="BQ33" s="2">
        <v>65.784753842297519</v>
      </c>
      <c r="BR33" s="2">
        <v>285.06726664995591</v>
      </c>
    </row>
    <row r="34" spans="1:70">
      <c r="A34">
        <v>2007</v>
      </c>
      <c r="B34" s="1">
        <v>399190</v>
      </c>
      <c r="C34" s="2">
        <v>6605539.668391793</v>
      </c>
      <c r="D34" s="3">
        <v>16.547357570058853</v>
      </c>
      <c r="E34" s="1">
        <v>239514</v>
      </c>
      <c r="F34" s="4">
        <v>0.41913276066044752</v>
      </c>
      <c r="G34" s="4">
        <v>0.24181227278708542</v>
      </c>
      <c r="H34" s="4">
        <v>8.7442932471624393E-2</v>
      </c>
      <c r="I34" s="4">
        <v>0.20694338732671913</v>
      </c>
      <c r="J34" s="5">
        <v>3.6271840918062814</v>
      </c>
      <c r="K34">
        <v>745</v>
      </c>
      <c r="L34">
        <v>30405</v>
      </c>
      <c r="M34">
        <v>45764</v>
      </c>
      <c r="N34">
        <v>76914</v>
      </c>
      <c r="O34" s="6">
        <v>5587500</v>
      </c>
      <c r="P34" s="6">
        <v>76012500</v>
      </c>
      <c r="Q34" s="6">
        <v>54916800</v>
      </c>
      <c r="R34" s="6">
        <f t="shared" si="0"/>
        <v>136516800</v>
      </c>
      <c r="S34" s="2">
        <v>6.4450000000000003</v>
      </c>
      <c r="T34" s="2">
        <v>35.06711111111111</v>
      </c>
      <c r="U34" s="2">
        <v>15.834666666666667</v>
      </c>
      <c r="V34" s="2">
        <v>57.346777777777774</v>
      </c>
      <c r="W34">
        <v>26</v>
      </c>
      <c r="X34">
        <v>0</v>
      </c>
      <c r="Y34">
        <v>0</v>
      </c>
      <c r="Z34">
        <v>26</v>
      </c>
      <c r="AA34" s="2">
        <v>1322907.7207515631</v>
      </c>
      <c r="AB34" s="6">
        <v>642200</v>
      </c>
      <c r="AC34" s="6">
        <v>0</v>
      </c>
      <c r="AD34" s="6">
        <v>0</v>
      </c>
      <c r="AE34" s="6">
        <v>642200</v>
      </c>
      <c r="AF34" s="3">
        <v>13.408117450328715</v>
      </c>
      <c r="AG34">
        <v>26</v>
      </c>
      <c r="AH34">
        <v>0</v>
      </c>
      <c r="AI34">
        <v>0</v>
      </c>
      <c r="AJ34">
        <v>26</v>
      </c>
      <c r="AK34" s="2">
        <v>1321884.7038634708</v>
      </c>
      <c r="AL34" s="6">
        <v>199680</v>
      </c>
      <c r="AM34" s="6">
        <v>0</v>
      </c>
      <c r="AN34" s="6">
        <v>0</v>
      </c>
      <c r="AO34" s="6">
        <v>199680</v>
      </c>
      <c r="AP34" s="3">
        <v>0.55965412835533268</v>
      </c>
      <c r="AQ34">
        <v>0</v>
      </c>
      <c r="AR34">
        <v>0</v>
      </c>
      <c r="AS34">
        <v>0</v>
      </c>
      <c r="AT34">
        <v>0</v>
      </c>
      <c r="AU34" s="2">
        <v>0</v>
      </c>
      <c r="AV34" s="6">
        <v>0</v>
      </c>
      <c r="AW34" s="6">
        <v>0</v>
      </c>
      <c r="AX34" s="6">
        <v>0</v>
      </c>
      <c r="AY34" s="6">
        <v>0</v>
      </c>
      <c r="AZ34" s="3">
        <v>75.832001904754719</v>
      </c>
      <c r="BA34">
        <v>177</v>
      </c>
      <c r="BB34">
        <v>9</v>
      </c>
      <c r="BC34">
        <v>0</v>
      </c>
      <c r="BD34">
        <v>186</v>
      </c>
      <c r="BE34" s="2">
        <v>3960747.2437767591</v>
      </c>
      <c r="BF34" s="6">
        <v>1014210</v>
      </c>
      <c r="BG34" s="6">
        <v>780750</v>
      </c>
      <c r="BH34" s="6">
        <v>0</v>
      </c>
      <c r="BI34" s="6">
        <v>1794960</v>
      </c>
      <c r="BJ34" s="3">
        <v>83.720548374091464</v>
      </c>
      <c r="BK34" s="6">
        <v>1856090</v>
      </c>
      <c r="BL34" s="6">
        <v>780750</v>
      </c>
      <c r="BM34" s="6">
        <v>0</v>
      </c>
      <c r="BN34" s="6">
        <v>2636840</v>
      </c>
      <c r="BO34" s="3">
        <v>173.52032185753023</v>
      </c>
      <c r="BP34" s="7">
        <v>139153640</v>
      </c>
      <c r="BQ34" s="2">
        <v>69.26012989059241</v>
      </c>
      <c r="BR34" s="2">
        <v>300.12722952590042</v>
      </c>
    </row>
    <row r="35" spans="1:70">
      <c r="A35">
        <v>2008</v>
      </c>
      <c r="B35" s="1">
        <v>409349</v>
      </c>
      <c r="C35" s="2">
        <v>6970595.8572218288</v>
      </c>
      <c r="D35" s="3">
        <v>17.028491231740713</v>
      </c>
      <c r="E35" s="1">
        <v>245609</v>
      </c>
      <c r="F35" s="4">
        <v>0.42293846928004863</v>
      </c>
      <c r="G35" s="4">
        <v>0.24494459965249024</v>
      </c>
      <c r="H35" s="4">
        <v>9.1359199206196506E-2</v>
      </c>
      <c r="I35" s="4">
        <v>0.21152698573971057</v>
      </c>
      <c r="J35" s="5">
        <v>3.6741689947873537</v>
      </c>
      <c r="K35">
        <v>799</v>
      </c>
      <c r="L35">
        <v>31499</v>
      </c>
      <c r="M35">
        <v>46701</v>
      </c>
      <c r="N35">
        <v>78999</v>
      </c>
      <c r="O35" s="6">
        <v>5992500</v>
      </c>
      <c r="P35" s="6">
        <v>78747500</v>
      </c>
      <c r="Q35" s="6">
        <v>56041200</v>
      </c>
      <c r="R35" s="6">
        <f t="shared" si="0"/>
        <v>140781200</v>
      </c>
      <c r="S35" s="2">
        <v>6.9016666666666664</v>
      </c>
      <c r="T35" s="2">
        <v>36.270222222222223</v>
      </c>
      <c r="U35" s="2">
        <v>16.132666666666665</v>
      </c>
      <c r="V35" s="2">
        <v>59.304555555555552</v>
      </c>
      <c r="W35">
        <v>27</v>
      </c>
      <c r="X35">
        <v>0</v>
      </c>
      <c r="Y35">
        <v>0</v>
      </c>
      <c r="Z35">
        <v>27</v>
      </c>
      <c r="AA35" s="2">
        <v>1401736.7746669217</v>
      </c>
      <c r="AB35" s="6">
        <v>658800</v>
      </c>
      <c r="AC35" s="6">
        <v>0</v>
      </c>
      <c r="AD35" s="6">
        <v>0</v>
      </c>
      <c r="AE35" s="6">
        <v>658800</v>
      </c>
      <c r="AF35" s="3">
        <v>14.064812207565693</v>
      </c>
      <c r="AG35">
        <v>27</v>
      </c>
      <c r="AH35">
        <v>0</v>
      </c>
      <c r="AI35">
        <v>0</v>
      </c>
      <c r="AJ35">
        <v>27</v>
      </c>
      <c r="AK35" s="2">
        <v>1411269.0918403349</v>
      </c>
      <c r="AL35" s="6">
        <v>205200</v>
      </c>
      <c r="AM35" s="6">
        <v>0</v>
      </c>
      <c r="AN35" s="6">
        <v>0</v>
      </c>
      <c r="AO35" s="6">
        <v>205200</v>
      </c>
      <c r="AP35" s="3">
        <v>0.57330579209335397</v>
      </c>
      <c r="AQ35">
        <v>0</v>
      </c>
      <c r="AR35">
        <v>0</v>
      </c>
      <c r="AS35">
        <v>0</v>
      </c>
      <c r="AT35">
        <v>0</v>
      </c>
      <c r="AU35" s="2">
        <v>0</v>
      </c>
      <c r="AV35" s="6">
        <v>0</v>
      </c>
      <c r="AW35" s="6">
        <v>0</v>
      </c>
      <c r="AX35" s="6">
        <v>0</v>
      </c>
      <c r="AY35" s="6">
        <v>0</v>
      </c>
      <c r="AZ35" s="3">
        <v>81.180924598129806</v>
      </c>
      <c r="BA35">
        <v>185</v>
      </c>
      <c r="BB35">
        <v>9</v>
      </c>
      <c r="BC35">
        <v>0</v>
      </c>
      <c r="BD35">
        <v>194</v>
      </c>
      <c r="BE35" s="2">
        <v>4157589.9907145728</v>
      </c>
      <c r="BF35" s="6">
        <v>1035075</v>
      </c>
      <c r="BG35" s="6">
        <v>774900</v>
      </c>
      <c r="BH35" s="6">
        <v>0</v>
      </c>
      <c r="BI35" s="6">
        <v>1809975</v>
      </c>
      <c r="BJ35" s="3">
        <v>87.525008572154817</v>
      </c>
      <c r="BK35" s="6">
        <v>1899075</v>
      </c>
      <c r="BL35" s="6">
        <v>774900</v>
      </c>
      <c r="BM35" s="6">
        <v>0</v>
      </c>
      <c r="BN35" s="6">
        <v>2673975</v>
      </c>
      <c r="BO35" s="3">
        <v>183.34405116994367</v>
      </c>
      <c r="BP35" s="7">
        <v>143455175</v>
      </c>
      <c r="BQ35" s="2">
        <v>72.794582017649773</v>
      </c>
      <c r="BR35" s="2">
        <v>315.44318874314899</v>
      </c>
    </row>
    <row r="36" spans="1:70">
      <c r="A36">
        <v>2009</v>
      </c>
      <c r="B36" s="1">
        <v>419778</v>
      </c>
      <c r="C36" s="2">
        <v>7354766.396396949</v>
      </c>
      <c r="D36" s="3">
        <v>17.520609456419699</v>
      </c>
      <c r="E36" s="1">
        <v>251866</v>
      </c>
      <c r="F36" s="4">
        <v>0.42668928310987153</v>
      </c>
      <c r="G36" s="4">
        <v>0.24801490229032314</v>
      </c>
      <c r="H36" s="4">
        <v>9.5527386150514204E-2</v>
      </c>
      <c r="I36" s="4">
        <v>0.21622494840460543</v>
      </c>
      <c r="J36" s="5">
        <v>3.7202235343548469</v>
      </c>
      <c r="K36">
        <v>856</v>
      </c>
      <c r="L36">
        <v>32627</v>
      </c>
      <c r="M36">
        <v>47662</v>
      </c>
      <c r="N36">
        <v>81145</v>
      </c>
      <c r="O36" s="6">
        <v>6420000</v>
      </c>
      <c r="P36" s="6">
        <v>81567500</v>
      </c>
      <c r="Q36" s="6">
        <v>57194400</v>
      </c>
      <c r="R36" s="6">
        <f t="shared" si="0"/>
        <v>145181900</v>
      </c>
      <c r="S36" s="2">
        <v>7.3816666666666668</v>
      </c>
      <c r="T36" s="2">
        <v>37.507777777777775</v>
      </c>
      <c r="U36" s="2">
        <v>16.437466666666666</v>
      </c>
      <c r="V36" s="2">
        <v>61.326911111111109</v>
      </c>
      <c r="W36">
        <v>29</v>
      </c>
      <c r="X36">
        <v>0</v>
      </c>
      <c r="Y36">
        <v>0</v>
      </c>
      <c r="Z36">
        <v>29</v>
      </c>
      <c r="AA36" s="2">
        <v>1484674.8373434125</v>
      </c>
      <c r="AB36" s="6">
        <v>707600</v>
      </c>
      <c r="AC36" s="6">
        <v>0</v>
      </c>
      <c r="AD36" s="6">
        <v>0</v>
      </c>
      <c r="AE36" s="6">
        <v>707600</v>
      </c>
      <c r="AF36" s="3">
        <v>14.740180492914311</v>
      </c>
      <c r="AG36">
        <v>29</v>
      </c>
      <c r="AH36">
        <v>0</v>
      </c>
      <c r="AI36">
        <v>0</v>
      </c>
      <c r="AJ36">
        <v>29</v>
      </c>
      <c r="AK36" s="2">
        <v>1506094.9847994698</v>
      </c>
      <c r="AL36" s="6">
        <v>223880</v>
      </c>
      <c r="AM36" s="6">
        <v>0</v>
      </c>
      <c r="AN36" s="6">
        <v>0</v>
      </c>
      <c r="AO36" s="6">
        <v>223880</v>
      </c>
      <c r="AP36" s="3">
        <v>0.58775780620144003</v>
      </c>
      <c r="AQ36">
        <v>0</v>
      </c>
      <c r="AR36">
        <v>0</v>
      </c>
      <c r="AS36">
        <v>0</v>
      </c>
      <c r="AT36">
        <v>0</v>
      </c>
      <c r="AU36" s="2">
        <v>0</v>
      </c>
      <c r="AV36" s="6">
        <v>0</v>
      </c>
      <c r="AW36" s="6">
        <v>0</v>
      </c>
      <c r="AX36" s="6">
        <v>0</v>
      </c>
      <c r="AY36" s="6">
        <v>0</v>
      </c>
      <c r="AZ36" s="3">
        <v>86.555646081861909</v>
      </c>
      <c r="BA36">
        <v>193</v>
      </c>
      <c r="BB36">
        <v>10</v>
      </c>
      <c r="BC36">
        <v>0</v>
      </c>
      <c r="BD36">
        <v>203</v>
      </c>
      <c r="BE36" s="2">
        <v>4363996.5742540667</v>
      </c>
      <c r="BF36" s="6">
        <v>1071150</v>
      </c>
      <c r="BG36" s="6">
        <v>835000</v>
      </c>
      <c r="BH36" s="6">
        <v>0</v>
      </c>
      <c r="BI36" s="6">
        <v>1906150</v>
      </c>
      <c r="BJ36" s="3">
        <v>91.432982863294015</v>
      </c>
      <c r="BK36" s="6">
        <v>2002630</v>
      </c>
      <c r="BL36" s="6">
        <v>835000</v>
      </c>
      <c r="BM36" s="6">
        <v>0</v>
      </c>
      <c r="BN36" s="6">
        <v>2837630</v>
      </c>
      <c r="BO36" s="3">
        <v>193.31656724427165</v>
      </c>
      <c r="BP36" s="7">
        <v>148019530</v>
      </c>
      <c r="BQ36" s="2">
        <v>76.393043506614831</v>
      </c>
      <c r="BR36" s="2">
        <v>331.03652186199758</v>
      </c>
    </row>
    <row r="37" spans="1:70">
      <c r="A37">
        <v>2010</v>
      </c>
      <c r="B37" s="1">
        <v>430485</v>
      </c>
      <c r="C37" s="2">
        <v>7759085.8545622854</v>
      </c>
      <c r="D37" s="3">
        <v>18.024056249491352</v>
      </c>
      <c r="E37" s="1">
        <v>258291</v>
      </c>
      <c r="F37" s="4">
        <v>0.43038599899480073</v>
      </c>
      <c r="G37" s="4">
        <v>0.25102440886257715</v>
      </c>
      <c r="H37" s="4">
        <v>9.9966723128345536E-2</v>
      </c>
      <c r="I37" s="4">
        <v>0.22104287199257786</v>
      </c>
      <c r="J37" s="5">
        <v>3.7653661329386572</v>
      </c>
      <c r="K37">
        <v>916</v>
      </c>
      <c r="L37">
        <v>33792</v>
      </c>
      <c r="M37">
        <v>48649</v>
      </c>
      <c r="N37">
        <v>83357</v>
      </c>
      <c r="O37" s="6">
        <v>6870000</v>
      </c>
      <c r="P37" s="6">
        <v>84480000</v>
      </c>
      <c r="Q37" s="6">
        <v>58378800</v>
      </c>
      <c r="R37" s="6">
        <f t="shared" si="0"/>
        <v>149728800</v>
      </c>
      <c r="S37" s="2">
        <v>7.8866666666666667</v>
      </c>
      <c r="T37" s="2">
        <v>38.780444444444441</v>
      </c>
      <c r="U37" s="2">
        <v>16.749333333333333</v>
      </c>
      <c r="V37" s="2">
        <v>63.416444444444444</v>
      </c>
      <c r="W37">
        <v>30</v>
      </c>
      <c r="X37">
        <v>0</v>
      </c>
      <c r="Y37">
        <v>0</v>
      </c>
      <c r="Z37">
        <v>30</v>
      </c>
      <c r="AA37" s="2">
        <v>1571937.9568408227</v>
      </c>
      <c r="AB37" s="6">
        <v>726000</v>
      </c>
      <c r="AC37" s="6">
        <v>0</v>
      </c>
      <c r="AD37" s="6">
        <v>0</v>
      </c>
      <c r="AE37" s="6">
        <v>726000</v>
      </c>
      <c r="AF37" s="3">
        <v>15.434639760608521</v>
      </c>
      <c r="AG37">
        <v>30</v>
      </c>
      <c r="AH37">
        <v>0</v>
      </c>
      <c r="AI37">
        <v>0</v>
      </c>
      <c r="AJ37">
        <v>30</v>
      </c>
      <c r="AK37" s="2">
        <v>1606687.0658305422</v>
      </c>
      <c r="AL37" s="6">
        <v>234000</v>
      </c>
      <c r="AM37" s="6">
        <v>0</v>
      </c>
      <c r="AN37" s="6">
        <v>0</v>
      </c>
      <c r="AO37" s="6">
        <v>234000</v>
      </c>
      <c r="AP37" s="3">
        <v>0.60301819904183573</v>
      </c>
      <c r="AQ37">
        <v>0</v>
      </c>
      <c r="AR37">
        <v>0</v>
      </c>
      <c r="AS37">
        <v>0</v>
      </c>
      <c r="AT37">
        <v>0</v>
      </c>
      <c r="AU37" s="2">
        <v>0</v>
      </c>
      <c r="AV37" s="6">
        <v>0</v>
      </c>
      <c r="AW37" s="6">
        <v>0</v>
      </c>
      <c r="AX37" s="6">
        <v>0</v>
      </c>
      <c r="AY37" s="6">
        <v>0</v>
      </c>
      <c r="AZ37" s="3">
        <v>91.966117030227551</v>
      </c>
      <c r="BA37">
        <v>202</v>
      </c>
      <c r="BB37">
        <v>10</v>
      </c>
      <c r="BC37">
        <v>0</v>
      </c>
      <c r="BD37">
        <v>212</v>
      </c>
      <c r="BE37" s="2">
        <v>4580460.8318909202</v>
      </c>
      <c r="BF37" s="6">
        <v>1193820</v>
      </c>
      <c r="BG37" s="6">
        <v>854500</v>
      </c>
      <c r="BH37" s="6">
        <v>0</v>
      </c>
      <c r="BI37" s="6">
        <v>2048320</v>
      </c>
      <c r="BJ37" s="3">
        <v>95.446935387540179</v>
      </c>
      <c r="BK37" s="6">
        <v>2153820</v>
      </c>
      <c r="BL37" s="6">
        <v>854500</v>
      </c>
      <c r="BM37" s="6">
        <v>0</v>
      </c>
      <c r="BN37" s="6">
        <v>3008320</v>
      </c>
      <c r="BO37" s="3">
        <v>203.45071037741809</v>
      </c>
      <c r="BP37" s="7">
        <v>152737120</v>
      </c>
      <c r="BQ37" s="2">
        <v>80.060146446558761</v>
      </c>
      <c r="BR37" s="2">
        <v>346.92730126842127</v>
      </c>
    </row>
    <row r="38" spans="1:70">
      <c r="A38">
        <v>2011</v>
      </c>
      <c r="B38" s="1">
        <v>441479</v>
      </c>
      <c r="C38" s="2">
        <v>8184565.5081913332</v>
      </c>
      <c r="D38" s="3">
        <v>18.538969029537835</v>
      </c>
      <c r="E38" s="1">
        <v>264887</v>
      </c>
      <c r="F38" s="4">
        <v>0.43386263615342863</v>
      </c>
      <c r="G38" s="4">
        <v>0.25397432321200847</v>
      </c>
      <c r="H38" s="4">
        <v>0.10469593584860287</v>
      </c>
      <c r="I38" s="4">
        <v>0.2259560436465349</v>
      </c>
      <c r="J38" s="5">
        <v>3.8096148481801273</v>
      </c>
      <c r="K38">
        <v>978</v>
      </c>
      <c r="L38">
        <v>34979</v>
      </c>
      <c r="M38">
        <v>49675</v>
      </c>
      <c r="N38">
        <v>85632</v>
      </c>
      <c r="O38" s="6">
        <v>7335000</v>
      </c>
      <c r="P38" s="6">
        <v>87447500</v>
      </c>
      <c r="Q38" s="6">
        <v>59610000</v>
      </c>
      <c r="R38" s="6">
        <f t="shared" si="0"/>
        <v>154392500</v>
      </c>
      <c r="S38" s="2">
        <v>8.41</v>
      </c>
      <c r="T38" s="2">
        <v>40.074222222222225</v>
      </c>
      <c r="U38" s="2">
        <v>17.073133333333335</v>
      </c>
      <c r="V38" s="2">
        <v>65.55735555555556</v>
      </c>
      <c r="W38">
        <v>32</v>
      </c>
      <c r="X38">
        <v>0</v>
      </c>
      <c r="Y38">
        <v>0</v>
      </c>
      <c r="Z38">
        <v>32</v>
      </c>
      <c r="AA38" s="2">
        <v>1663741.4208389099</v>
      </c>
      <c r="AB38" s="6">
        <v>780800</v>
      </c>
      <c r="AC38" s="6">
        <v>0</v>
      </c>
      <c r="AD38" s="6">
        <v>0</v>
      </c>
      <c r="AE38" s="6">
        <v>780800</v>
      </c>
      <c r="AF38" s="3">
        <v>16.148596915467063</v>
      </c>
      <c r="AG38">
        <v>32</v>
      </c>
      <c r="AH38">
        <v>0</v>
      </c>
      <c r="AI38">
        <v>0</v>
      </c>
      <c r="AJ38">
        <v>32</v>
      </c>
      <c r="AK38" s="2">
        <v>1713374.2962836097</v>
      </c>
      <c r="AL38" s="6">
        <v>247040</v>
      </c>
      <c r="AM38" s="6">
        <v>0</v>
      </c>
      <c r="AN38" s="6">
        <v>0</v>
      </c>
      <c r="AO38" s="6">
        <v>247040</v>
      </c>
      <c r="AP38" s="3">
        <v>0.61909506016422744</v>
      </c>
      <c r="AQ38">
        <v>0</v>
      </c>
      <c r="AR38">
        <v>0</v>
      </c>
      <c r="AS38">
        <v>0</v>
      </c>
      <c r="AT38">
        <v>0</v>
      </c>
      <c r="AU38" s="2">
        <v>0</v>
      </c>
      <c r="AV38" s="6">
        <v>0</v>
      </c>
      <c r="AW38" s="6">
        <v>0</v>
      </c>
      <c r="AX38" s="6">
        <v>0</v>
      </c>
      <c r="AY38" s="6">
        <v>0</v>
      </c>
      <c r="AZ38" s="3">
        <v>92.296494263879922</v>
      </c>
      <c r="BA38">
        <v>211</v>
      </c>
      <c r="BB38">
        <v>10</v>
      </c>
      <c r="BC38">
        <v>0</v>
      </c>
      <c r="BD38">
        <v>221</v>
      </c>
      <c r="BE38" s="2">
        <v>4807449.7910688138</v>
      </c>
      <c r="BF38" s="6">
        <v>1190040</v>
      </c>
      <c r="BG38" s="6">
        <v>887000</v>
      </c>
      <c r="BH38" s="6">
        <v>0</v>
      </c>
      <c r="BI38" s="6">
        <v>2077040</v>
      </c>
      <c r="BJ38" s="3">
        <v>99.569204686244944</v>
      </c>
      <c r="BK38" s="6">
        <v>2217880</v>
      </c>
      <c r="BL38" s="6">
        <v>887000</v>
      </c>
      <c r="BM38" s="6">
        <v>0</v>
      </c>
      <c r="BN38" s="6">
        <v>3104880</v>
      </c>
      <c r="BO38" s="3">
        <v>208.63339092575615</v>
      </c>
      <c r="BP38" s="7">
        <v>157497380</v>
      </c>
      <c r="BQ38" s="2">
        <v>82.257223944393502</v>
      </c>
      <c r="BR38" s="2">
        <v>356.44797042570519</v>
      </c>
    </row>
    <row r="39" spans="1:70">
      <c r="A39">
        <v>2012</v>
      </c>
      <c r="B39" s="1">
        <v>452768</v>
      </c>
      <c r="C39" s="2">
        <v>8632337.2158274464</v>
      </c>
      <c r="D39" s="3">
        <v>19.065696373920964</v>
      </c>
      <c r="E39" s="1">
        <v>271660</v>
      </c>
      <c r="F39" s="4">
        <v>0.43729457198205213</v>
      </c>
      <c r="G39" s="4">
        <v>0.25686582534368968</v>
      </c>
      <c r="H39" s="4">
        <v>0.10973699689025043</v>
      </c>
      <c r="I39" s="4">
        <v>0.23099956479403641</v>
      </c>
      <c r="J39" s="5">
        <v>3.8529873801553451</v>
      </c>
      <c r="K39">
        <v>1044</v>
      </c>
      <c r="L39">
        <v>36205</v>
      </c>
      <c r="M39">
        <v>50728</v>
      </c>
      <c r="N39">
        <v>87977</v>
      </c>
      <c r="O39" s="6">
        <v>7830000</v>
      </c>
      <c r="P39" s="6">
        <v>90512500</v>
      </c>
      <c r="Q39" s="6">
        <v>60873600</v>
      </c>
      <c r="R39" s="6">
        <f t="shared" si="0"/>
        <v>159216100</v>
      </c>
      <c r="S39" s="2">
        <v>8.9600000000000009</v>
      </c>
      <c r="T39" s="2">
        <v>41.405555555555559</v>
      </c>
      <c r="U39" s="2">
        <v>17.404399999999999</v>
      </c>
      <c r="V39" s="2">
        <v>67.769955555555555</v>
      </c>
      <c r="W39">
        <v>34</v>
      </c>
      <c r="X39">
        <v>0</v>
      </c>
      <c r="Y39">
        <v>0</v>
      </c>
      <c r="Z39">
        <v>34</v>
      </c>
      <c r="AA39" s="2">
        <v>1760320.6445779919</v>
      </c>
      <c r="AB39" s="6">
        <v>839800</v>
      </c>
      <c r="AC39" s="6">
        <v>0</v>
      </c>
      <c r="AD39" s="6">
        <v>0</v>
      </c>
      <c r="AE39" s="6">
        <v>839800</v>
      </c>
      <c r="AF39" s="3">
        <v>16.882463983285472</v>
      </c>
      <c r="AG39">
        <v>34</v>
      </c>
      <c r="AH39">
        <v>0</v>
      </c>
      <c r="AI39">
        <v>0</v>
      </c>
      <c r="AJ39">
        <v>34</v>
      </c>
      <c r="AK39" s="2">
        <v>1826516.7479170291</v>
      </c>
      <c r="AL39" s="6">
        <v>261120</v>
      </c>
      <c r="AM39" s="6">
        <v>0</v>
      </c>
      <c r="AN39" s="6">
        <v>0</v>
      </c>
      <c r="AO39" s="6">
        <v>261120</v>
      </c>
      <c r="AP39" s="3">
        <v>0.63599685174985132</v>
      </c>
      <c r="AQ39">
        <v>0</v>
      </c>
      <c r="AR39">
        <v>0</v>
      </c>
      <c r="AS39">
        <v>0</v>
      </c>
      <c r="AT39">
        <v>0</v>
      </c>
      <c r="AU39" s="2">
        <v>0</v>
      </c>
      <c r="AV39" s="6">
        <v>0</v>
      </c>
      <c r="AW39" s="6">
        <v>0</v>
      </c>
      <c r="AX39" s="6">
        <v>0</v>
      </c>
      <c r="AY39" s="6">
        <v>0</v>
      </c>
      <c r="AZ39" s="3">
        <v>92.89456948564343</v>
      </c>
      <c r="BA39">
        <v>220</v>
      </c>
      <c r="BB39">
        <v>11</v>
      </c>
      <c r="BC39">
        <v>0</v>
      </c>
      <c r="BD39">
        <v>231</v>
      </c>
      <c r="BE39" s="2">
        <v>5045499.8233324252</v>
      </c>
      <c r="BF39" s="6">
        <v>1300200</v>
      </c>
      <c r="BG39" s="6">
        <v>939950</v>
      </c>
      <c r="BH39" s="6">
        <v>0</v>
      </c>
      <c r="BI39" s="6">
        <v>2240150</v>
      </c>
      <c r="BJ39" s="3">
        <v>103.80214157384076</v>
      </c>
      <c r="BK39" s="6">
        <v>2401120</v>
      </c>
      <c r="BL39" s="6">
        <v>939950</v>
      </c>
      <c r="BM39" s="6">
        <v>0</v>
      </c>
      <c r="BN39" s="6">
        <v>3341070</v>
      </c>
      <c r="BO39" s="3">
        <v>214.21517189451953</v>
      </c>
      <c r="BP39" s="7">
        <v>162557170</v>
      </c>
      <c r="BQ39" s="2">
        <v>84.595538235022516</v>
      </c>
      <c r="BR39" s="2">
        <v>366.58066568509759</v>
      </c>
    </row>
    <row r="40" spans="1:70">
      <c r="A40">
        <v>2013</v>
      </c>
      <c r="B40" s="1">
        <v>464362</v>
      </c>
      <c r="C40" s="2">
        <v>9103615.3341475986</v>
      </c>
      <c r="D40" s="3">
        <v>19.604565692601028</v>
      </c>
      <c r="E40" s="1">
        <v>278617</v>
      </c>
      <c r="F40" s="4">
        <v>0.44068158487519782</v>
      </c>
      <c r="G40" s="4">
        <v>0.25970007189702721</v>
      </c>
      <c r="H40" s="4">
        <v>0.11511323101149498</v>
      </c>
      <c r="I40" s="4">
        <v>0.23617870599920596</v>
      </c>
      <c r="J40" s="5">
        <v>3.8955010784554083</v>
      </c>
      <c r="K40">
        <v>1113</v>
      </c>
      <c r="L40">
        <v>37470</v>
      </c>
      <c r="M40">
        <v>51809</v>
      </c>
      <c r="N40">
        <v>90392</v>
      </c>
      <c r="O40" s="6">
        <v>8347500</v>
      </c>
      <c r="P40" s="6">
        <v>93675000</v>
      </c>
      <c r="Q40" s="6">
        <v>62170800</v>
      </c>
      <c r="R40" s="6">
        <f t="shared" si="0"/>
        <v>164193300</v>
      </c>
      <c r="S40" s="2">
        <v>9.5350000000000001</v>
      </c>
      <c r="T40" s="2">
        <v>42.775555555555556</v>
      </c>
      <c r="U40" s="2">
        <v>17.743333333333332</v>
      </c>
      <c r="V40" s="2">
        <v>70.053888888888878</v>
      </c>
      <c r="W40">
        <v>36</v>
      </c>
      <c r="X40">
        <v>0</v>
      </c>
      <c r="Y40">
        <v>0</v>
      </c>
      <c r="Z40">
        <v>36</v>
      </c>
      <c r="AA40" s="2">
        <v>1861926.3305463518</v>
      </c>
      <c r="AB40" s="6">
        <v>892800</v>
      </c>
      <c r="AC40" s="6">
        <v>0</v>
      </c>
      <c r="AD40" s="6">
        <v>0</v>
      </c>
      <c r="AE40" s="6">
        <v>892800</v>
      </c>
      <c r="AF40" s="3">
        <v>17.636667316346429</v>
      </c>
      <c r="AG40">
        <v>36</v>
      </c>
      <c r="AH40">
        <v>0</v>
      </c>
      <c r="AI40">
        <v>0</v>
      </c>
      <c r="AJ40">
        <v>36</v>
      </c>
      <c r="AK40" s="2">
        <v>1946499.6193551705</v>
      </c>
      <c r="AL40" s="6">
        <v>280800</v>
      </c>
      <c r="AM40" s="6">
        <v>0</v>
      </c>
      <c r="AN40" s="6">
        <v>0</v>
      </c>
      <c r="AO40" s="6">
        <v>280800</v>
      </c>
      <c r="AP40" s="3">
        <v>0.65373259561523256</v>
      </c>
      <c r="AQ40">
        <v>0</v>
      </c>
      <c r="AR40">
        <v>0</v>
      </c>
      <c r="AS40">
        <v>0</v>
      </c>
      <c r="AT40">
        <v>0</v>
      </c>
      <c r="AU40" s="2">
        <v>0</v>
      </c>
      <c r="AV40" s="6">
        <v>0</v>
      </c>
      <c r="AW40" s="6">
        <v>0</v>
      </c>
      <c r="AX40" s="6">
        <v>0</v>
      </c>
      <c r="AY40" s="6">
        <v>0</v>
      </c>
      <c r="AZ40" s="3">
        <v>93.746525045814238</v>
      </c>
      <c r="BA40">
        <v>230</v>
      </c>
      <c r="BB40">
        <v>11</v>
      </c>
      <c r="BC40">
        <v>0</v>
      </c>
      <c r="BD40">
        <v>241</v>
      </c>
      <c r="BE40" s="2">
        <v>5295189.3842460774</v>
      </c>
      <c r="BF40" s="6">
        <v>1359300</v>
      </c>
      <c r="BG40" s="6">
        <v>918500</v>
      </c>
      <c r="BH40" s="6">
        <v>0</v>
      </c>
      <c r="BI40" s="6">
        <v>2277800</v>
      </c>
      <c r="BJ40" s="3">
        <v>108.14818718360739</v>
      </c>
      <c r="BK40" s="6">
        <v>2532900</v>
      </c>
      <c r="BL40" s="6">
        <v>918500</v>
      </c>
      <c r="BM40" s="6">
        <v>0</v>
      </c>
      <c r="BN40" s="6">
        <v>3451400</v>
      </c>
      <c r="BO40" s="3">
        <v>220.18511214138329</v>
      </c>
      <c r="BP40" s="7">
        <v>167644700</v>
      </c>
      <c r="BQ40" s="2">
        <v>87.071700309081649</v>
      </c>
      <c r="BR40" s="2">
        <v>377.31070133935384</v>
      </c>
    </row>
    <row r="41" spans="1:70">
      <c r="A41">
        <v>2014</v>
      </c>
      <c r="B41" s="1">
        <v>476271</v>
      </c>
      <c r="C41" s="2">
        <v>9599596.3819309473</v>
      </c>
      <c r="D41" s="3">
        <v>20.155744065733472</v>
      </c>
      <c r="E41" s="1">
        <v>285762</v>
      </c>
      <c r="F41" s="4">
        <v>0.44402222171222122</v>
      </c>
      <c r="G41" s="4">
        <v>0.26247819660843297</v>
      </c>
      <c r="H41" s="4">
        <v>0.12084785715691493</v>
      </c>
      <c r="I41" s="4">
        <v>0.24149731006000136</v>
      </c>
      <c r="J41" s="5">
        <v>3.9371729491264942</v>
      </c>
      <c r="K41">
        <v>1186</v>
      </c>
      <c r="L41">
        <v>38776</v>
      </c>
      <c r="M41">
        <v>52919</v>
      </c>
      <c r="N41">
        <v>92881</v>
      </c>
      <c r="O41" s="6">
        <v>8895000</v>
      </c>
      <c r="P41" s="6">
        <v>96940000</v>
      </c>
      <c r="Q41" s="6">
        <v>63502800</v>
      </c>
      <c r="R41" s="6">
        <f t="shared" si="0"/>
        <v>169337800</v>
      </c>
      <c r="S41" s="2">
        <v>10.136666666666667</v>
      </c>
      <c r="T41" s="2">
        <v>44.184888888888892</v>
      </c>
      <c r="U41" s="2">
        <v>18.090399999999999</v>
      </c>
      <c r="V41" s="2">
        <v>72.411955555555565</v>
      </c>
      <c r="W41">
        <v>38</v>
      </c>
      <c r="X41">
        <v>0</v>
      </c>
      <c r="Y41">
        <v>0</v>
      </c>
      <c r="Z41">
        <v>38</v>
      </c>
      <c r="AA41" s="2">
        <v>1968810.0134689109</v>
      </c>
      <c r="AB41" s="6">
        <v>931000</v>
      </c>
      <c r="AC41" s="6">
        <v>0</v>
      </c>
      <c r="AD41" s="6">
        <v>0</v>
      </c>
      <c r="AE41" s="6">
        <v>931000</v>
      </c>
      <c r="AF41" s="3">
        <v>18.411639801448338</v>
      </c>
      <c r="AG41">
        <v>38</v>
      </c>
      <c r="AH41">
        <v>0</v>
      </c>
      <c r="AI41">
        <v>0</v>
      </c>
      <c r="AJ41">
        <v>38</v>
      </c>
      <c r="AK41" s="2">
        <v>2073714.699658334</v>
      </c>
      <c r="AL41" s="6">
        <v>299440</v>
      </c>
      <c r="AM41" s="6">
        <v>0</v>
      </c>
      <c r="AN41" s="6">
        <v>0</v>
      </c>
      <c r="AO41" s="6">
        <v>299440</v>
      </c>
      <c r="AP41" s="3">
        <v>0.67231171199849848</v>
      </c>
      <c r="AQ41">
        <v>0</v>
      </c>
      <c r="AR41">
        <v>0</v>
      </c>
      <c r="AS41">
        <v>0</v>
      </c>
      <c r="AT41">
        <v>0</v>
      </c>
      <c r="AU41" s="2">
        <v>0</v>
      </c>
      <c r="AV41" s="6">
        <v>0</v>
      </c>
      <c r="AW41" s="6">
        <v>0</v>
      </c>
      <c r="AX41" s="6">
        <v>0</v>
      </c>
      <c r="AY41" s="6">
        <v>0</v>
      </c>
      <c r="AZ41" s="3">
        <v>94.839799248786719</v>
      </c>
      <c r="BA41">
        <v>240</v>
      </c>
      <c r="BB41">
        <v>11</v>
      </c>
      <c r="BC41">
        <v>0</v>
      </c>
      <c r="BD41">
        <v>251</v>
      </c>
      <c r="BE41" s="2">
        <v>5557071.6688037012</v>
      </c>
      <c r="BF41" s="6">
        <v>1353600</v>
      </c>
      <c r="BG41" s="6">
        <v>932800</v>
      </c>
      <c r="BH41" s="6">
        <v>0</v>
      </c>
      <c r="BI41" s="6">
        <v>2286400</v>
      </c>
      <c r="BJ41" s="3">
        <v>112.60980616593577</v>
      </c>
      <c r="BK41" s="6">
        <v>2584040</v>
      </c>
      <c r="BL41" s="6">
        <v>932800</v>
      </c>
      <c r="BM41" s="6">
        <v>0</v>
      </c>
      <c r="BN41" s="6">
        <v>3516840</v>
      </c>
      <c r="BO41" s="3">
        <v>226.53355692816933</v>
      </c>
      <c r="BP41" s="7">
        <v>172854640</v>
      </c>
      <c r="BQ41" s="2">
        <v>89.683653745117468</v>
      </c>
      <c r="BR41" s="2">
        <v>388.62916622884234</v>
      </c>
    </row>
    <row r="42" spans="1:70">
      <c r="A42">
        <v>2015</v>
      </c>
      <c r="B42" s="1">
        <v>488505</v>
      </c>
      <c r="C42" s="2">
        <v>10121639.618054245</v>
      </c>
      <c r="D42" s="3">
        <v>20.719623377558559</v>
      </c>
      <c r="E42" s="1">
        <v>293103</v>
      </c>
      <c r="F42" s="4">
        <v>0.44731682957855667</v>
      </c>
      <c r="G42" s="4">
        <v>0.26520131076483355</v>
      </c>
      <c r="H42" s="4">
        <v>0.12696794035653461</v>
      </c>
      <c r="I42" s="4">
        <v>0.2469609723053709</v>
      </c>
      <c r="J42" s="5">
        <v>3.9780196614725032</v>
      </c>
      <c r="K42">
        <v>1262</v>
      </c>
      <c r="L42">
        <v>40123</v>
      </c>
      <c r="M42">
        <v>54059</v>
      </c>
      <c r="N42">
        <v>95444</v>
      </c>
      <c r="O42" s="6">
        <v>9465000</v>
      </c>
      <c r="P42" s="6">
        <v>100307500</v>
      </c>
      <c r="Q42" s="6">
        <v>64870800</v>
      </c>
      <c r="R42" s="6">
        <f t="shared" si="0"/>
        <v>174643300</v>
      </c>
      <c r="S42" s="2">
        <v>10.766666666666667</v>
      </c>
      <c r="T42" s="2">
        <v>45.635111111111108</v>
      </c>
      <c r="U42" s="2">
        <v>18.445666666666668</v>
      </c>
      <c r="V42" s="2">
        <v>74.847444444444449</v>
      </c>
      <c r="W42">
        <v>40</v>
      </c>
      <c r="X42">
        <v>0</v>
      </c>
      <c r="Y42">
        <v>0</v>
      </c>
      <c r="Z42">
        <v>40</v>
      </c>
      <c r="AA42" s="2">
        <v>2081249.7439846711</v>
      </c>
      <c r="AB42" s="6">
        <v>988000</v>
      </c>
      <c r="AC42" s="6">
        <v>0</v>
      </c>
      <c r="AD42" s="6">
        <v>0</v>
      </c>
      <c r="AE42" s="6">
        <v>988000</v>
      </c>
      <c r="AF42" s="3">
        <v>19.20781184397768</v>
      </c>
      <c r="AG42">
        <v>40</v>
      </c>
      <c r="AH42">
        <v>0</v>
      </c>
      <c r="AI42">
        <v>0</v>
      </c>
      <c r="AJ42">
        <v>40</v>
      </c>
      <c r="AK42" s="2">
        <v>2208595.2484276318</v>
      </c>
      <c r="AL42" s="6">
        <v>305600</v>
      </c>
      <c r="AM42" s="6">
        <v>0</v>
      </c>
      <c r="AN42" s="6">
        <v>0</v>
      </c>
      <c r="AO42" s="6">
        <v>305600</v>
      </c>
      <c r="AP42" s="3">
        <v>0.69174382794304867</v>
      </c>
      <c r="AQ42">
        <v>0</v>
      </c>
      <c r="AR42">
        <v>0</v>
      </c>
      <c r="AS42">
        <v>0</v>
      </c>
      <c r="AT42">
        <v>0</v>
      </c>
      <c r="AU42" s="2">
        <v>0</v>
      </c>
      <c r="AV42" s="6">
        <v>0</v>
      </c>
      <c r="AW42" s="6">
        <v>0</v>
      </c>
      <c r="AX42" s="6">
        <v>0</v>
      </c>
      <c r="AY42" s="6">
        <v>0</v>
      </c>
      <c r="AZ42" s="3">
        <v>96.162945452397423</v>
      </c>
      <c r="BA42">
        <v>250</v>
      </c>
      <c r="BB42">
        <v>12</v>
      </c>
      <c r="BC42">
        <v>0</v>
      </c>
      <c r="BD42">
        <v>262</v>
      </c>
      <c r="BE42" s="2">
        <v>5831794.625641942</v>
      </c>
      <c r="BF42" s="6">
        <v>1387500</v>
      </c>
      <c r="BG42" s="6">
        <v>1009800</v>
      </c>
      <c r="BH42" s="6">
        <v>0</v>
      </c>
      <c r="BI42" s="6">
        <v>2397300</v>
      </c>
      <c r="BJ42" s="3">
        <v>117.18941247114425</v>
      </c>
      <c r="BK42" s="6">
        <v>2681100</v>
      </c>
      <c r="BL42" s="6">
        <v>1009800</v>
      </c>
      <c r="BM42" s="6">
        <v>0</v>
      </c>
      <c r="BN42" s="6">
        <v>3690900</v>
      </c>
      <c r="BO42" s="3">
        <v>233.25191359546238</v>
      </c>
      <c r="BP42" s="7">
        <v>178334200</v>
      </c>
      <c r="BQ42" s="2">
        <v>92.42980741197205</v>
      </c>
      <c r="BR42" s="2">
        <v>400.5291654518789</v>
      </c>
    </row>
    <row r="43" spans="1:70">
      <c r="A43">
        <v>2016</v>
      </c>
      <c r="B43" s="1">
        <v>501075</v>
      </c>
      <c r="C43" s="2">
        <v>10671091.48752442</v>
      </c>
      <c r="D43" s="3">
        <v>21.296395724241719</v>
      </c>
      <c r="E43" s="1">
        <v>300645</v>
      </c>
      <c r="F43" s="4">
        <v>0.45058969123356701</v>
      </c>
      <c r="G43" s="4">
        <v>0.2678705036482002</v>
      </c>
      <c r="H43" s="4">
        <v>0.13350002356813206</v>
      </c>
      <c r="I43" s="4">
        <v>0.25257817991413278</v>
      </c>
      <c r="J43" s="5">
        <v>4.0180575547230033</v>
      </c>
      <c r="K43">
        <v>1342</v>
      </c>
      <c r="L43">
        <v>41517</v>
      </c>
      <c r="M43">
        <v>55229</v>
      </c>
      <c r="N43">
        <v>98088</v>
      </c>
      <c r="O43" s="6">
        <v>10065000</v>
      </c>
      <c r="P43" s="6">
        <v>103792500</v>
      </c>
      <c r="Q43" s="6">
        <v>66274800</v>
      </c>
      <c r="R43" s="6">
        <f t="shared" si="0"/>
        <v>180132300</v>
      </c>
      <c r="S43" s="2">
        <v>11.428333333333333</v>
      </c>
      <c r="T43" s="2">
        <v>47.13</v>
      </c>
      <c r="U43" s="2">
        <v>18.808800000000002</v>
      </c>
      <c r="V43" s="2">
        <v>77.367133333333342</v>
      </c>
      <c r="W43">
        <v>42</v>
      </c>
      <c r="X43">
        <v>0</v>
      </c>
      <c r="Y43">
        <v>0</v>
      </c>
      <c r="Z43">
        <v>42</v>
      </c>
      <c r="AA43" s="2">
        <v>2199525.6700447751</v>
      </c>
      <c r="AB43" s="6">
        <v>1041600</v>
      </c>
      <c r="AC43" s="6">
        <v>0</v>
      </c>
      <c r="AD43" s="6">
        <v>0</v>
      </c>
      <c r="AE43" s="6">
        <v>1041600</v>
      </c>
      <c r="AF43" s="3">
        <v>20.025630257095397</v>
      </c>
      <c r="AG43">
        <v>42</v>
      </c>
      <c r="AH43">
        <v>0</v>
      </c>
      <c r="AI43">
        <v>0</v>
      </c>
      <c r="AJ43">
        <v>42</v>
      </c>
      <c r="AK43" s="2">
        <v>2351583.1378416494</v>
      </c>
      <c r="AL43" s="6">
        <v>322560</v>
      </c>
      <c r="AM43" s="6">
        <v>0</v>
      </c>
      <c r="AN43" s="6">
        <v>0</v>
      </c>
      <c r="AO43" s="6">
        <v>322560</v>
      </c>
      <c r="AP43" s="3">
        <v>0.71203916151634838</v>
      </c>
      <c r="AQ43">
        <v>0</v>
      </c>
      <c r="AR43">
        <v>0</v>
      </c>
      <c r="AS43">
        <v>0</v>
      </c>
      <c r="AT43">
        <v>0</v>
      </c>
      <c r="AU43" s="2">
        <v>0</v>
      </c>
      <c r="AV43" s="6">
        <v>0</v>
      </c>
      <c r="AW43" s="6">
        <v>0</v>
      </c>
      <c r="AX43" s="6">
        <v>0</v>
      </c>
      <c r="AY43" s="6">
        <v>0</v>
      </c>
      <c r="AZ43" s="3">
        <v>97.705630708813644</v>
      </c>
      <c r="BA43">
        <v>261</v>
      </c>
      <c r="BB43">
        <v>12</v>
      </c>
      <c r="BC43">
        <v>0</v>
      </c>
      <c r="BD43">
        <v>273</v>
      </c>
      <c r="BE43" s="2">
        <v>6119982.6796379965</v>
      </c>
      <c r="BF43" s="6">
        <v>1472040</v>
      </c>
      <c r="BG43" s="6">
        <v>1017600</v>
      </c>
      <c r="BH43" s="6">
        <v>0</v>
      </c>
      <c r="BI43" s="6">
        <v>2489640</v>
      </c>
      <c r="BJ43" s="3">
        <v>121.8895305886663</v>
      </c>
      <c r="BK43" s="6">
        <v>2836200</v>
      </c>
      <c r="BL43" s="6">
        <v>1017600</v>
      </c>
      <c r="BM43" s="6">
        <v>0</v>
      </c>
      <c r="BN43" s="6">
        <v>3853800</v>
      </c>
      <c r="BO43" s="3">
        <v>240.33283071609168</v>
      </c>
      <c r="BP43" s="7">
        <v>183986100</v>
      </c>
      <c r="BQ43" s="2">
        <v>95.30998921482751</v>
      </c>
      <c r="BR43" s="2">
        <v>413.00995326425254</v>
      </c>
    </row>
    <row r="44" spans="1:70">
      <c r="A44">
        <v>2017</v>
      </c>
      <c r="B44" s="1">
        <v>513992</v>
      </c>
      <c r="C44" s="2">
        <v>11249419.383312609</v>
      </c>
      <c r="D44" s="3">
        <v>21.886370572523713</v>
      </c>
      <c r="E44" s="1">
        <v>308395</v>
      </c>
      <c r="F44" s="4">
        <v>0.45381733324661672</v>
      </c>
      <c r="G44" s="4">
        <v>0.27048684297127606</v>
      </c>
      <c r="H44" s="4">
        <v>0.1404734824436186</v>
      </c>
      <c r="I44" s="4">
        <v>0.25834924170476692</v>
      </c>
      <c r="J44" s="5">
        <v>4.0573026445691411</v>
      </c>
      <c r="K44">
        <v>1426</v>
      </c>
      <c r="L44">
        <v>42955</v>
      </c>
      <c r="M44">
        <v>56431</v>
      </c>
      <c r="N44">
        <v>100812</v>
      </c>
      <c r="O44" s="6">
        <v>10695000</v>
      </c>
      <c r="P44" s="6">
        <v>107387500</v>
      </c>
      <c r="Q44" s="6">
        <v>67717200</v>
      </c>
      <c r="R44" s="6">
        <f t="shared" si="0"/>
        <v>185799700</v>
      </c>
      <c r="S44" s="2">
        <v>12.118333333333334</v>
      </c>
      <c r="T44" s="2">
        <v>48.668444444444447</v>
      </c>
      <c r="U44" s="2">
        <v>19.180800000000001</v>
      </c>
      <c r="V44" s="2">
        <v>79.967577777777777</v>
      </c>
      <c r="W44">
        <v>44</v>
      </c>
      <c r="X44">
        <v>0</v>
      </c>
      <c r="Y44">
        <v>0</v>
      </c>
      <c r="Z44">
        <v>44</v>
      </c>
      <c r="AA44" s="2">
        <v>2323939.1308745416</v>
      </c>
      <c r="AB44" s="6">
        <v>1091200</v>
      </c>
      <c r="AC44" s="6">
        <v>0</v>
      </c>
      <c r="AD44" s="6">
        <v>0</v>
      </c>
      <c r="AE44" s="6">
        <v>1091200</v>
      </c>
      <c r="AF44" s="3">
        <v>20.865549528222306</v>
      </c>
      <c r="AG44">
        <v>44</v>
      </c>
      <c r="AH44">
        <v>0</v>
      </c>
      <c r="AI44">
        <v>0</v>
      </c>
      <c r="AJ44">
        <v>44</v>
      </c>
      <c r="AK44" s="2">
        <v>2503155.2289271075</v>
      </c>
      <c r="AL44" s="6">
        <v>343200</v>
      </c>
      <c r="AM44" s="6">
        <v>0</v>
      </c>
      <c r="AN44" s="6">
        <v>0</v>
      </c>
      <c r="AO44" s="6">
        <v>343200</v>
      </c>
      <c r="AP44" s="3">
        <v>0.73320834264070445</v>
      </c>
      <c r="AQ44">
        <v>0</v>
      </c>
      <c r="AR44">
        <v>0</v>
      </c>
      <c r="AS44">
        <v>0</v>
      </c>
      <c r="AT44">
        <v>0</v>
      </c>
      <c r="AU44" s="2">
        <v>0</v>
      </c>
      <c r="AV44" s="6">
        <v>0</v>
      </c>
      <c r="AW44" s="6">
        <v>0</v>
      </c>
      <c r="AX44" s="6">
        <v>0</v>
      </c>
      <c r="AY44" s="6">
        <v>0</v>
      </c>
      <c r="AZ44" s="3">
        <v>99.458510345324029</v>
      </c>
      <c r="BA44">
        <v>272</v>
      </c>
      <c r="BB44">
        <v>13</v>
      </c>
      <c r="BC44">
        <v>0</v>
      </c>
      <c r="BD44">
        <v>285</v>
      </c>
      <c r="BE44" s="2">
        <v>6422325.023510959</v>
      </c>
      <c r="BF44" s="6">
        <v>1558560</v>
      </c>
      <c r="BG44" s="6">
        <v>1119300</v>
      </c>
      <c r="BH44" s="6">
        <v>0</v>
      </c>
      <c r="BI44" s="6">
        <v>2677860</v>
      </c>
      <c r="BJ44" s="3">
        <v>126.71271991773828</v>
      </c>
      <c r="BK44" s="6">
        <v>2992960</v>
      </c>
      <c r="BL44" s="6">
        <v>1119300</v>
      </c>
      <c r="BM44" s="6">
        <v>0</v>
      </c>
      <c r="BN44" s="6">
        <v>4112260</v>
      </c>
      <c r="BO44" s="3">
        <v>247.76998813392532</v>
      </c>
      <c r="BP44" s="7">
        <v>189911960</v>
      </c>
      <c r="BQ44" s="2">
        <v>98.32126977351092</v>
      </c>
      <c r="BR44" s="2">
        <v>426.05883568521404</v>
      </c>
    </row>
    <row r="45" spans="1:70">
      <c r="A45">
        <v>2018</v>
      </c>
      <c r="B45" s="1">
        <v>527267</v>
      </c>
      <c r="C45" s="2">
        <v>11858162.185961492</v>
      </c>
      <c r="D45" s="3">
        <v>22.489862225327002</v>
      </c>
      <c r="E45" s="1">
        <v>316360</v>
      </c>
      <c r="F45" s="4">
        <v>0.45699992073945822</v>
      </c>
      <c r="G45" s="4">
        <v>0.27305137530467533</v>
      </c>
      <c r="H45" s="4">
        <v>0.14791937668306454</v>
      </c>
      <c r="I45" s="4">
        <v>0.26427851251062384</v>
      </c>
      <c r="J45" s="5">
        <v>4.0957706295701302</v>
      </c>
      <c r="K45">
        <v>1514</v>
      </c>
      <c r="L45">
        <v>44441</v>
      </c>
      <c r="M45">
        <v>57666</v>
      </c>
      <c r="N45">
        <v>103621</v>
      </c>
      <c r="O45" s="6">
        <v>11355000</v>
      </c>
      <c r="P45" s="6">
        <v>111102500</v>
      </c>
      <c r="Q45" s="6">
        <v>69199200</v>
      </c>
      <c r="R45" s="6">
        <f t="shared" si="0"/>
        <v>191656700</v>
      </c>
      <c r="S45" s="2">
        <v>12.84</v>
      </c>
      <c r="T45" s="2">
        <v>50.251777777777775</v>
      </c>
      <c r="U45" s="2">
        <v>19.561866666666667</v>
      </c>
      <c r="V45" s="2">
        <v>82.653644444444438</v>
      </c>
      <c r="W45">
        <v>46</v>
      </c>
      <c r="X45">
        <v>0</v>
      </c>
      <c r="Y45">
        <v>0</v>
      </c>
      <c r="Z45">
        <v>46</v>
      </c>
      <c r="AA45" s="2">
        <v>2454805.3860527468</v>
      </c>
      <c r="AB45" s="6">
        <v>1136200</v>
      </c>
      <c r="AC45" s="6">
        <v>0</v>
      </c>
      <c r="AD45" s="6">
        <v>0</v>
      </c>
      <c r="AE45" s="6">
        <v>1136200</v>
      </c>
      <c r="AF45" s="3">
        <v>21.728021795019728</v>
      </c>
      <c r="AG45">
        <v>46</v>
      </c>
      <c r="AH45">
        <v>0</v>
      </c>
      <c r="AI45">
        <v>0</v>
      </c>
      <c r="AJ45">
        <v>46</v>
      </c>
      <c r="AK45" s="2">
        <v>2663814.5847238521</v>
      </c>
      <c r="AL45" s="6">
        <v>356960</v>
      </c>
      <c r="AM45" s="6">
        <v>0</v>
      </c>
      <c r="AN45" s="6">
        <v>0</v>
      </c>
      <c r="AO45" s="6">
        <v>356960</v>
      </c>
      <c r="AP45" s="3">
        <v>0.75526220149670742</v>
      </c>
      <c r="AQ45">
        <v>0</v>
      </c>
      <c r="AR45">
        <v>0</v>
      </c>
      <c r="AS45">
        <v>0</v>
      </c>
      <c r="AT45">
        <v>0</v>
      </c>
      <c r="AU45" s="2">
        <v>0</v>
      </c>
      <c r="AV45" s="6">
        <v>0</v>
      </c>
      <c r="AW45" s="6">
        <v>0</v>
      </c>
      <c r="AX45" s="6">
        <v>0</v>
      </c>
      <c r="AY45" s="6">
        <v>0</v>
      </c>
      <c r="AZ45" s="3">
        <v>101.41310407312356</v>
      </c>
      <c r="BA45">
        <v>284</v>
      </c>
      <c r="BB45">
        <v>13</v>
      </c>
      <c r="BC45">
        <v>0</v>
      </c>
      <c r="BD45">
        <v>297</v>
      </c>
      <c r="BE45" s="2">
        <v>6739542.2151848935</v>
      </c>
      <c r="BF45" s="6">
        <v>1588980</v>
      </c>
      <c r="BG45" s="6">
        <v>1110850</v>
      </c>
      <c r="BH45" s="6">
        <v>0</v>
      </c>
      <c r="BI45" s="6">
        <v>2699830</v>
      </c>
      <c r="BJ45" s="3">
        <v>131.66149158005413</v>
      </c>
      <c r="BK45" s="6">
        <v>3082140</v>
      </c>
      <c r="BL45" s="6">
        <v>1110850</v>
      </c>
      <c r="BM45" s="6">
        <v>0</v>
      </c>
      <c r="BN45" s="6">
        <v>4192990</v>
      </c>
      <c r="BO45" s="3">
        <v>255.55787964969414</v>
      </c>
      <c r="BP45" s="7">
        <v>195849690</v>
      </c>
      <c r="BQ45" s="2">
        <v>101.46345722824157</v>
      </c>
      <c r="BR45" s="2">
        <v>439.67498132238012</v>
      </c>
    </row>
    <row r="46" spans="1:70">
      <c r="A46">
        <v>2019</v>
      </c>
      <c r="B46" s="1">
        <v>540914</v>
      </c>
      <c r="C46" s="2">
        <v>12498966.057223683</v>
      </c>
      <c r="D46" s="3">
        <v>23.107122494932064</v>
      </c>
      <c r="E46" s="1">
        <v>324548</v>
      </c>
      <c r="F46" s="4">
        <v>0.46013730771087574</v>
      </c>
      <c r="G46" s="4">
        <v>0.27556512649552556</v>
      </c>
      <c r="H46" s="4">
        <v>0.15586953082720964</v>
      </c>
      <c r="I46" s="4">
        <v>0.27036946620913549</v>
      </c>
      <c r="J46" s="5">
        <v>4.1334768974328835</v>
      </c>
      <c r="K46">
        <v>1606</v>
      </c>
      <c r="L46">
        <v>45975</v>
      </c>
      <c r="M46">
        <v>58937</v>
      </c>
      <c r="N46">
        <v>106518</v>
      </c>
      <c r="O46" s="6">
        <v>12045000</v>
      </c>
      <c r="P46" s="6">
        <v>114937500</v>
      </c>
      <c r="Q46" s="6">
        <v>70724400</v>
      </c>
      <c r="R46" s="6">
        <f t="shared" si="0"/>
        <v>197706900</v>
      </c>
      <c r="S46" s="2">
        <v>13.595000000000001</v>
      </c>
      <c r="T46" s="2">
        <v>51.881555555555558</v>
      </c>
      <c r="U46" s="2">
        <v>19.952533333333335</v>
      </c>
      <c r="V46" s="2">
        <v>85.429088888888899</v>
      </c>
      <c r="W46">
        <v>49</v>
      </c>
      <c r="X46">
        <v>0</v>
      </c>
      <c r="Y46">
        <v>0</v>
      </c>
      <c r="Z46">
        <v>49</v>
      </c>
      <c r="AA46" s="2">
        <v>2592459.6546360934</v>
      </c>
      <c r="AB46" s="6">
        <v>1190700</v>
      </c>
      <c r="AC46" s="6">
        <v>0</v>
      </c>
      <c r="AD46" s="6">
        <v>0</v>
      </c>
      <c r="AE46" s="6">
        <v>1190700</v>
      </c>
      <c r="AF46" s="3">
        <v>22.613517610151117</v>
      </c>
      <c r="AG46">
        <v>49</v>
      </c>
      <c r="AH46">
        <v>0</v>
      </c>
      <c r="AI46">
        <v>0</v>
      </c>
      <c r="AJ46">
        <v>49</v>
      </c>
      <c r="AK46" s="2">
        <v>2834098.4437637525</v>
      </c>
      <c r="AL46" s="6">
        <v>378280</v>
      </c>
      <c r="AM46" s="6">
        <v>0</v>
      </c>
      <c r="AN46" s="6">
        <v>0</v>
      </c>
      <c r="AO46" s="6">
        <v>378280</v>
      </c>
      <c r="AP46" s="3">
        <v>0.77821219217748483</v>
      </c>
      <c r="AQ46">
        <v>0</v>
      </c>
      <c r="AR46">
        <v>0</v>
      </c>
      <c r="AS46">
        <v>0</v>
      </c>
      <c r="AT46">
        <v>0</v>
      </c>
      <c r="AU46" s="2">
        <v>0</v>
      </c>
      <c r="AV46" s="6">
        <v>0</v>
      </c>
      <c r="AW46" s="6">
        <v>0</v>
      </c>
      <c r="AX46" s="6">
        <v>0</v>
      </c>
      <c r="AY46" s="6">
        <v>0</v>
      </c>
      <c r="AZ46" s="3">
        <v>103.56182351055136</v>
      </c>
      <c r="BA46">
        <v>297</v>
      </c>
      <c r="BB46">
        <v>14</v>
      </c>
      <c r="BC46">
        <v>0</v>
      </c>
      <c r="BD46">
        <v>311</v>
      </c>
      <c r="BE46" s="2">
        <v>7072407.9588238373</v>
      </c>
      <c r="BF46" s="6">
        <v>1648350</v>
      </c>
      <c r="BG46" s="6">
        <v>1232700</v>
      </c>
      <c r="BH46" s="6">
        <v>0</v>
      </c>
      <c r="BI46" s="6">
        <v>2881050</v>
      </c>
      <c r="BJ46" s="3">
        <v>136.73848511232018</v>
      </c>
      <c r="BK46" s="6">
        <v>3217330</v>
      </c>
      <c r="BL46" s="6">
        <v>1232700</v>
      </c>
      <c r="BM46" s="6">
        <v>0</v>
      </c>
      <c r="BN46" s="6">
        <v>4450030</v>
      </c>
      <c r="BO46" s="3">
        <v>263.69203842520017</v>
      </c>
      <c r="BP46" s="7">
        <v>202156930</v>
      </c>
      <c r="BQ46" s="2">
        <v>104.73633819422672</v>
      </c>
      <c r="BR46" s="2">
        <v>453.85746550831578</v>
      </c>
    </row>
    <row r="47" spans="1:70">
      <c r="A47">
        <v>2020</v>
      </c>
      <c r="B47" s="1">
        <v>554945</v>
      </c>
      <c r="C47" s="2">
        <v>13173559.735006999</v>
      </c>
      <c r="D47" s="3">
        <v>23.738496130259755</v>
      </c>
      <c r="E47" s="1">
        <v>332967</v>
      </c>
      <c r="F47" s="4">
        <v>0.46323017991253013</v>
      </c>
      <c r="G47" s="4">
        <v>0.27802910207782028</v>
      </c>
      <c r="H47" s="4">
        <v>0.16435840230957777</v>
      </c>
      <c r="I47" s="4">
        <v>0.27662600502750623</v>
      </c>
      <c r="J47" s="5">
        <v>4.1704365311673044</v>
      </c>
      <c r="K47">
        <v>1703</v>
      </c>
      <c r="L47">
        <v>47560</v>
      </c>
      <c r="M47">
        <v>60245</v>
      </c>
      <c r="N47">
        <v>109508</v>
      </c>
      <c r="O47" s="6">
        <v>12772500</v>
      </c>
      <c r="P47" s="6">
        <v>118900000</v>
      </c>
      <c r="Q47" s="6">
        <v>72294000</v>
      </c>
      <c r="R47" s="6">
        <f t="shared" si="0"/>
        <v>203966500</v>
      </c>
      <c r="S47" s="2">
        <v>14.383333333333333</v>
      </c>
      <c r="T47" s="2">
        <v>53.559555555555555</v>
      </c>
      <c r="U47" s="2">
        <v>20.353066666666667</v>
      </c>
      <c r="V47" s="2">
        <v>88.295955555555551</v>
      </c>
      <c r="W47">
        <v>51</v>
      </c>
      <c r="X47">
        <v>0</v>
      </c>
      <c r="Y47">
        <v>0</v>
      </c>
      <c r="Z47">
        <v>51</v>
      </c>
      <c r="AA47" s="2">
        <v>2737253.3977152859</v>
      </c>
      <c r="AB47" s="6">
        <v>1224000</v>
      </c>
      <c r="AC47" s="6">
        <v>0</v>
      </c>
      <c r="AD47" s="6">
        <v>0</v>
      </c>
      <c r="AE47" s="6">
        <v>1224000</v>
      </c>
      <c r="AF47" s="3">
        <v>23.522516187797475</v>
      </c>
      <c r="AG47">
        <v>51</v>
      </c>
      <c r="AH47">
        <v>0</v>
      </c>
      <c r="AI47">
        <v>0</v>
      </c>
      <c r="AJ47">
        <v>51</v>
      </c>
      <c r="AK47" s="2">
        <v>3014574.1482585305</v>
      </c>
      <c r="AL47" s="6">
        <v>393720</v>
      </c>
      <c r="AM47" s="6">
        <v>0</v>
      </c>
      <c r="AN47" s="6">
        <v>0</v>
      </c>
      <c r="AO47" s="6">
        <v>393720</v>
      </c>
      <c r="AP47" s="3">
        <v>0.80207019379248157</v>
      </c>
      <c r="AQ47">
        <v>0</v>
      </c>
      <c r="AR47">
        <v>0</v>
      </c>
      <c r="AS47">
        <v>0</v>
      </c>
      <c r="AT47">
        <v>0</v>
      </c>
      <c r="AU47" s="2">
        <v>0</v>
      </c>
      <c r="AV47" s="6">
        <v>0</v>
      </c>
      <c r="AW47" s="6">
        <v>0</v>
      </c>
      <c r="AX47" s="6">
        <v>0</v>
      </c>
      <c r="AY47" s="6">
        <v>0</v>
      </c>
      <c r="AZ47" s="3">
        <v>105.89786029027955</v>
      </c>
      <c r="BA47">
        <v>309</v>
      </c>
      <c r="BB47">
        <v>14</v>
      </c>
      <c r="BC47">
        <v>1</v>
      </c>
      <c r="BD47">
        <v>324</v>
      </c>
      <c r="BE47" s="2">
        <v>7421732.1890331833</v>
      </c>
      <c r="BF47" s="6">
        <v>1784475</v>
      </c>
      <c r="BG47" s="6">
        <v>1187200</v>
      </c>
      <c r="BH47" s="6">
        <v>2395000</v>
      </c>
      <c r="BI47" s="6">
        <v>5366675</v>
      </c>
      <c r="BJ47" s="3">
        <v>141.94638355321672</v>
      </c>
      <c r="BK47" s="6">
        <v>3402195</v>
      </c>
      <c r="BL47" s="6">
        <v>1187200</v>
      </c>
      <c r="BM47" s="6">
        <v>2395000</v>
      </c>
      <c r="BN47" s="6">
        <v>6984395</v>
      </c>
      <c r="BO47" s="3">
        <v>272.16883022508625</v>
      </c>
      <c r="BP47" s="7">
        <v>210950895</v>
      </c>
      <c r="BQ47" s="2">
        <v>108.13943573419255</v>
      </c>
      <c r="BR47" s="2">
        <v>468.60422151483436</v>
      </c>
    </row>
    <row r="48" spans="1:70">
      <c r="A48">
        <v>2021</v>
      </c>
      <c r="B48" s="1">
        <v>569373</v>
      </c>
      <c r="C48" s="2">
        <v>13883693.320117535</v>
      </c>
      <c r="D48" s="3">
        <v>24.384179299189697</v>
      </c>
      <c r="E48" s="1">
        <v>341623</v>
      </c>
      <c r="F48" s="4">
        <v>0.46627849681914624</v>
      </c>
      <c r="G48" s="4">
        <v>0.2804442876746458</v>
      </c>
      <c r="H48" s="4">
        <v>0.17341974746195468</v>
      </c>
      <c r="I48" s="4">
        <v>0.28305022982453876</v>
      </c>
      <c r="J48" s="5">
        <v>4.2066643151196867</v>
      </c>
      <c r="K48">
        <v>1804</v>
      </c>
      <c r="L48">
        <v>49198</v>
      </c>
      <c r="M48">
        <v>61589</v>
      </c>
      <c r="N48">
        <v>112591</v>
      </c>
      <c r="O48" s="6">
        <v>13530000</v>
      </c>
      <c r="P48" s="6">
        <v>122995000</v>
      </c>
      <c r="Q48" s="6">
        <v>73906800</v>
      </c>
      <c r="R48" s="6">
        <f t="shared" si="0"/>
        <v>210431800</v>
      </c>
      <c r="S48" s="2">
        <v>15.205</v>
      </c>
      <c r="T48" s="2">
        <v>55.287111111111109</v>
      </c>
      <c r="U48" s="2">
        <v>20.763733333333334</v>
      </c>
      <c r="V48" s="2">
        <v>91.255844444444449</v>
      </c>
      <c r="W48">
        <v>54</v>
      </c>
      <c r="X48">
        <v>0</v>
      </c>
      <c r="Y48">
        <v>0</v>
      </c>
      <c r="Z48">
        <v>54</v>
      </c>
      <c r="AA48" s="2">
        <v>2889545.1123504178</v>
      </c>
      <c r="AB48" s="6">
        <v>1339200</v>
      </c>
      <c r="AC48" s="6">
        <v>0</v>
      </c>
      <c r="AD48" s="6">
        <v>0</v>
      </c>
      <c r="AE48" s="6">
        <v>1339200</v>
      </c>
      <c r="AF48" s="3">
        <v>24.455494288476995</v>
      </c>
      <c r="AG48">
        <v>54</v>
      </c>
      <c r="AH48">
        <v>0</v>
      </c>
      <c r="AI48">
        <v>0</v>
      </c>
      <c r="AJ48">
        <v>54</v>
      </c>
      <c r="AK48" s="2">
        <v>3205827.1977968779</v>
      </c>
      <c r="AL48" s="6">
        <v>421200</v>
      </c>
      <c r="AM48" s="6">
        <v>0</v>
      </c>
      <c r="AN48" s="6">
        <v>0</v>
      </c>
      <c r="AO48" s="6">
        <v>421200</v>
      </c>
      <c r="AP48" s="3">
        <v>0.82684827697761054</v>
      </c>
      <c r="AQ48">
        <v>0</v>
      </c>
      <c r="AR48">
        <v>0</v>
      </c>
      <c r="AS48">
        <v>0</v>
      </c>
      <c r="AT48">
        <v>0</v>
      </c>
      <c r="AU48" s="2">
        <v>0</v>
      </c>
      <c r="AV48" s="6">
        <v>0</v>
      </c>
      <c r="AW48" s="6">
        <v>0</v>
      </c>
      <c r="AX48" s="6">
        <v>0</v>
      </c>
      <c r="AY48" s="6">
        <v>0</v>
      </c>
      <c r="AZ48" s="3">
        <v>108.41507399181047</v>
      </c>
      <c r="BA48">
        <v>323</v>
      </c>
      <c r="BB48">
        <v>15</v>
      </c>
      <c r="BC48">
        <v>1</v>
      </c>
      <c r="BD48">
        <v>339</v>
      </c>
      <c r="BE48" s="2">
        <v>7788321.0099702394</v>
      </c>
      <c r="BF48" s="6">
        <v>1850790</v>
      </c>
      <c r="BG48" s="6">
        <v>1311000</v>
      </c>
      <c r="BH48" s="6">
        <v>2458000</v>
      </c>
      <c r="BI48" s="6">
        <v>5619790</v>
      </c>
      <c r="BJ48" s="3">
        <v>147.28782079745645</v>
      </c>
      <c r="BK48" s="6">
        <v>3611190</v>
      </c>
      <c r="BL48" s="6">
        <v>1311000</v>
      </c>
      <c r="BM48" s="6">
        <v>2458000</v>
      </c>
      <c r="BN48" s="6">
        <v>7380190</v>
      </c>
      <c r="BO48" s="3">
        <v>280.98523735472156</v>
      </c>
      <c r="BP48" s="7">
        <v>217811990</v>
      </c>
      <c r="BQ48" s="2">
        <v>111.67232453974979</v>
      </c>
      <c r="BR48" s="2">
        <v>483.91340633891582</v>
      </c>
    </row>
    <row r="49" spans="1:70">
      <c r="A49">
        <v>2022</v>
      </c>
      <c r="B49" s="1">
        <v>584213</v>
      </c>
      <c r="C49" s="2">
        <v>14631364.558194928</v>
      </c>
      <c r="D49" s="3">
        <v>25.044572028001649</v>
      </c>
      <c r="E49" s="1">
        <v>350527</v>
      </c>
      <c r="F49" s="4">
        <v>0.46928371293817112</v>
      </c>
      <c r="G49" s="4">
        <v>0.28281164939244369</v>
      </c>
      <c r="H49" s="4">
        <v>0.18309124100662716</v>
      </c>
      <c r="I49" s="4">
        <v>0.28964549733890077</v>
      </c>
      <c r="J49" s="5">
        <v>4.2421747408866555</v>
      </c>
      <c r="K49">
        <v>1910</v>
      </c>
      <c r="L49">
        <v>50890</v>
      </c>
      <c r="M49">
        <v>62974</v>
      </c>
      <c r="N49">
        <v>115774</v>
      </c>
      <c r="O49" s="6">
        <v>14325000</v>
      </c>
      <c r="P49" s="6">
        <v>127225000</v>
      </c>
      <c r="Q49" s="6">
        <v>75568800</v>
      </c>
      <c r="R49" s="6">
        <f t="shared" si="0"/>
        <v>217118800</v>
      </c>
      <c r="S49" s="2">
        <v>16.063333333333333</v>
      </c>
      <c r="T49" s="2">
        <v>57.066222222222223</v>
      </c>
      <c r="U49" s="2">
        <v>21.184999999999999</v>
      </c>
      <c r="V49" s="2">
        <v>94.314555555555557</v>
      </c>
      <c r="W49">
        <v>57</v>
      </c>
      <c r="X49">
        <v>0</v>
      </c>
      <c r="Y49">
        <v>0</v>
      </c>
      <c r="Z49">
        <v>57</v>
      </c>
      <c r="AA49" s="2">
        <v>3049734.3936537802</v>
      </c>
      <c r="AB49" s="6">
        <v>1402200</v>
      </c>
      <c r="AC49" s="6">
        <v>0</v>
      </c>
      <c r="AD49" s="6">
        <v>0</v>
      </c>
      <c r="AE49" s="6">
        <v>1402200</v>
      </c>
      <c r="AF49" s="3">
        <v>25.412948958835372</v>
      </c>
      <c r="AG49">
        <v>57</v>
      </c>
      <c r="AH49">
        <v>0</v>
      </c>
      <c r="AI49">
        <v>0</v>
      </c>
      <c r="AJ49">
        <v>57</v>
      </c>
      <c r="AK49" s="2">
        <v>3408508.7189537897</v>
      </c>
      <c r="AL49" s="6">
        <v>451440</v>
      </c>
      <c r="AM49" s="6">
        <v>0</v>
      </c>
      <c r="AN49" s="6">
        <v>0</v>
      </c>
      <c r="AO49" s="6">
        <v>451440</v>
      </c>
      <c r="AP49" s="3">
        <v>0.85255916882801142</v>
      </c>
      <c r="AQ49">
        <v>0</v>
      </c>
      <c r="AR49">
        <v>0</v>
      </c>
      <c r="AS49">
        <v>0</v>
      </c>
      <c r="AT49">
        <v>0</v>
      </c>
      <c r="AU49" s="2">
        <v>0</v>
      </c>
      <c r="AV49" s="6">
        <v>0</v>
      </c>
      <c r="AW49" s="6">
        <v>0</v>
      </c>
      <c r="AX49" s="6">
        <v>0</v>
      </c>
      <c r="AY49" s="6">
        <v>0</v>
      </c>
      <c r="AZ49" s="3">
        <v>111.1080446084047</v>
      </c>
      <c r="BA49">
        <v>337</v>
      </c>
      <c r="BB49">
        <v>15</v>
      </c>
      <c r="BC49">
        <v>1</v>
      </c>
      <c r="BD49">
        <v>353</v>
      </c>
      <c r="BE49" s="2">
        <v>8173121.4455873566</v>
      </c>
      <c r="BF49" s="6">
        <v>1900680</v>
      </c>
      <c r="BG49" s="6">
        <v>1272000</v>
      </c>
      <c r="BH49" s="6">
        <v>2416000</v>
      </c>
      <c r="BI49" s="6">
        <v>5588680</v>
      </c>
      <c r="BJ49" s="3">
        <v>152.76557478160248</v>
      </c>
      <c r="BK49" s="6">
        <v>3754320</v>
      </c>
      <c r="BL49" s="6">
        <v>1272000</v>
      </c>
      <c r="BM49" s="6">
        <v>2416000</v>
      </c>
      <c r="BN49" s="6">
        <v>7442320</v>
      </c>
      <c r="BO49" s="3">
        <v>290.13912751767054</v>
      </c>
      <c r="BP49" s="7">
        <v>224561120</v>
      </c>
      <c r="BQ49" s="2">
        <v>115.33610492196783</v>
      </c>
      <c r="BR49" s="2">
        <v>499.78978799519393</v>
      </c>
    </row>
    <row r="50" spans="1:70">
      <c r="A50">
        <v>2023</v>
      </c>
      <c r="B50" s="1">
        <v>599480</v>
      </c>
      <c r="C50" s="2">
        <v>15418608.494341448</v>
      </c>
      <c r="D50" s="3">
        <v>25.719971465839475</v>
      </c>
      <c r="E50" s="1">
        <v>359688</v>
      </c>
      <c r="F50" s="4">
        <v>0.47224688359837413</v>
      </c>
      <c r="G50" s="4">
        <v>0.28513213420746636</v>
      </c>
      <c r="H50" s="4">
        <v>0.19341005354584553</v>
      </c>
      <c r="I50" s="4">
        <v>0.29641358467005968</v>
      </c>
      <c r="J50" s="5">
        <v>4.2769820131119953</v>
      </c>
      <c r="K50">
        <v>2021</v>
      </c>
      <c r="L50">
        <v>52639</v>
      </c>
      <c r="M50">
        <v>64400</v>
      </c>
      <c r="N50">
        <v>119060</v>
      </c>
      <c r="O50" s="6">
        <v>15157500</v>
      </c>
      <c r="P50" s="6">
        <v>131597500</v>
      </c>
      <c r="Q50" s="6">
        <v>77280000</v>
      </c>
      <c r="R50" s="6">
        <f t="shared" si="0"/>
        <v>224035000</v>
      </c>
      <c r="S50" s="2">
        <v>16.96</v>
      </c>
      <c r="T50" s="2">
        <v>58.898666666666664</v>
      </c>
      <c r="U50" s="2">
        <v>21.617266666666666</v>
      </c>
      <c r="V50" s="2">
        <v>97.47593333333333</v>
      </c>
      <c r="W50">
        <v>60</v>
      </c>
      <c r="X50">
        <v>0</v>
      </c>
      <c r="Y50">
        <v>0</v>
      </c>
      <c r="Z50">
        <v>60</v>
      </c>
      <c r="AA50" s="2">
        <v>3218231.0237345109</v>
      </c>
      <c r="AB50" s="6">
        <v>1458000</v>
      </c>
      <c r="AC50" s="6">
        <v>0</v>
      </c>
      <c r="AD50" s="6">
        <v>0</v>
      </c>
      <c r="AE50" s="6">
        <v>1458000</v>
      </c>
      <c r="AF50" s="3">
        <v>26.395386660055298</v>
      </c>
      <c r="AG50">
        <v>60</v>
      </c>
      <c r="AH50">
        <v>0</v>
      </c>
      <c r="AI50">
        <v>0</v>
      </c>
      <c r="AJ50">
        <v>60</v>
      </c>
      <c r="AK50" s="2">
        <v>3623293.4521733392</v>
      </c>
      <c r="AL50" s="6">
        <v>472800</v>
      </c>
      <c r="AM50" s="6">
        <v>0</v>
      </c>
      <c r="AN50" s="6">
        <v>0</v>
      </c>
      <c r="AO50" s="6">
        <v>472800</v>
      </c>
      <c r="AP50" s="3">
        <v>0.87921603207046362</v>
      </c>
      <c r="AQ50">
        <v>0</v>
      </c>
      <c r="AR50">
        <v>0</v>
      </c>
      <c r="AS50">
        <v>0</v>
      </c>
      <c r="AT50">
        <v>0</v>
      </c>
      <c r="AU50" s="2">
        <v>0</v>
      </c>
      <c r="AV50" s="6">
        <v>0</v>
      </c>
      <c r="AW50" s="6">
        <v>0</v>
      </c>
      <c r="AX50" s="6">
        <v>0</v>
      </c>
      <c r="AY50" s="6">
        <v>0</v>
      </c>
      <c r="AZ50" s="3">
        <v>113.97196965887318</v>
      </c>
      <c r="BA50">
        <v>352</v>
      </c>
      <c r="BB50">
        <v>16</v>
      </c>
      <c r="BC50">
        <v>1</v>
      </c>
      <c r="BD50">
        <v>369</v>
      </c>
      <c r="BE50" s="2">
        <v>8577084.0184335969</v>
      </c>
      <c r="BF50" s="6">
        <v>2048640</v>
      </c>
      <c r="BG50" s="6">
        <v>1346400</v>
      </c>
      <c r="BH50" s="6">
        <v>2437000</v>
      </c>
      <c r="BI50" s="6">
        <v>5832040</v>
      </c>
      <c r="BJ50" s="3">
        <v>158.38247262635932</v>
      </c>
      <c r="BK50" s="6">
        <v>3979440</v>
      </c>
      <c r="BL50" s="6">
        <v>1346400</v>
      </c>
      <c r="BM50" s="6">
        <v>2437000</v>
      </c>
      <c r="BN50" s="6">
        <v>7762840</v>
      </c>
      <c r="BO50" s="3">
        <v>299.62904497735826</v>
      </c>
      <c r="BP50" s="7">
        <v>231797840</v>
      </c>
      <c r="BQ50" s="2">
        <v>119.13149349320747</v>
      </c>
      <c r="BR50" s="2">
        <v>516.23647180389912</v>
      </c>
    </row>
    <row r="51" spans="1:70">
      <c r="A51">
        <v>2024</v>
      </c>
      <c r="B51" s="1">
        <v>615190</v>
      </c>
      <c r="C51" s="2">
        <v>16247527.747446347</v>
      </c>
      <c r="D51" s="3">
        <v>26.410584937086668</v>
      </c>
      <c r="E51" s="1">
        <v>369114</v>
      </c>
      <c r="F51" s="4">
        <v>0.47516881847034381</v>
      </c>
      <c r="G51" s="4">
        <v>0.28740667034458017</v>
      </c>
      <c r="H51" s="4">
        <v>0.20441238910295709</v>
      </c>
      <c r="I51" s="4">
        <v>0.30335465506511433</v>
      </c>
      <c r="J51" s="5">
        <v>4.3111000551687022</v>
      </c>
      <c r="K51">
        <v>2137</v>
      </c>
      <c r="L51">
        <v>54448</v>
      </c>
      <c r="M51">
        <v>65868</v>
      </c>
      <c r="N51">
        <v>122453</v>
      </c>
      <c r="O51" s="6">
        <v>16027500</v>
      </c>
      <c r="P51" s="6">
        <v>136120000</v>
      </c>
      <c r="Q51" s="6">
        <v>79041600</v>
      </c>
      <c r="R51" s="6">
        <f t="shared" si="0"/>
        <v>231189100</v>
      </c>
      <c r="S51" s="2">
        <v>17.893333333333334</v>
      </c>
      <c r="T51" s="2">
        <v>60.786666666666669</v>
      </c>
      <c r="U51" s="2">
        <v>22.060866666666666</v>
      </c>
      <c r="V51" s="2">
        <v>100.74086666666668</v>
      </c>
      <c r="W51">
        <v>63</v>
      </c>
      <c r="X51">
        <v>0</v>
      </c>
      <c r="Y51">
        <v>0</v>
      </c>
      <c r="Z51">
        <v>63</v>
      </c>
      <c r="AA51" s="2">
        <v>3395459.5102260951</v>
      </c>
      <c r="AB51" s="6">
        <v>1549800</v>
      </c>
      <c r="AC51" s="6">
        <v>0</v>
      </c>
      <c r="AD51" s="6">
        <v>0</v>
      </c>
      <c r="AE51" s="6">
        <v>1549800</v>
      </c>
      <c r="AF51" s="3">
        <v>27.403323438189041</v>
      </c>
      <c r="AG51">
        <v>63</v>
      </c>
      <c r="AH51">
        <v>0</v>
      </c>
      <c r="AI51">
        <v>0</v>
      </c>
      <c r="AJ51">
        <v>63</v>
      </c>
      <c r="AK51" s="2">
        <v>3850886.4732204429</v>
      </c>
      <c r="AL51" s="6">
        <v>493920</v>
      </c>
      <c r="AM51" s="6">
        <v>0</v>
      </c>
      <c r="AN51" s="6">
        <v>0</v>
      </c>
      <c r="AO51" s="6">
        <v>493920</v>
      </c>
      <c r="AP51" s="3">
        <v>0.90683246731120526</v>
      </c>
      <c r="AQ51">
        <v>0</v>
      </c>
      <c r="AR51">
        <v>0</v>
      </c>
      <c r="AS51">
        <v>0</v>
      </c>
      <c r="AT51">
        <v>0</v>
      </c>
      <c r="AU51" s="2">
        <v>0</v>
      </c>
      <c r="AV51" s="6">
        <v>0</v>
      </c>
      <c r="AW51" s="6">
        <v>0</v>
      </c>
      <c r="AX51" s="6">
        <v>0</v>
      </c>
      <c r="AY51" s="6">
        <v>0</v>
      </c>
      <c r="AZ51" s="3">
        <v>117.00261823180581</v>
      </c>
      <c r="BA51">
        <v>367</v>
      </c>
      <c r="BB51">
        <v>17</v>
      </c>
      <c r="BC51">
        <v>1</v>
      </c>
      <c r="BD51">
        <v>385</v>
      </c>
      <c r="BE51" s="2">
        <v>9001181.7639998086</v>
      </c>
      <c r="BF51" s="6">
        <v>2168970</v>
      </c>
      <c r="BG51" s="6">
        <v>1507900</v>
      </c>
      <c r="BH51" s="6">
        <v>2395000</v>
      </c>
      <c r="BI51" s="6">
        <v>6071870</v>
      </c>
      <c r="BJ51" s="3">
        <v>164.14139184486558</v>
      </c>
      <c r="BK51" s="6">
        <v>4212690</v>
      </c>
      <c r="BL51" s="6">
        <v>1507900</v>
      </c>
      <c r="BM51" s="6">
        <v>2395000</v>
      </c>
      <c r="BN51" s="6">
        <v>8115590</v>
      </c>
      <c r="BO51" s="3">
        <v>309.45416598217162</v>
      </c>
      <c r="BP51" s="7">
        <v>239304690</v>
      </c>
      <c r="BQ51" s="2">
        <v>123.05850979465147</v>
      </c>
      <c r="BR51" s="2">
        <v>533.25354244348978</v>
      </c>
    </row>
    <row r="52" spans="1:70">
      <c r="A52">
        <v>2025</v>
      </c>
      <c r="B52" s="1">
        <v>631358</v>
      </c>
      <c r="C52" s="2">
        <v>17120361.231016487</v>
      </c>
      <c r="D52" s="3">
        <v>27.116724950054465</v>
      </c>
      <c r="E52" s="1">
        <v>378814</v>
      </c>
      <c r="F52" s="4">
        <v>0.47805116141488635</v>
      </c>
      <c r="G52" s="4">
        <v>0.28963616764856731</v>
      </c>
      <c r="H52" s="4">
        <v>0.21613603248488289</v>
      </c>
      <c r="I52" s="4">
        <v>0.31046890864290005</v>
      </c>
      <c r="J52" s="5">
        <v>4.3445425147285093</v>
      </c>
      <c r="K52">
        <v>2258</v>
      </c>
      <c r="L52">
        <v>56318</v>
      </c>
      <c r="M52">
        <v>67380</v>
      </c>
      <c r="N52">
        <v>125956</v>
      </c>
      <c r="O52" s="6">
        <v>16935000</v>
      </c>
      <c r="P52" s="6">
        <v>140795000</v>
      </c>
      <c r="Q52" s="6">
        <v>80856000</v>
      </c>
      <c r="R52" s="6">
        <f t="shared" si="0"/>
        <v>238586000</v>
      </c>
      <c r="S52" s="2">
        <v>18.866666666666667</v>
      </c>
      <c r="T52" s="2">
        <v>62.731999999999999</v>
      </c>
      <c r="U52" s="2">
        <v>22.516133333333332</v>
      </c>
      <c r="V52" s="2">
        <v>104.1148</v>
      </c>
      <c r="W52">
        <v>66</v>
      </c>
      <c r="X52">
        <v>0</v>
      </c>
      <c r="Y52">
        <v>0</v>
      </c>
      <c r="Z52">
        <v>66</v>
      </c>
      <c r="AA52" s="2">
        <v>3581868.8915204653</v>
      </c>
      <c r="AB52" s="6">
        <v>1630200</v>
      </c>
      <c r="AC52" s="6">
        <v>0</v>
      </c>
      <c r="AD52" s="6">
        <v>0</v>
      </c>
      <c r="AE52" s="6">
        <v>1630200</v>
      </c>
      <c r="AF52" s="3">
        <v>28.437272151331626</v>
      </c>
      <c r="AG52">
        <v>66</v>
      </c>
      <c r="AH52">
        <v>0</v>
      </c>
      <c r="AI52">
        <v>0</v>
      </c>
      <c r="AJ52">
        <v>66</v>
      </c>
      <c r="AK52" s="2">
        <v>4092038.5005739285</v>
      </c>
      <c r="AL52" s="6">
        <v>512160</v>
      </c>
      <c r="AM52" s="6">
        <v>0</v>
      </c>
      <c r="AN52" s="6">
        <v>0</v>
      </c>
      <c r="AO52" s="6">
        <v>512160</v>
      </c>
      <c r="AP52" s="3">
        <v>0.93542224578007593</v>
      </c>
      <c r="AQ52">
        <v>0</v>
      </c>
      <c r="AR52">
        <v>0</v>
      </c>
      <c r="AS52">
        <v>0</v>
      </c>
      <c r="AT52">
        <v>0</v>
      </c>
      <c r="AU52" s="2">
        <v>0</v>
      </c>
      <c r="AV52" s="6">
        <v>0</v>
      </c>
      <c r="AW52" s="6">
        <v>0</v>
      </c>
      <c r="AX52" s="6">
        <v>0</v>
      </c>
      <c r="AY52" s="6">
        <v>0</v>
      </c>
      <c r="AZ52" s="3">
        <v>120.1962280831079</v>
      </c>
      <c r="BA52">
        <v>383</v>
      </c>
      <c r="BB52">
        <v>18</v>
      </c>
      <c r="BC52">
        <v>1</v>
      </c>
      <c r="BD52">
        <v>402</v>
      </c>
      <c r="BE52" s="2">
        <v>9446453.8389220946</v>
      </c>
      <c r="BF52" s="6">
        <v>2229060</v>
      </c>
      <c r="BG52" s="6">
        <v>1573200</v>
      </c>
      <c r="BH52" s="6">
        <v>2458000</v>
      </c>
      <c r="BI52" s="6">
        <v>6260260</v>
      </c>
      <c r="BJ52" s="3">
        <v>170.04515365566178</v>
      </c>
      <c r="BK52" s="6">
        <v>4371420</v>
      </c>
      <c r="BL52" s="6">
        <v>1573200</v>
      </c>
      <c r="BM52" s="6">
        <v>2458000</v>
      </c>
      <c r="BN52" s="6">
        <v>8402620</v>
      </c>
      <c r="BO52" s="3">
        <v>319.61407613588142</v>
      </c>
      <c r="BP52" s="7">
        <v>246988620</v>
      </c>
      <c r="BQ52" s="2">
        <v>127.11866284076442</v>
      </c>
      <c r="BR52" s="2">
        <v>550.84753897664586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50B0-3420-4793-9E8A-6337666C2843}">
  <dimension ref="A1:BR52"/>
  <sheetViews>
    <sheetView tabSelected="1" workbookViewId="0">
      <selection activeCell="R3" sqref="R3"/>
    </sheetView>
  </sheetViews>
  <sheetFormatPr defaultRowHeight="14.45"/>
  <cols>
    <col min="1" max="1" width="5" bestFit="1" customWidth="1"/>
    <col min="2" max="2" width="11.42578125" bestFit="1" customWidth="1"/>
    <col min="3" max="3" width="13.7109375" bestFit="1" customWidth="1"/>
    <col min="4" max="4" width="6.5703125" bestFit="1" customWidth="1"/>
    <col min="5" max="5" width="7.5703125" bestFit="1" customWidth="1"/>
    <col min="6" max="9" width="6.5703125" bestFit="1" customWidth="1"/>
    <col min="10" max="10" width="12.7109375" bestFit="1" customWidth="1"/>
    <col min="11" max="11" width="10.28515625" bestFit="1" customWidth="1"/>
    <col min="12" max="12" width="12" bestFit="1" customWidth="1"/>
    <col min="13" max="13" width="11.42578125" bestFit="1" customWidth="1"/>
    <col min="14" max="14" width="7" bestFit="1" customWidth="1"/>
    <col min="15" max="15" width="14.7109375" bestFit="1" customWidth="1"/>
    <col min="16" max="17" width="16" bestFit="1" customWidth="1"/>
    <col min="18" max="18" width="16.28515625" bestFit="1" customWidth="1"/>
    <col min="19" max="19" width="8.140625" bestFit="1" customWidth="1"/>
    <col min="20" max="20" width="8.42578125" bestFit="1" customWidth="1"/>
    <col min="21" max="21" width="8.140625" bestFit="1" customWidth="1"/>
    <col min="22" max="22" width="6.7109375" bestFit="1" customWidth="1"/>
    <col min="23" max="23" width="8.140625" bestFit="1" customWidth="1"/>
    <col min="24" max="24" width="8.42578125" bestFit="1" customWidth="1"/>
    <col min="25" max="25" width="8.28515625" bestFit="1" customWidth="1"/>
    <col min="26" max="26" width="6.7109375" bestFit="1" customWidth="1"/>
    <col min="27" max="28" width="13.7109375" bestFit="1" customWidth="1"/>
    <col min="29" max="29" width="12.7109375" bestFit="1" customWidth="1"/>
    <col min="30" max="31" width="13.7109375" bestFit="1" customWidth="1"/>
    <col min="32" max="32" width="6.5703125" bestFit="1" customWidth="1"/>
    <col min="33" max="33" width="8.28515625" bestFit="1" customWidth="1"/>
    <col min="34" max="34" width="8.5703125" bestFit="1" customWidth="1"/>
    <col min="35" max="35" width="8.42578125" bestFit="1" customWidth="1"/>
    <col min="36" max="36" width="6.7109375" bestFit="1" customWidth="1"/>
    <col min="37" max="37" width="13.7109375" bestFit="1" customWidth="1"/>
    <col min="38" max="40" width="12.7109375" bestFit="1" customWidth="1"/>
    <col min="41" max="41" width="13.7109375" bestFit="1" customWidth="1"/>
    <col min="42" max="42" width="6.7109375" bestFit="1" customWidth="1"/>
    <col min="43" max="43" width="8.28515625" bestFit="1" customWidth="1"/>
    <col min="44" max="44" width="8.7109375" bestFit="1" customWidth="1"/>
    <col min="45" max="45" width="8.5703125" bestFit="1" customWidth="1"/>
    <col min="46" max="46" width="6.85546875" bestFit="1" customWidth="1"/>
    <col min="47" max="47" width="12.7109375" bestFit="1" customWidth="1"/>
    <col min="48" max="48" width="13.7109375" bestFit="1" customWidth="1"/>
    <col min="49" max="49" width="12.7109375" bestFit="1" customWidth="1"/>
    <col min="50" max="50" width="8.28515625" bestFit="1" customWidth="1"/>
    <col min="51" max="51" width="13.7109375" bestFit="1" customWidth="1"/>
    <col min="52" max="52" width="6.7109375" bestFit="1" customWidth="1"/>
    <col min="53" max="53" width="8.7109375" bestFit="1" customWidth="1"/>
    <col min="54" max="54" width="9" bestFit="1" customWidth="1"/>
    <col min="56" max="56" width="7.28515625" bestFit="1" customWidth="1"/>
    <col min="57" max="60" width="12.7109375" bestFit="1" customWidth="1"/>
    <col min="61" max="61" width="13.7109375" bestFit="1" customWidth="1"/>
    <col min="62" max="62" width="7.5703125" bestFit="1" customWidth="1"/>
    <col min="63" max="66" width="13.7109375" bestFit="1" customWidth="1"/>
    <col min="67" max="67" width="7.5703125" bestFit="1" customWidth="1"/>
    <col min="68" max="68" width="14.7109375" bestFit="1" customWidth="1"/>
    <col min="69" max="69" width="7" bestFit="1" customWidth="1"/>
    <col min="70" max="70" width="8.7109375" bestFit="1" customWidth="1"/>
  </cols>
  <sheetData>
    <row r="1" spans="1:7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2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</row>
    <row r="2" spans="1:70">
      <c r="A2">
        <v>1975</v>
      </c>
      <c r="B2" s="1">
        <v>600000</v>
      </c>
      <c r="C2" s="2">
        <v>9536025.7543300819</v>
      </c>
      <c r="D2" s="3">
        <v>15.893376257216802</v>
      </c>
      <c r="E2" s="1">
        <v>360000</v>
      </c>
      <c r="F2" s="4">
        <v>0.41780541521876535</v>
      </c>
      <c r="G2" s="4">
        <v>0.23444444444444443</v>
      </c>
      <c r="H2" s="4">
        <v>0.40607775502623367</v>
      </c>
      <c r="I2" s="4">
        <v>0.34135615390848328</v>
      </c>
      <c r="J2" s="5">
        <v>3.5166666666666666</v>
      </c>
      <c r="K2">
        <v>3036</v>
      </c>
      <c r="L2">
        <v>60455</v>
      </c>
      <c r="M2">
        <v>97228</v>
      </c>
      <c r="N2">
        <v>160719</v>
      </c>
      <c r="O2" s="6">
        <v>22770000</v>
      </c>
      <c r="P2" s="6">
        <v>151137500</v>
      </c>
      <c r="Q2" s="6">
        <v>116673600</v>
      </c>
      <c r="R2" s="6">
        <f>Q2+P2+O2</f>
        <v>290581100</v>
      </c>
      <c r="S2" s="2">
        <v>15.023333333333332</v>
      </c>
      <c r="T2" s="2">
        <v>46.588666666666668</v>
      </c>
      <c r="U2" s="2">
        <v>25.421999999999997</v>
      </c>
      <c r="V2" s="2">
        <v>87.034000000000006</v>
      </c>
      <c r="W2">
        <v>32</v>
      </c>
      <c r="X2">
        <v>0</v>
      </c>
      <c r="Y2">
        <v>0</v>
      </c>
      <c r="Z2">
        <v>32</v>
      </c>
      <c r="AA2" s="2">
        <v>1513801.4103091843</v>
      </c>
      <c r="AB2" s="6">
        <v>778800</v>
      </c>
      <c r="AC2" s="6">
        <v>0</v>
      </c>
      <c r="AD2" s="6">
        <v>0</v>
      </c>
      <c r="AE2" s="6">
        <v>778800</v>
      </c>
      <c r="AF2" s="3">
        <v>1.5224000000000002</v>
      </c>
      <c r="AG2">
        <v>32</v>
      </c>
      <c r="AH2">
        <v>0</v>
      </c>
      <c r="AI2">
        <v>0</v>
      </c>
      <c r="AJ2">
        <v>32</v>
      </c>
      <c r="AK2" s="2">
        <v>6607996.1757288855</v>
      </c>
      <c r="AL2" s="6">
        <v>248000</v>
      </c>
      <c r="AM2" s="6">
        <v>0</v>
      </c>
      <c r="AN2" s="6">
        <v>0</v>
      </c>
      <c r="AO2" s="6">
        <v>248000</v>
      </c>
      <c r="AP2" s="3">
        <v>0.16325000000000003</v>
      </c>
      <c r="AQ2">
        <v>11</v>
      </c>
      <c r="AR2">
        <v>0</v>
      </c>
      <c r="AS2">
        <v>0</v>
      </c>
      <c r="AT2">
        <v>11</v>
      </c>
      <c r="AU2" s="2">
        <v>105404.7214475221</v>
      </c>
      <c r="AV2" s="6">
        <v>97680</v>
      </c>
      <c r="AW2" s="6">
        <v>0</v>
      </c>
      <c r="AX2" s="6">
        <v>0</v>
      </c>
      <c r="AY2" s="6">
        <v>97680</v>
      </c>
      <c r="AZ2" s="3">
        <v>2</v>
      </c>
      <c r="BA2">
        <v>71</v>
      </c>
      <c r="BB2">
        <v>3</v>
      </c>
      <c r="BC2">
        <v>0</v>
      </c>
      <c r="BD2">
        <v>74</v>
      </c>
      <c r="BE2" s="2">
        <v>1308823.4468444898</v>
      </c>
      <c r="BF2" s="6">
        <v>415110</v>
      </c>
      <c r="BG2" s="6">
        <v>264150</v>
      </c>
      <c r="BH2" s="6">
        <v>0</v>
      </c>
      <c r="BI2" s="6">
        <v>679260</v>
      </c>
      <c r="BJ2" s="3">
        <v>20.975999999999999</v>
      </c>
      <c r="BK2" s="6">
        <v>1539590</v>
      </c>
      <c r="BL2" s="6">
        <v>264150</v>
      </c>
      <c r="BM2" s="6">
        <v>0</v>
      </c>
      <c r="BN2" s="6">
        <v>1803740</v>
      </c>
      <c r="BO2" s="3">
        <v>24.661649999999998</v>
      </c>
      <c r="BP2" s="7">
        <v>292474210</v>
      </c>
      <c r="BQ2" s="2">
        <v>33.508694999999996</v>
      </c>
      <c r="BR2" s="2">
        <v>145.20434499999999</v>
      </c>
    </row>
    <row r="3" spans="1:70">
      <c r="A3">
        <v>1976</v>
      </c>
      <c r="B3" s="1">
        <v>613824</v>
      </c>
      <c r="C3" s="2">
        <v>11234814.393659048</v>
      </c>
      <c r="D3" s="3">
        <v>18.302989771757129</v>
      </c>
      <c r="E3" s="1">
        <v>368293</v>
      </c>
      <c r="F3" s="4">
        <v>0.43874569073698721</v>
      </c>
      <c r="G3" s="4">
        <v>0.2513777098176514</v>
      </c>
      <c r="H3" s="4">
        <v>0.43034004888258065</v>
      </c>
      <c r="I3" s="4">
        <v>0.36206271023896058</v>
      </c>
      <c r="J3" s="5">
        <v>3.7706656472647713</v>
      </c>
      <c r="K3">
        <v>3825</v>
      </c>
      <c r="L3">
        <v>67438</v>
      </c>
      <c r="M3">
        <v>96672</v>
      </c>
      <c r="N3">
        <v>167935</v>
      </c>
      <c r="O3" s="6">
        <v>28687500</v>
      </c>
      <c r="P3" s="6">
        <v>168595000</v>
      </c>
      <c r="Q3" s="6">
        <v>116006400</v>
      </c>
      <c r="R3" s="6">
        <v>313288900</v>
      </c>
      <c r="S3" s="2">
        <v>18.656666666666666</v>
      </c>
      <c r="T3" s="2">
        <v>51.351777777777784</v>
      </c>
      <c r="U3" s="2">
        <v>24.769333333333336</v>
      </c>
      <c r="V3" s="2">
        <v>94.777777777777771</v>
      </c>
      <c r="W3">
        <v>48</v>
      </c>
      <c r="X3">
        <v>0</v>
      </c>
      <c r="Y3">
        <v>0</v>
      </c>
      <c r="Z3">
        <v>48</v>
      </c>
      <c r="AA3" s="2">
        <v>2332952.9204411837</v>
      </c>
      <c r="AB3" s="6">
        <v>1165800</v>
      </c>
      <c r="AC3" s="6">
        <v>0</v>
      </c>
      <c r="AD3" s="6">
        <v>0</v>
      </c>
      <c r="AE3" s="6">
        <v>1165800</v>
      </c>
      <c r="AF3" s="3">
        <v>3.0362959652406496</v>
      </c>
      <c r="AG3">
        <v>48</v>
      </c>
      <c r="AH3">
        <v>0</v>
      </c>
      <c r="AI3">
        <v>0</v>
      </c>
      <c r="AJ3">
        <v>48</v>
      </c>
      <c r="AK3" s="2">
        <v>7360688.714263157</v>
      </c>
      <c r="AL3" s="6">
        <v>377440</v>
      </c>
      <c r="AM3" s="6">
        <v>0</v>
      </c>
      <c r="AN3" s="6">
        <v>0</v>
      </c>
      <c r="AO3" s="6">
        <v>377440</v>
      </c>
      <c r="AP3" s="3">
        <v>0.20134999906894599</v>
      </c>
      <c r="AQ3">
        <v>13</v>
      </c>
      <c r="AR3">
        <v>0</v>
      </c>
      <c r="AS3">
        <v>0</v>
      </c>
      <c r="AT3">
        <v>13</v>
      </c>
      <c r="AU3" s="2">
        <v>123511.20818296367</v>
      </c>
      <c r="AV3" s="6">
        <v>109720</v>
      </c>
      <c r="AW3" s="6">
        <v>0</v>
      </c>
      <c r="AX3" s="6">
        <v>0</v>
      </c>
      <c r="AY3" s="6">
        <v>109720</v>
      </c>
      <c r="AZ3" s="3">
        <v>3.9898749534472988</v>
      </c>
      <c r="BA3">
        <v>77</v>
      </c>
      <c r="BB3">
        <v>3</v>
      </c>
      <c r="BC3">
        <v>0</v>
      </c>
      <c r="BD3">
        <v>80</v>
      </c>
      <c r="BE3" s="2">
        <v>1417661.5507717454</v>
      </c>
      <c r="BF3" s="6">
        <v>441030</v>
      </c>
      <c r="BG3" s="6">
        <v>254400</v>
      </c>
      <c r="BH3" s="6">
        <v>0</v>
      </c>
      <c r="BI3" s="6">
        <v>695430</v>
      </c>
      <c r="BJ3" s="3">
        <v>34.166399668958569</v>
      </c>
      <c r="BK3" s="6">
        <v>2093990</v>
      </c>
      <c r="BL3" s="6">
        <v>254400</v>
      </c>
      <c r="BM3" s="6">
        <v>0</v>
      </c>
      <c r="BN3" s="6">
        <v>2348390</v>
      </c>
      <c r="BO3" s="3">
        <v>41.393920586715467</v>
      </c>
      <c r="BP3" s="7">
        <v>315637290</v>
      </c>
      <c r="BQ3" s="2">
        <v>40.85150950934797</v>
      </c>
      <c r="BR3" s="2">
        <v>177.02320787384122</v>
      </c>
    </row>
    <row r="4" spans="1:70">
      <c r="A4">
        <v>1977</v>
      </c>
      <c r="B4" s="1">
        <v>627684</v>
      </c>
      <c r="C4" s="2">
        <v>12746871.805006528</v>
      </c>
      <c r="D4" s="3">
        <v>20.307785135524448</v>
      </c>
      <c r="E4" s="1">
        <v>376608</v>
      </c>
      <c r="F4" s="4">
        <v>0.45417049176284374</v>
      </c>
      <c r="G4" s="4">
        <v>0.26749678968622931</v>
      </c>
      <c r="H4" s="4">
        <v>0.44824466927463485</v>
      </c>
      <c r="I4" s="4">
        <v>0.37903927022663836</v>
      </c>
      <c r="J4" s="5">
        <v>4.0124518452934392</v>
      </c>
      <c r="K4">
        <v>4641</v>
      </c>
      <c r="L4">
        <v>71893</v>
      </c>
      <c r="M4">
        <v>97598</v>
      </c>
      <c r="N4">
        <v>174132</v>
      </c>
      <c r="O4" s="6">
        <v>34807500</v>
      </c>
      <c r="P4" s="6">
        <v>179732500</v>
      </c>
      <c r="Q4" s="6">
        <v>117117600</v>
      </c>
      <c r="R4" s="6">
        <v>331657600</v>
      </c>
      <c r="S4" s="2">
        <v>22.31</v>
      </c>
      <c r="T4" s="2">
        <v>54.00888888888889</v>
      </c>
      <c r="U4" s="2">
        <v>24.75</v>
      </c>
      <c r="V4" s="2">
        <v>101.06888888888888</v>
      </c>
      <c r="W4">
        <v>60</v>
      </c>
      <c r="X4">
        <v>0</v>
      </c>
      <c r="Y4">
        <v>0</v>
      </c>
      <c r="Z4">
        <v>60</v>
      </c>
      <c r="AA4" s="2">
        <v>3002660.0402908348</v>
      </c>
      <c r="AB4" s="6">
        <v>1458700</v>
      </c>
      <c r="AC4" s="6">
        <v>0</v>
      </c>
      <c r="AD4" s="6">
        <v>0</v>
      </c>
      <c r="AE4" s="6">
        <v>1458700</v>
      </c>
      <c r="AF4" s="3">
        <v>4.6744291260884632</v>
      </c>
      <c r="AG4">
        <v>60</v>
      </c>
      <c r="AH4">
        <v>0</v>
      </c>
      <c r="AI4">
        <v>0</v>
      </c>
      <c r="AJ4">
        <v>60</v>
      </c>
      <c r="AK4" s="2">
        <v>8085713.574472771</v>
      </c>
      <c r="AL4" s="6">
        <v>464560</v>
      </c>
      <c r="AM4" s="6">
        <v>0</v>
      </c>
      <c r="AN4" s="6">
        <v>0</v>
      </c>
      <c r="AO4" s="6">
        <v>464560</v>
      </c>
      <c r="AP4" s="3">
        <v>0.24406782727800935</v>
      </c>
      <c r="AQ4">
        <v>14</v>
      </c>
      <c r="AR4">
        <v>0</v>
      </c>
      <c r="AS4">
        <v>0</v>
      </c>
      <c r="AT4">
        <v>14</v>
      </c>
      <c r="AU4" s="2">
        <v>140793.51705907588</v>
      </c>
      <c r="AV4" s="6">
        <v>127400</v>
      </c>
      <c r="AW4" s="6">
        <v>0</v>
      </c>
      <c r="AX4" s="6">
        <v>0</v>
      </c>
      <c r="AY4" s="6">
        <v>127400</v>
      </c>
      <c r="AZ4" s="3">
        <v>6.108601366228104</v>
      </c>
      <c r="BA4">
        <v>83</v>
      </c>
      <c r="BB4">
        <v>3</v>
      </c>
      <c r="BC4">
        <v>0</v>
      </c>
      <c r="BD4">
        <v>86</v>
      </c>
      <c r="BE4" s="2">
        <v>1517704.6731838456</v>
      </c>
      <c r="BF4" s="6">
        <v>479235</v>
      </c>
      <c r="BG4" s="6">
        <v>253750</v>
      </c>
      <c r="BH4" s="6">
        <v>0</v>
      </c>
      <c r="BI4" s="6">
        <v>732985</v>
      </c>
      <c r="BJ4" s="3">
        <v>48.086054166465118</v>
      </c>
      <c r="BK4" s="6">
        <v>2529895</v>
      </c>
      <c r="BL4" s="6">
        <v>253750</v>
      </c>
      <c r="BM4" s="6">
        <v>0</v>
      </c>
      <c r="BN4" s="6">
        <v>2783645</v>
      </c>
      <c r="BO4" s="3">
        <v>59.11315248605969</v>
      </c>
      <c r="BP4" s="7">
        <v>334441245</v>
      </c>
      <c r="BQ4" s="2">
        <v>48.054612412484566</v>
      </c>
      <c r="BR4" s="2">
        <v>208.23665378743314</v>
      </c>
    </row>
    <row r="5" spans="1:70">
      <c r="A5">
        <v>1978</v>
      </c>
      <c r="B5" s="1">
        <v>641503</v>
      </c>
      <c r="C5" s="2">
        <v>14232498.71124671</v>
      </c>
      <c r="D5" s="3">
        <v>22.186176387712468</v>
      </c>
      <c r="E5" s="1">
        <v>384900</v>
      </c>
      <c r="F5" s="4">
        <v>0.46732119407571304</v>
      </c>
      <c r="G5" s="4">
        <v>0.28281396877820836</v>
      </c>
      <c r="H5" s="4">
        <v>0.46665127186402799</v>
      </c>
      <c r="I5" s="4">
        <v>0.39509626969795775</v>
      </c>
      <c r="J5" s="5">
        <v>4.242209531673125</v>
      </c>
      <c r="K5">
        <v>5525</v>
      </c>
      <c r="L5">
        <v>76060</v>
      </c>
      <c r="M5">
        <v>98647</v>
      </c>
      <c r="N5">
        <v>180232</v>
      </c>
      <c r="O5" s="6">
        <v>41437500</v>
      </c>
      <c r="P5" s="6">
        <v>190150000</v>
      </c>
      <c r="Q5" s="6">
        <v>118376400</v>
      </c>
      <c r="R5" s="6">
        <v>349963900</v>
      </c>
      <c r="S5" s="2">
        <v>26.198333333333331</v>
      </c>
      <c r="T5" s="2">
        <v>56.417777777777786</v>
      </c>
      <c r="U5" s="2">
        <v>24.792999999999999</v>
      </c>
      <c r="V5" s="2">
        <v>107.40911111111112</v>
      </c>
      <c r="W5">
        <v>70</v>
      </c>
      <c r="X5">
        <v>0</v>
      </c>
      <c r="Y5">
        <v>0</v>
      </c>
      <c r="Z5">
        <v>70</v>
      </c>
      <c r="AA5" s="2">
        <v>3633664.7908619968</v>
      </c>
      <c r="AB5" s="6">
        <v>1726000</v>
      </c>
      <c r="AC5" s="6">
        <v>0</v>
      </c>
      <c r="AD5" s="6">
        <v>0</v>
      </c>
      <c r="AE5" s="6">
        <v>1726000</v>
      </c>
      <c r="AF5" s="3">
        <v>6.4107876933781922</v>
      </c>
      <c r="AG5">
        <v>70</v>
      </c>
      <c r="AH5">
        <v>0</v>
      </c>
      <c r="AI5">
        <v>0</v>
      </c>
      <c r="AJ5">
        <v>70</v>
      </c>
      <c r="AK5" s="2">
        <v>8826437.3613349069</v>
      </c>
      <c r="AL5" s="6">
        <v>540480</v>
      </c>
      <c r="AM5" s="6">
        <v>0</v>
      </c>
      <c r="AN5" s="6">
        <v>0</v>
      </c>
      <c r="AO5" s="6">
        <v>540480</v>
      </c>
      <c r="AP5" s="3">
        <v>0.29076787232185758</v>
      </c>
      <c r="AQ5">
        <v>16</v>
      </c>
      <c r="AR5">
        <v>0</v>
      </c>
      <c r="AS5">
        <v>0</v>
      </c>
      <c r="AT5">
        <v>16</v>
      </c>
      <c r="AU5" s="2">
        <v>158484.23011608355</v>
      </c>
      <c r="AV5" s="6">
        <v>152640</v>
      </c>
      <c r="AW5" s="6">
        <v>0</v>
      </c>
      <c r="AX5" s="6">
        <v>0</v>
      </c>
      <c r="AY5" s="6">
        <v>152640</v>
      </c>
      <c r="AZ5" s="3">
        <v>8.3210172500392794</v>
      </c>
      <c r="BA5">
        <v>88</v>
      </c>
      <c r="BB5">
        <v>3</v>
      </c>
      <c r="BC5">
        <v>0</v>
      </c>
      <c r="BD5">
        <v>91</v>
      </c>
      <c r="BE5" s="2">
        <v>1613912.3289337214</v>
      </c>
      <c r="BF5" s="6">
        <v>502845</v>
      </c>
      <c r="BG5" s="6">
        <v>258300</v>
      </c>
      <c r="BH5" s="6">
        <v>0</v>
      </c>
      <c r="BI5" s="6">
        <v>761145</v>
      </c>
      <c r="BJ5" s="3">
        <v>62.485299367485624</v>
      </c>
      <c r="BK5" s="6">
        <v>2921965</v>
      </c>
      <c r="BL5" s="6">
        <v>258300</v>
      </c>
      <c r="BM5" s="6">
        <v>0</v>
      </c>
      <c r="BN5" s="6">
        <v>3180265</v>
      </c>
      <c r="BO5" s="3">
        <v>77.507872183224947</v>
      </c>
      <c r="BP5" s="7">
        <v>353144165</v>
      </c>
      <c r="BQ5" s="2">
        <v>55.475094988300818</v>
      </c>
      <c r="BR5" s="2">
        <v>240.39207828263687</v>
      </c>
    </row>
    <row r="6" spans="1:70">
      <c r="A6">
        <v>1979</v>
      </c>
      <c r="B6" s="1">
        <v>655253</v>
      </c>
      <c r="C6" s="2">
        <v>15734352.273741286</v>
      </c>
      <c r="D6" s="3">
        <v>24.012636758231228</v>
      </c>
      <c r="E6" s="1">
        <v>393149</v>
      </c>
      <c r="F6" s="4">
        <v>0.47910508255162332</v>
      </c>
      <c r="G6" s="4">
        <v>0.29734747844610648</v>
      </c>
      <c r="H6" s="4">
        <v>0.48569272950425618</v>
      </c>
      <c r="I6" s="4">
        <v>0.41053691407372045</v>
      </c>
      <c r="J6" s="5">
        <v>4.4602121766915976</v>
      </c>
      <c r="K6">
        <v>6481</v>
      </c>
      <c r="L6">
        <v>80072</v>
      </c>
      <c r="M6">
        <v>99727</v>
      </c>
      <c r="N6">
        <v>186280</v>
      </c>
      <c r="O6" s="6">
        <v>48607500</v>
      </c>
      <c r="P6" s="6">
        <v>200180000</v>
      </c>
      <c r="Q6" s="6">
        <v>119672400</v>
      </c>
      <c r="R6" s="6">
        <v>368459900</v>
      </c>
      <c r="S6" s="2">
        <v>30.318333333333335</v>
      </c>
      <c r="T6" s="2">
        <v>58.680888888888902</v>
      </c>
      <c r="U6" s="2">
        <v>24.865933333333331</v>
      </c>
      <c r="V6" s="2">
        <v>113.86515555555556</v>
      </c>
      <c r="W6">
        <v>83</v>
      </c>
      <c r="X6">
        <v>0</v>
      </c>
      <c r="Y6">
        <v>0</v>
      </c>
      <c r="Z6">
        <v>83</v>
      </c>
      <c r="AA6" s="2">
        <v>4255970.984839743</v>
      </c>
      <c r="AB6" s="6">
        <v>2015400</v>
      </c>
      <c r="AC6" s="6">
        <v>0</v>
      </c>
      <c r="AD6" s="6">
        <v>0</v>
      </c>
      <c r="AE6" s="6">
        <v>2015400</v>
      </c>
      <c r="AF6" s="3">
        <v>8.2358452443715819</v>
      </c>
      <c r="AG6">
        <v>83</v>
      </c>
      <c r="AH6">
        <v>0</v>
      </c>
      <c r="AI6">
        <v>0</v>
      </c>
      <c r="AJ6">
        <v>83</v>
      </c>
      <c r="AK6" s="2">
        <v>9592540.5444736667</v>
      </c>
      <c r="AL6" s="6">
        <v>640240</v>
      </c>
      <c r="AM6" s="6">
        <v>0</v>
      </c>
      <c r="AN6" s="6">
        <v>0</v>
      </c>
      <c r="AO6" s="6">
        <v>640240</v>
      </c>
      <c r="AP6" s="3">
        <v>0.34123335791816833</v>
      </c>
      <c r="AQ6">
        <v>18</v>
      </c>
      <c r="AR6">
        <v>0</v>
      </c>
      <c r="AS6">
        <v>0</v>
      </c>
      <c r="AT6">
        <v>18</v>
      </c>
      <c r="AU6" s="2">
        <v>177103.13543777651</v>
      </c>
      <c r="AV6" s="6">
        <v>183600</v>
      </c>
      <c r="AW6" s="6">
        <v>0</v>
      </c>
      <c r="AX6" s="6">
        <v>0</v>
      </c>
      <c r="AY6" s="6">
        <v>183600</v>
      </c>
      <c r="AZ6" s="3">
        <v>10.61476195833446</v>
      </c>
      <c r="BA6">
        <v>93</v>
      </c>
      <c r="BB6">
        <v>4</v>
      </c>
      <c r="BC6">
        <v>0</v>
      </c>
      <c r="BD6">
        <v>97</v>
      </c>
      <c r="BE6" s="2">
        <v>1708737.6089901007</v>
      </c>
      <c r="BF6" s="6">
        <v>530955</v>
      </c>
      <c r="BG6" s="6">
        <v>337250</v>
      </c>
      <c r="BH6" s="6">
        <v>0</v>
      </c>
      <c r="BI6" s="6">
        <v>868205</v>
      </c>
      <c r="BJ6" s="3">
        <v>77.281577169747379</v>
      </c>
      <c r="BK6" s="6">
        <v>3370195</v>
      </c>
      <c r="BL6" s="6">
        <v>337250</v>
      </c>
      <c r="BM6" s="6">
        <v>0</v>
      </c>
      <c r="BN6" s="6">
        <v>3707445</v>
      </c>
      <c r="BO6" s="3">
        <v>96.473417730371594</v>
      </c>
      <c r="BP6" s="7">
        <v>372167345</v>
      </c>
      <c r="BQ6" s="2">
        <v>63.101571985778151</v>
      </c>
      <c r="BR6" s="2">
        <v>273.44014527170532</v>
      </c>
    </row>
    <row r="7" spans="1:70">
      <c r="A7">
        <v>1980</v>
      </c>
      <c r="B7" s="1">
        <v>668937</v>
      </c>
      <c r="C7" s="2">
        <v>17273681.498042651</v>
      </c>
      <c r="D7" s="3">
        <v>25.82258343916191</v>
      </c>
      <c r="E7" s="1">
        <v>401359</v>
      </c>
      <c r="F7" s="4">
        <v>0.48995128889003525</v>
      </c>
      <c r="G7" s="4">
        <v>0.3111246737618229</v>
      </c>
      <c r="H7" s="4">
        <v>0.50463977715788644</v>
      </c>
      <c r="I7" s="4">
        <v>0.42529434967971363</v>
      </c>
      <c r="J7" s="5">
        <v>4.6668701064273437</v>
      </c>
      <c r="K7">
        <v>7503</v>
      </c>
      <c r="L7">
        <v>83986</v>
      </c>
      <c r="M7">
        <v>100807</v>
      </c>
      <c r="N7">
        <v>192296</v>
      </c>
      <c r="O7" s="6">
        <v>56272500</v>
      </c>
      <c r="P7" s="6">
        <v>209965000</v>
      </c>
      <c r="Q7" s="6">
        <v>120968400</v>
      </c>
      <c r="R7" s="6">
        <v>387205900</v>
      </c>
      <c r="S7" s="2">
        <v>34.663333333333327</v>
      </c>
      <c r="T7" s="2">
        <v>60.844444444444441</v>
      </c>
      <c r="U7" s="2">
        <v>24.955400000000001</v>
      </c>
      <c r="V7" s="2">
        <v>120.46317777777777</v>
      </c>
      <c r="W7">
        <v>93</v>
      </c>
      <c r="X7">
        <v>0</v>
      </c>
      <c r="Y7">
        <v>0</v>
      </c>
      <c r="Z7">
        <v>93</v>
      </c>
      <c r="AA7" s="2">
        <v>4883717.1617511315</v>
      </c>
      <c r="AB7" s="6">
        <v>2255600</v>
      </c>
      <c r="AC7" s="6">
        <v>0</v>
      </c>
      <c r="AD7" s="6">
        <v>0</v>
      </c>
      <c r="AE7" s="6">
        <v>2255600</v>
      </c>
      <c r="AF7" s="3">
        <v>10.144334344479493</v>
      </c>
      <c r="AG7">
        <v>93</v>
      </c>
      <c r="AH7">
        <v>0</v>
      </c>
      <c r="AI7">
        <v>0</v>
      </c>
      <c r="AJ7">
        <v>93</v>
      </c>
      <c r="AK7" s="2">
        <v>10389390.328519471</v>
      </c>
      <c r="AL7" s="6">
        <v>725920</v>
      </c>
      <c r="AM7" s="6">
        <v>0</v>
      </c>
      <c r="AN7" s="6">
        <v>0</v>
      </c>
      <c r="AO7" s="6">
        <v>725920</v>
      </c>
      <c r="AP7" s="3">
        <v>0.39535278079053948</v>
      </c>
      <c r="AQ7">
        <v>20</v>
      </c>
      <c r="AR7">
        <v>0</v>
      </c>
      <c r="AS7">
        <v>0</v>
      </c>
      <c r="AT7">
        <v>20</v>
      </c>
      <c r="AU7" s="2">
        <v>196978.51312141592</v>
      </c>
      <c r="AV7" s="6">
        <v>182000</v>
      </c>
      <c r="AW7" s="6">
        <v>0</v>
      </c>
      <c r="AX7" s="6">
        <v>0</v>
      </c>
      <c r="AY7" s="6">
        <v>182000</v>
      </c>
      <c r="AZ7" s="3">
        <v>12.983402182163514</v>
      </c>
      <c r="BA7">
        <v>97</v>
      </c>
      <c r="BB7">
        <v>4</v>
      </c>
      <c r="BC7">
        <v>0</v>
      </c>
      <c r="BD7">
        <v>101</v>
      </c>
      <c r="BE7" s="2">
        <v>1803595.4946506317</v>
      </c>
      <c r="BF7" s="6">
        <v>556755</v>
      </c>
      <c r="BG7" s="6">
        <v>343100</v>
      </c>
      <c r="BH7" s="6">
        <v>0</v>
      </c>
      <c r="BI7" s="6">
        <v>899855</v>
      </c>
      <c r="BJ7" s="3">
        <v>92.435703402965075</v>
      </c>
      <c r="BK7" s="6">
        <v>3720275</v>
      </c>
      <c r="BL7" s="6">
        <v>343100</v>
      </c>
      <c r="BM7" s="6">
        <v>0</v>
      </c>
      <c r="BN7" s="6">
        <v>4063375</v>
      </c>
      <c r="BO7" s="3">
        <v>115.95879271039863</v>
      </c>
      <c r="BP7" s="7">
        <v>391269275</v>
      </c>
      <c r="BQ7" s="2">
        <v>70.926591146452907</v>
      </c>
      <c r="BR7" s="2">
        <v>307.34856163462928</v>
      </c>
    </row>
    <row r="8" spans="1:70">
      <c r="A8">
        <v>1981</v>
      </c>
      <c r="B8" s="1">
        <v>682586</v>
      </c>
      <c r="C8" s="2">
        <v>18865440.592978112</v>
      </c>
      <c r="D8" s="3">
        <v>27.638188584263538</v>
      </c>
      <c r="E8" s="1">
        <v>409550</v>
      </c>
      <c r="F8" s="4">
        <v>0.5001118804738004</v>
      </c>
      <c r="G8" s="4">
        <v>0.32418143712885744</v>
      </c>
      <c r="H8" s="4">
        <v>0.52234466485675468</v>
      </c>
      <c r="I8" s="4">
        <v>0.43914117477549686</v>
      </c>
      <c r="J8" s="5">
        <v>4.8627215569328612</v>
      </c>
      <c r="K8">
        <v>8595</v>
      </c>
      <c r="L8">
        <v>87845</v>
      </c>
      <c r="M8">
        <v>101873</v>
      </c>
      <c r="N8">
        <v>198313</v>
      </c>
      <c r="O8" s="6">
        <v>64462500</v>
      </c>
      <c r="P8" s="6">
        <v>219612500</v>
      </c>
      <c r="Q8" s="6">
        <v>122247600</v>
      </c>
      <c r="R8" s="6">
        <v>406322600</v>
      </c>
      <c r="S8" s="2">
        <v>39.225000000000001</v>
      </c>
      <c r="T8" s="2">
        <v>62.939777777777785</v>
      </c>
      <c r="U8" s="2">
        <v>25.054333333333332</v>
      </c>
      <c r="V8" s="2">
        <v>127.2191111111111</v>
      </c>
      <c r="W8">
        <v>103</v>
      </c>
      <c r="X8">
        <v>0</v>
      </c>
      <c r="Y8">
        <v>0</v>
      </c>
      <c r="Z8">
        <v>103</v>
      </c>
      <c r="AA8" s="2">
        <v>5525768.7941063503</v>
      </c>
      <c r="AB8" s="6">
        <v>2492800</v>
      </c>
      <c r="AC8" s="6">
        <v>0</v>
      </c>
      <c r="AD8" s="6">
        <v>0</v>
      </c>
      <c r="AE8" s="6">
        <v>2492800</v>
      </c>
      <c r="AF8" s="3">
        <v>12.132665023526489</v>
      </c>
      <c r="AG8">
        <v>103</v>
      </c>
      <c r="AH8">
        <v>0</v>
      </c>
      <c r="AI8">
        <v>0</v>
      </c>
      <c r="AJ8">
        <v>103</v>
      </c>
      <c r="AK8" s="2">
        <v>11221869.01636146</v>
      </c>
      <c r="AL8" s="6">
        <v>791520</v>
      </c>
      <c r="AM8" s="6">
        <v>0</v>
      </c>
      <c r="AN8" s="6">
        <v>0</v>
      </c>
      <c r="AO8" s="6">
        <v>791520</v>
      </c>
      <c r="AP8" s="3">
        <v>0.45305444932349553</v>
      </c>
      <c r="AQ8">
        <v>22</v>
      </c>
      <c r="AR8">
        <v>0</v>
      </c>
      <c r="AS8">
        <v>0</v>
      </c>
      <c r="AT8">
        <v>22</v>
      </c>
      <c r="AU8" s="2">
        <v>218352.57519718079</v>
      </c>
      <c r="AV8" s="6">
        <v>190520</v>
      </c>
      <c r="AW8" s="6">
        <v>0</v>
      </c>
      <c r="AX8" s="6">
        <v>0</v>
      </c>
      <c r="AY8" s="6">
        <v>190520</v>
      </c>
      <c r="AZ8" s="3">
        <v>15.422842605424051</v>
      </c>
      <c r="BA8">
        <v>101</v>
      </c>
      <c r="BB8">
        <v>5</v>
      </c>
      <c r="BC8">
        <v>0</v>
      </c>
      <c r="BD8">
        <v>106</v>
      </c>
      <c r="BE8" s="2">
        <v>1899450.2073131194</v>
      </c>
      <c r="BF8" s="6">
        <v>580215</v>
      </c>
      <c r="BG8" s="6">
        <v>431800</v>
      </c>
      <c r="BH8" s="6">
        <v>0</v>
      </c>
      <c r="BI8" s="6">
        <v>1012015</v>
      </c>
      <c r="BJ8" s="3">
        <v>107.92537820281873</v>
      </c>
      <c r="BK8" s="6">
        <v>4055055</v>
      </c>
      <c r="BL8" s="6">
        <v>431800</v>
      </c>
      <c r="BM8" s="6">
        <v>0</v>
      </c>
      <c r="BN8" s="6">
        <v>4486855</v>
      </c>
      <c r="BO8" s="3">
        <v>135.93394028109276</v>
      </c>
      <c r="BP8" s="7">
        <v>410809455</v>
      </c>
      <c r="BQ8" s="2">
        <v>78.945915417661155</v>
      </c>
      <c r="BR8" s="2">
        <v>342.09896680986503</v>
      </c>
    </row>
    <row r="9" spans="1:70">
      <c r="A9">
        <v>1982</v>
      </c>
      <c r="B9" s="1">
        <v>696231</v>
      </c>
      <c r="C9" s="2">
        <v>20522766.341836136</v>
      </c>
      <c r="D9" s="3">
        <v>29.476949951720243</v>
      </c>
      <c r="E9" s="1">
        <v>417737</v>
      </c>
      <c r="F9" s="4">
        <v>0.50975903884978302</v>
      </c>
      <c r="G9" s="4">
        <v>0.33656166801190857</v>
      </c>
      <c r="H9" s="4">
        <v>0.53768876895079465</v>
      </c>
      <c r="I9" s="4">
        <v>0.45184226347632939</v>
      </c>
      <c r="J9" s="5">
        <v>5.0484250201786285</v>
      </c>
      <c r="K9">
        <v>9760</v>
      </c>
      <c r="L9">
        <v>91680</v>
      </c>
      <c r="M9">
        <v>102914</v>
      </c>
      <c r="N9">
        <v>204354</v>
      </c>
      <c r="O9" s="6">
        <v>73200000</v>
      </c>
      <c r="P9" s="6">
        <v>229200000</v>
      </c>
      <c r="Q9" s="6">
        <v>123496800</v>
      </c>
      <c r="R9" s="6">
        <v>425896800</v>
      </c>
      <c r="S9" s="2">
        <v>43.991666666666667</v>
      </c>
      <c r="T9" s="2">
        <v>64.987555555555559</v>
      </c>
      <c r="U9" s="2">
        <v>25.158999999999999</v>
      </c>
      <c r="V9" s="2">
        <v>134.13822222222225</v>
      </c>
      <c r="W9">
        <v>114</v>
      </c>
      <c r="X9">
        <v>0</v>
      </c>
      <c r="Y9">
        <v>0</v>
      </c>
      <c r="Z9">
        <v>114</v>
      </c>
      <c r="AA9" s="2">
        <v>6188950.1690201182</v>
      </c>
      <c r="AB9" s="6">
        <v>2775100</v>
      </c>
      <c r="AC9" s="6">
        <v>0</v>
      </c>
      <c r="AD9" s="6">
        <v>0</v>
      </c>
      <c r="AE9" s="6">
        <v>2775100</v>
      </c>
      <c r="AF9" s="3">
        <v>14.198222477816866</v>
      </c>
      <c r="AG9">
        <v>114</v>
      </c>
      <c r="AH9">
        <v>0</v>
      </c>
      <c r="AI9">
        <v>0</v>
      </c>
      <c r="AJ9">
        <v>114</v>
      </c>
      <c r="AK9" s="2">
        <v>12095480.195102572</v>
      </c>
      <c r="AL9" s="6">
        <v>884760</v>
      </c>
      <c r="AM9" s="6">
        <v>0</v>
      </c>
      <c r="AN9" s="6">
        <v>0</v>
      </c>
      <c r="AO9" s="6">
        <v>884760</v>
      </c>
      <c r="AP9" s="3">
        <v>0.51428917358580772</v>
      </c>
      <c r="AQ9">
        <v>24</v>
      </c>
      <c r="AR9">
        <v>0</v>
      </c>
      <c r="AS9">
        <v>0</v>
      </c>
      <c r="AT9">
        <v>24</v>
      </c>
      <c r="AU9" s="2">
        <v>241396.71637124848</v>
      </c>
      <c r="AV9" s="6">
        <v>234240</v>
      </c>
      <c r="AW9" s="6">
        <v>0</v>
      </c>
      <c r="AX9" s="6">
        <v>0</v>
      </c>
      <c r="AY9" s="6">
        <v>234240</v>
      </c>
      <c r="AZ9" s="3">
        <v>17.930333084090979</v>
      </c>
      <c r="BA9">
        <v>105</v>
      </c>
      <c r="BB9">
        <v>5</v>
      </c>
      <c r="BC9">
        <v>0</v>
      </c>
      <c r="BD9">
        <v>110</v>
      </c>
      <c r="BE9" s="2">
        <v>1996939.2613421972</v>
      </c>
      <c r="BF9" s="6">
        <v>605160</v>
      </c>
      <c r="BG9" s="6">
        <v>433750</v>
      </c>
      <c r="BH9" s="6">
        <v>0</v>
      </c>
      <c r="BI9" s="6">
        <v>1038910</v>
      </c>
      <c r="BJ9" s="3">
        <v>123.73776757969847</v>
      </c>
      <c r="BK9" s="6">
        <v>4499260</v>
      </c>
      <c r="BL9" s="6">
        <v>433750</v>
      </c>
      <c r="BM9" s="6">
        <v>0</v>
      </c>
      <c r="BN9" s="6">
        <v>4933010</v>
      </c>
      <c r="BO9" s="3">
        <v>156.38061231519214</v>
      </c>
      <c r="BP9" s="7">
        <v>430829810</v>
      </c>
      <c r="BQ9" s="2">
        <v>87.155650361224303</v>
      </c>
      <c r="BR9" s="2">
        <v>377.67448489863864</v>
      </c>
    </row>
    <row r="10" spans="1:70">
      <c r="A10">
        <v>1983</v>
      </c>
      <c r="B10" s="1">
        <v>709888</v>
      </c>
      <c r="C10" s="2">
        <v>22258985.48514178</v>
      </c>
      <c r="D10" s="3">
        <v>31.355630022118671</v>
      </c>
      <c r="E10" s="1">
        <v>425931</v>
      </c>
      <c r="F10" s="4">
        <v>0.51902585895571829</v>
      </c>
      <c r="G10" s="4">
        <v>0.34830916397532335</v>
      </c>
      <c r="H10" s="4">
        <v>0.54993269959495772</v>
      </c>
      <c r="I10" s="4">
        <v>0.46325610026735109</v>
      </c>
      <c r="J10" s="5">
        <v>5.2246374596298502</v>
      </c>
      <c r="K10">
        <v>10997</v>
      </c>
      <c r="L10">
        <v>95520</v>
      </c>
      <c r="M10">
        <v>103926</v>
      </c>
      <c r="N10">
        <v>210443</v>
      </c>
      <c r="O10" s="6">
        <v>82477500</v>
      </c>
      <c r="P10" s="6">
        <v>238800000</v>
      </c>
      <c r="Q10" s="6">
        <v>124711200</v>
      </c>
      <c r="R10" s="6">
        <v>445988700</v>
      </c>
      <c r="S10" s="2">
        <v>48.961666666666666</v>
      </c>
      <c r="T10" s="2">
        <v>67.00355555555555</v>
      </c>
      <c r="U10" s="2">
        <v>25.265799999999999</v>
      </c>
      <c r="V10" s="2">
        <v>141.23102222222224</v>
      </c>
      <c r="W10">
        <v>125</v>
      </c>
      <c r="X10">
        <v>0</v>
      </c>
      <c r="Y10">
        <v>0</v>
      </c>
      <c r="Z10">
        <v>125</v>
      </c>
      <c r="AA10" s="2">
        <v>6879392.4645191133</v>
      </c>
      <c r="AB10" s="6">
        <v>3049200</v>
      </c>
      <c r="AC10" s="6">
        <v>0</v>
      </c>
      <c r="AD10" s="6">
        <v>0</v>
      </c>
      <c r="AE10" s="6">
        <v>3049200</v>
      </c>
      <c r="AF10" s="3">
        <v>16.339241100763886</v>
      </c>
      <c r="AG10">
        <v>125</v>
      </c>
      <c r="AH10">
        <v>0</v>
      </c>
      <c r="AI10">
        <v>0</v>
      </c>
      <c r="AJ10">
        <v>125</v>
      </c>
      <c r="AK10" s="2">
        <v>13016813.917636003</v>
      </c>
      <c r="AL10" s="6">
        <v>963920</v>
      </c>
      <c r="AM10" s="6">
        <v>0</v>
      </c>
      <c r="AN10" s="6">
        <v>0</v>
      </c>
      <c r="AO10" s="6">
        <v>963920</v>
      </c>
      <c r="AP10" s="3">
        <v>0.57902778333223415</v>
      </c>
      <c r="AQ10">
        <v>26</v>
      </c>
      <c r="AR10">
        <v>0</v>
      </c>
      <c r="AS10">
        <v>0</v>
      </c>
      <c r="AT10">
        <v>26</v>
      </c>
      <c r="AU10" s="2">
        <v>266206.41380510264</v>
      </c>
      <c r="AV10" s="6">
        <v>236600</v>
      </c>
      <c r="AW10" s="6">
        <v>0</v>
      </c>
      <c r="AX10" s="6">
        <v>0</v>
      </c>
      <c r="AY10" s="6">
        <v>236600</v>
      </c>
      <c r="AZ10" s="3">
        <v>20.504270685063737</v>
      </c>
      <c r="BA10">
        <v>110</v>
      </c>
      <c r="BB10">
        <v>5</v>
      </c>
      <c r="BC10">
        <v>0</v>
      </c>
      <c r="BD10">
        <v>115</v>
      </c>
      <c r="BE10" s="2">
        <v>2096572.6891815583</v>
      </c>
      <c r="BF10" s="6">
        <v>614820</v>
      </c>
      <c r="BG10" s="6">
        <v>432450</v>
      </c>
      <c r="BH10" s="6">
        <v>0</v>
      </c>
      <c r="BI10" s="6">
        <v>1047270</v>
      </c>
      <c r="BJ10" s="3">
        <v>139.86791436092889</v>
      </c>
      <c r="BK10" s="6">
        <v>4864540</v>
      </c>
      <c r="BL10" s="6">
        <v>432450</v>
      </c>
      <c r="BM10" s="6">
        <v>0</v>
      </c>
      <c r="BN10" s="6">
        <v>5296990</v>
      </c>
      <c r="BO10" s="3">
        <v>177.29045393008874</v>
      </c>
      <c r="BP10" s="7">
        <v>451285690</v>
      </c>
      <c r="BQ10" s="2">
        <v>95.556442845693297</v>
      </c>
      <c r="BR10" s="2">
        <v>414.07791899800429</v>
      </c>
    </row>
    <row r="11" spans="1:70">
      <c r="A11">
        <v>1984</v>
      </c>
      <c r="B11" s="1">
        <v>723534</v>
      </c>
      <c r="C11" s="2">
        <v>24087537.69220145</v>
      </c>
      <c r="D11" s="3">
        <v>33.291507644701497</v>
      </c>
      <c r="E11" s="1">
        <v>434118</v>
      </c>
      <c r="F11" s="4">
        <v>0.528021446750775</v>
      </c>
      <c r="G11" s="4">
        <v>0.35945734428615389</v>
      </c>
      <c r="H11" s="4">
        <v>0.55884816628108669</v>
      </c>
      <c r="I11" s="4">
        <v>0.47336657082577605</v>
      </c>
      <c r="J11" s="5">
        <v>5.3918601642923081</v>
      </c>
      <c r="K11">
        <v>12307</v>
      </c>
      <c r="L11">
        <v>99382</v>
      </c>
      <c r="M11">
        <v>104895</v>
      </c>
      <c r="N11">
        <v>216584</v>
      </c>
      <c r="O11" s="6">
        <v>92302500</v>
      </c>
      <c r="P11" s="6">
        <v>248455000</v>
      </c>
      <c r="Q11" s="6">
        <v>125874000</v>
      </c>
      <c r="R11" s="6">
        <v>466631500</v>
      </c>
      <c r="S11" s="2">
        <v>54.133333333333333</v>
      </c>
      <c r="T11" s="2">
        <v>68.99711111111111</v>
      </c>
      <c r="U11" s="2">
        <v>25.370533333333334</v>
      </c>
      <c r="V11" s="2">
        <v>148.50097777777779</v>
      </c>
      <c r="W11">
        <v>136</v>
      </c>
      <c r="X11">
        <v>0</v>
      </c>
      <c r="Y11">
        <v>0</v>
      </c>
      <c r="Z11">
        <v>136</v>
      </c>
      <c r="AA11" s="2">
        <v>7602964.3491436923</v>
      </c>
      <c r="AB11" s="6">
        <v>3300600</v>
      </c>
      <c r="AC11" s="6">
        <v>0</v>
      </c>
      <c r="AD11" s="6">
        <v>0</v>
      </c>
      <c r="AE11" s="6">
        <v>3300600</v>
      </c>
      <c r="AF11" s="3">
        <v>18.554849637818364</v>
      </c>
      <c r="AG11">
        <v>136</v>
      </c>
      <c r="AH11">
        <v>0</v>
      </c>
      <c r="AI11">
        <v>0</v>
      </c>
      <c r="AJ11">
        <v>136</v>
      </c>
      <c r="AK11" s="2">
        <v>13992958.318323815</v>
      </c>
      <c r="AL11" s="6">
        <v>1051600</v>
      </c>
      <c r="AM11" s="6">
        <v>0</v>
      </c>
      <c r="AN11" s="6">
        <v>0</v>
      </c>
      <c r="AO11" s="6">
        <v>1051600</v>
      </c>
      <c r="AP11" s="3">
        <v>0.64726310170102552</v>
      </c>
      <c r="AQ11">
        <v>28</v>
      </c>
      <c r="AR11">
        <v>0</v>
      </c>
      <c r="AS11">
        <v>0</v>
      </c>
      <c r="AT11">
        <v>28</v>
      </c>
      <c r="AU11" s="2">
        <v>292816.10169484501</v>
      </c>
      <c r="AV11" s="6">
        <v>279440</v>
      </c>
      <c r="AW11" s="6">
        <v>0</v>
      </c>
      <c r="AX11" s="6">
        <v>0</v>
      </c>
      <c r="AY11" s="6">
        <v>279440</v>
      </c>
      <c r="AZ11" s="3">
        <v>23.14423662369656</v>
      </c>
      <c r="BA11">
        <v>114</v>
      </c>
      <c r="BB11">
        <v>6</v>
      </c>
      <c r="BC11">
        <v>0</v>
      </c>
      <c r="BD11">
        <v>120</v>
      </c>
      <c r="BE11" s="2">
        <v>2198798.9230390987</v>
      </c>
      <c r="BF11" s="6">
        <v>661095</v>
      </c>
      <c r="BG11" s="6">
        <v>515300</v>
      </c>
      <c r="BH11" s="6">
        <v>0</v>
      </c>
      <c r="BI11" s="6">
        <v>1176395</v>
      </c>
      <c r="BJ11" s="3">
        <v>156.31886581150567</v>
      </c>
      <c r="BK11" s="6">
        <v>5292735</v>
      </c>
      <c r="BL11" s="6">
        <v>515300</v>
      </c>
      <c r="BM11" s="6">
        <v>0</v>
      </c>
      <c r="BN11" s="6">
        <v>5808035</v>
      </c>
      <c r="BO11" s="3">
        <v>198.66521517472162</v>
      </c>
      <c r="BP11" s="7">
        <v>472439535</v>
      </c>
      <c r="BQ11" s="2">
        <v>104.14985788574981</v>
      </c>
      <c r="BR11" s="2">
        <v>451.31605083824923</v>
      </c>
    </row>
    <row r="12" spans="1:70">
      <c r="A12">
        <v>1985</v>
      </c>
      <c r="B12" s="1">
        <v>737108</v>
      </c>
      <c r="C12" s="2">
        <v>26022602.905550178</v>
      </c>
      <c r="D12" s="3">
        <v>35.30365008323092</v>
      </c>
      <c r="E12" s="1">
        <v>442263</v>
      </c>
      <c r="F12" s="4">
        <v>0.5368412526106896</v>
      </c>
      <c r="G12" s="4">
        <v>0.3700353664135157</v>
      </c>
      <c r="H12" s="4">
        <v>0.56463790464228247</v>
      </c>
      <c r="I12" s="4">
        <v>0.48226570736374785</v>
      </c>
      <c r="J12" s="5">
        <v>5.5505304962027351</v>
      </c>
      <c r="K12">
        <v>13693</v>
      </c>
      <c r="L12">
        <v>103278</v>
      </c>
      <c r="M12">
        <v>105804</v>
      </c>
      <c r="N12">
        <v>222775</v>
      </c>
      <c r="O12" s="6">
        <v>102697500</v>
      </c>
      <c r="P12" s="6">
        <v>258195000</v>
      </c>
      <c r="Q12" s="6">
        <v>126964800</v>
      </c>
      <c r="R12" s="6">
        <v>487857300</v>
      </c>
      <c r="S12" s="2">
        <v>59.5</v>
      </c>
      <c r="T12" s="2">
        <v>70.971111111111114</v>
      </c>
      <c r="U12" s="2">
        <v>25.468733333333333</v>
      </c>
      <c r="V12" s="2">
        <v>155.93984444444447</v>
      </c>
      <c r="W12">
        <v>146</v>
      </c>
      <c r="X12">
        <v>0</v>
      </c>
      <c r="Y12">
        <v>0</v>
      </c>
      <c r="Z12">
        <v>146</v>
      </c>
      <c r="AA12" s="2">
        <v>8365588.2283664467</v>
      </c>
      <c r="AB12" s="6">
        <v>3596900</v>
      </c>
      <c r="AC12" s="6">
        <v>0</v>
      </c>
      <c r="AD12" s="6">
        <v>0</v>
      </c>
      <c r="AE12" s="6">
        <v>3596900</v>
      </c>
      <c r="AF12" s="3">
        <v>20.844938465112691</v>
      </c>
      <c r="AG12">
        <v>146</v>
      </c>
      <c r="AH12">
        <v>0</v>
      </c>
      <c r="AI12">
        <v>0</v>
      </c>
      <c r="AJ12">
        <v>146</v>
      </c>
      <c r="AK12" s="2">
        <v>15031878.582819434</v>
      </c>
      <c r="AL12" s="6">
        <v>1134160</v>
      </c>
      <c r="AM12" s="6">
        <v>0</v>
      </c>
      <c r="AN12" s="6">
        <v>0</v>
      </c>
      <c r="AO12" s="6">
        <v>1134160</v>
      </c>
      <c r="AP12" s="3">
        <v>0.71900716772758666</v>
      </c>
      <c r="AQ12">
        <v>31</v>
      </c>
      <c r="AR12">
        <v>0</v>
      </c>
      <c r="AS12">
        <v>0</v>
      </c>
      <c r="AT12">
        <v>31</v>
      </c>
      <c r="AU12" s="2">
        <v>321170.93229547696</v>
      </c>
      <c r="AV12" s="6">
        <v>295740</v>
      </c>
      <c r="AW12" s="6">
        <v>0</v>
      </c>
      <c r="AX12" s="6">
        <v>0</v>
      </c>
      <c r="AY12" s="6">
        <v>295740</v>
      </c>
      <c r="AZ12" s="3">
        <v>25.850795647680425</v>
      </c>
      <c r="BA12">
        <v>119</v>
      </c>
      <c r="BB12">
        <v>6</v>
      </c>
      <c r="BC12">
        <v>0</v>
      </c>
      <c r="BD12">
        <v>125</v>
      </c>
      <c r="BE12" s="2">
        <v>2303965.1620688201</v>
      </c>
      <c r="BF12" s="6">
        <v>678135</v>
      </c>
      <c r="BG12" s="6">
        <v>503600</v>
      </c>
      <c r="BH12" s="6">
        <v>0</v>
      </c>
      <c r="BI12" s="6">
        <v>1181735</v>
      </c>
      <c r="BJ12" s="3">
        <v>173.10012023572111</v>
      </c>
      <c r="BK12" s="6">
        <v>5704935</v>
      </c>
      <c r="BL12" s="6">
        <v>503600</v>
      </c>
      <c r="BM12" s="6">
        <v>0</v>
      </c>
      <c r="BN12" s="6">
        <v>6208535</v>
      </c>
      <c r="BO12" s="3">
        <v>220.51486151624181</v>
      </c>
      <c r="BP12" s="7">
        <v>494065835</v>
      </c>
      <c r="BQ12" s="2">
        <v>112.93641178820589</v>
      </c>
      <c r="BR12" s="2">
        <v>489.39111774889216</v>
      </c>
    </row>
    <row r="13" spans="1:70">
      <c r="A13">
        <v>1986</v>
      </c>
      <c r="B13" s="1">
        <v>750507</v>
      </c>
      <c r="C13" s="2">
        <v>28077947.467889547</v>
      </c>
      <c r="D13" s="3">
        <v>37.411972796908685</v>
      </c>
      <c r="E13" s="1">
        <v>450302</v>
      </c>
      <c r="F13" s="4">
        <v>0.54556525236735365</v>
      </c>
      <c r="G13" s="4">
        <v>0.38006059549767074</v>
      </c>
      <c r="H13" s="4">
        <v>0.56775173471251938</v>
      </c>
      <c r="I13" s="4">
        <v>0.4901014702998418</v>
      </c>
      <c r="J13" s="5">
        <v>5.7009089324650608</v>
      </c>
      <c r="K13">
        <v>15155</v>
      </c>
      <c r="L13">
        <v>107208</v>
      </c>
      <c r="M13">
        <v>106625</v>
      </c>
      <c r="N13">
        <v>228988</v>
      </c>
      <c r="O13" s="6">
        <v>113662500</v>
      </c>
      <c r="P13" s="6">
        <v>268020000</v>
      </c>
      <c r="Q13" s="6">
        <v>127950000</v>
      </c>
      <c r="R13" s="6">
        <v>509632500</v>
      </c>
      <c r="S13" s="2">
        <v>65.053333333333342</v>
      </c>
      <c r="T13" s="2">
        <v>72.920666666666676</v>
      </c>
      <c r="U13" s="2">
        <v>25.554933333333331</v>
      </c>
      <c r="V13" s="2">
        <v>163.52893333333333</v>
      </c>
      <c r="W13">
        <v>158</v>
      </c>
      <c r="X13">
        <v>0</v>
      </c>
      <c r="Y13">
        <v>0</v>
      </c>
      <c r="Z13">
        <v>158</v>
      </c>
      <c r="AA13" s="2">
        <v>9173031.3514194302</v>
      </c>
      <c r="AB13" s="6">
        <v>3913900</v>
      </c>
      <c r="AC13" s="6">
        <v>0</v>
      </c>
      <c r="AD13" s="6">
        <v>0</v>
      </c>
      <c r="AE13" s="6">
        <v>3913900</v>
      </c>
      <c r="AF13" s="3">
        <v>23.210142814455406</v>
      </c>
      <c r="AG13">
        <v>158</v>
      </c>
      <c r="AH13">
        <v>0</v>
      </c>
      <c r="AI13">
        <v>0</v>
      </c>
      <c r="AJ13">
        <v>158</v>
      </c>
      <c r="AK13" s="2">
        <v>16141388.016091539</v>
      </c>
      <c r="AL13" s="6">
        <v>1219600</v>
      </c>
      <c r="AM13" s="6">
        <v>0</v>
      </c>
      <c r="AN13" s="6">
        <v>0</v>
      </c>
      <c r="AO13" s="6">
        <v>1219600</v>
      </c>
      <c r="AP13" s="3">
        <v>0.79429143458636997</v>
      </c>
      <c r="AQ13">
        <v>33</v>
      </c>
      <c r="AR13">
        <v>0</v>
      </c>
      <c r="AS13">
        <v>0</v>
      </c>
      <c r="AT13">
        <v>33</v>
      </c>
      <c r="AU13" s="2">
        <v>351167.41445912234</v>
      </c>
      <c r="AV13" s="6">
        <v>322080</v>
      </c>
      <c r="AW13" s="6">
        <v>0</v>
      </c>
      <c r="AX13" s="6">
        <v>0</v>
      </c>
      <c r="AY13" s="6">
        <v>322080</v>
      </c>
      <c r="AZ13" s="3">
        <v>28.62545609039654</v>
      </c>
      <c r="BA13">
        <v>125</v>
      </c>
      <c r="BB13">
        <v>6</v>
      </c>
      <c r="BC13">
        <v>0</v>
      </c>
      <c r="BD13">
        <v>131</v>
      </c>
      <c r="BE13" s="2">
        <v>2412360.6859194566</v>
      </c>
      <c r="BF13" s="6">
        <v>726600</v>
      </c>
      <c r="BG13" s="6">
        <v>512700</v>
      </c>
      <c r="BH13" s="6">
        <v>0</v>
      </c>
      <c r="BI13" s="6">
        <v>1239300</v>
      </c>
      <c r="BJ13" s="3">
        <v>190.22725732881065</v>
      </c>
      <c r="BK13" s="6">
        <v>6182180</v>
      </c>
      <c r="BL13" s="6">
        <v>512700</v>
      </c>
      <c r="BM13" s="6">
        <v>0</v>
      </c>
      <c r="BN13" s="6">
        <v>6694880</v>
      </c>
      <c r="BO13" s="3">
        <v>242.85714766824896</v>
      </c>
      <c r="BP13" s="7">
        <v>516327380</v>
      </c>
      <c r="BQ13" s="2">
        <v>121.91582430047468</v>
      </c>
      <c r="BR13" s="2">
        <v>528.30190530205698</v>
      </c>
    </row>
    <row r="14" spans="1:70">
      <c r="A14">
        <v>1987</v>
      </c>
      <c r="B14" s="1">
        <v>763607</v>
      </c>
      <c r="C14" s="2">
        <v>30266452.568387039</v>
      </c>
      <c r="D14" s="3">
        <v>39.636164373017849</v>
      </c>
      <c r="E14" s="1">
        <v>458161</v>
      </c>
      <c r="F14" s="4">
        <v>0.55425611755385551</v>
      </c>
      <c r="G14" s="4">
        <v>0.38954396899253774</v>
      </c>
      <c r="H14" s="4">
        <v>0.56873383256688903</v>
      </c>
      <c r="I14" s="4">
        <v>0.49704077156920101</v>
      </c>
      <c r="J14" s="5">
        <v>5.8431595348880663</v>
      </c>
      <c r="K14">
        <v>16693</v>
      </c>
      <c r="L14">
        <v>111158</v>
      </c>
      <c r="M14">
        <v>107328</v>
      </c>
      <c r="N14">
        <v>235179</v>
      </c>
      <c r="O14" s="6">
        <v>125197500</v>
      </c>
      <c r="P14" s="6">
        <v>277895000</v>
      </c>
      <c r="Q14" s="6">
        <v>128793600</v>
      </c>
      <c r="R14" s="6">
        <v>531886100</v>
      </c>
      <c r="S14" s="2">
        <v>70.778333333333336</v>
      </c>
      <c r="T14" s="2">
        <v>74.837111111111113</v>
      </c>
      <c r="U14" s="2">
        <v>25.624266666666664</v>
      </c>
      <c r="V14" s="2">
        <v>171.23971111111112</v>
      </c>
      <c r="W14">
        <v>169</v>
      </c>
      <c r="X14">
        <v>0</v>
      </c>
      <c r="Y14">
        <v>0</v>
      </c>
      <c r="Z14">
        <v>169</v>
      </c>
      <c r="AA14" s="2">
        <v>10030713.107080646</v>
      </c>
      <c r="AB14" s="6">
        <v>4133100</v>
      </c>
      <c r="AC14" s="6">
        <v>0</v>
      </c>
      <c r="AD14" s="6">
        <v>0</v>
      </c>
      <c r="AE14" s="6">
        <v>4133100</v>
      </c>
      <c r="AF14" s="3">
        <v>25.651648407656353</v>
      </c>
      <c r="AG14">
        <v>169</v>
      </c>
      <c r="AH14">
        <v>0</v>
      </c>
      <c r="AI14">
        <v>0</v>
      </c>
      <c r="AJ14">
        <v>169</v>
      </c>
      <c r="AK14" s="2">
        <v>17328857.29911175</v>
      </c>
      <c r="AL14" s="6">
        <v>1308760</v>
      </c>
      <c r="AM14" s="6">
        <v>0</v>
      </c>
      <c r="AN14" s="6">
        <v>0</v>
      </c>
      <c r="AO14" s="6">
        <v>1308760</v>
      </c>
      <c r="AP14" s="3">
        <v>0.87316217803275054</v>
      </c>
      <c r="AQ14">
        <v>36</v>
      </c>
      <c r="AR14">
        <v>0</v>
      </c>
      <c r="AS14">
        <v>0</v>
      </c>
      <c r="AT14">
        <v>36</v>
      </c>
      <c r="AU14" s="2">
        <v>382649.54927667952</v>
      </c>
      <c r="AV14" s="6">
        <v>311760</v>
      </c>
      <c r="AW14" s="6">
        <v>0</v>
      </c>
      <c r="AX14" s="6">
        <v>0</v>
      </c>
      <c r="AY14" s="6">
        <v>311760</v>
      </c>
      <c r="AZ14" s="3">
        <v>31.4703939273634</v>
      </c>
      <c r="BA14">
        <v>129</v>
      </c>
      <c r="BB14">
        <v>6</v>
      </c>
      <c r="BC14">
        <v>0</v>
      </c>
      <c r="BD14">
        <v>135</v>
      </c>
      <c r="BE14" s="2">
        <v>2524232.6129179704</v>
      </c>
      <c r="BF14" s="6">
        <v>740610</v>
      </c>
      <c r="BG14" s="6">
        <v>511400</v>
      </c>
      <c r="BH14" s="6">
        <v>0</v>
      </c>
      <c r="BI14" s="6">
        <v>1252010</v>
      </c>
      <c r="BJ14" s="3">
        <v>207.71990456800842</v>
      </c>
      <c r="BK14" s="6">
        <v>6494230</v>
      </c>
      <c r="BL14" s="6">
        <v>511400</v>
      </c>
      <c r="BM14" s="6">
        <v>0</v>
      </c>
      <c r="BN14" s="6">
        <v>7005630</v>
      </c>
      <c r="BO14" s="3">
        <v>265.71510908106092</v>
      </c>
      <c r="BP14" s="7">
        <v>538891730</v>
      </c>
      <c r="BQ14" s="2">
        <v>131.08644605765161</v>
      </c>
      <c r="BR14" s="2">
        <v>568.04126624982371</v>
      </c>
    </row>
    <row r="15" spans="1:70">
      <c r="A15">
        <v>1988</v>
      </c>
      <c r="B15" s="1">
        <v>776307</v>
      </c>
      <c r="C15" s="2">
        <v>32599229.897721022</v>
      </c>
      <c r="D15" s="3">
        <v>41.992703785642824</v>
      </c>
      <c r="E15" s="1">
        <v>465782</v>
      </c>
      <c r="F15" s="4">
        <v>0.56295129120900955</v>
      </c>
      <c r="G15" s="4">
        <v>0.39849413781285814</v>
      </c>
      <c r="H15" s="4">
        <v>0.56812130293224905</v>
      </c>
      <c r="I15" s="4">
        <v>0.50324323288376183</v>
      </c>
      <c r="J15" s="5">
        <v>5.9774120671928719</v>
      </c>
      <c r="K15">
        <v>18307</v>
      </c>
      <c r="L15">
        <v>115104</v>
      </c>
      <c r="M15">
        <v>107884</v>
      </c>
      <c r="N15">
        <v>241295</v>
      </c>
      <c r="O15" s="6">
        <v>137302500</v>
      </c>
      <c r="P15" s="6">
        <v>287760000</v>
      </c>
      <c r="Q15" s="6">
        <v>129460800</v>
      </c>
      <c r="R15" s="6">
        <v>554523300</v>
      </c>
      <c r="S15" s="2">
        <v>76.648333333333326</v>
      </c>
      <c r="T15" s="2">
        <v>76.709333333333333</v>
      </c>
      <c r="U15" s="2">
        <v>25.674666666666667</v>
      </c>
      <c r="V15" s="2">
        <v>179.03233333333333</v>
      </c>
      <c r="W15">
        <v>179</v>
      </c>
      <c r="X15">
        <v>0</v>
      </c>
      <c r="Y15">
        <v>0</v>
      </c>
      <c r="Z15">
        <v>179</v>
      </c>
      <c r="AA15" s="2">
        <v>10943385.594171628</v>
      </c>
      <c r="AB15" s="6">
        <v>4430000</v>
      </c>
      <c r="AC15" s="6">
        <v>0</v>
      </c>
      <c r="AD15" s="6">
        <v>0</v>
      </c>
      <c r="AE15" s="6">
        <v>4430000</v>
      </c>
      <c r="AF15" s="3">
        <v>28.171071113401457</v>
      </c>
      <c r="AG15">
        <v>179</v>
      </c>
      <c r="AH15">
        <v>0</v>
      </c>
      <c r="AI15">
        <v>0</v>
      </c>
      <c r="AJ15">
        <v>179</v>
      </c>
      <c r="AK15" s="2">
        <v>18600561.751735911</v>
      </c>
      <c r="AL15" s="6">
        <v>1398160</v>
      </c>
      <c r="AM15" s="6">
        <v>0</v>
      </c>
      <c r="AN15" s="6">
        <v>0</v>
      </c>
      <c r="AO15" s="6">
        <v>1398160</v>
      </c>
      <c r="AP15" s="3">
        <v>0.95567771296510262</v>
      </c>
      <c r="AQ15">
        <v>39</v>
      </c>
      <c r="AR15">
        <v>0</v>
      </c>
      <c r="AS15">
        <v>0</v>
      </c>
      <c r="AT15">
        <v>39</v>
      </c>
      <c r="AU15" s="2">
        <v>415437.94359318598</v>
      </c>
      <c r="AV15" s="6">
        <v>363480</v>
      </c>
      <c r="AW15" s="6">
        <v>0</v>
      </c>
      <c r="AX15" s="6">
        <v>0</v>
      </c>
      <c r="AY15" s="6">
        <v>363480</v>
      </c>
      <c r="AZ15" s="3">
        <v>34.388282426841052</v>
      </c>
      <c r="BA15">
        <v>135</v>
      </c>
      <c r="BB15">
        <v>6</v>
      </c>
      <c r="BC15">
        <v>0</v>
      </c>
      <c r="BD15">
        <v>141</v>
      </c>
      <c r="BE15" s="2">
        <v>2639844.6082203053</v>
      </c>
      <c r="BF15" s="6">
        <v>773910</v>
      </c>
      <c r="BG15" s="6">
        <v>511400</v>
      </c>
      <c r="BH15" s="6">
        <v>0</v>
      </c>
      <c r="BI15" s="6">
        <v>1285310</v>
      </c>
      <c r="BJ15" s="3">
        <v>225.60050087505985</v>
      </c>
      <c r="BK15" s="6">
        <v>6965550</v>
      </c>
      <c r="BL15" s="6">
        <v>511400</v>
      </c>
      <c r="BM15" s="6">
        <v>0</v>
      </c>
      <c r="BN15" s="6">
        <v>7476950</v>
      </c>
      <c r="BO15" s="3">
        <v>289.11553212826743</v>
      </c>
      <c r="BP15" s="7">
        <v>562000250</v>
      </c>
      <c r="BQ15" s="2">
        <v>140.44435963848022</v>
      </c>
      <c r="BR15" s="2">
        <v>608.59222510008101</v>
      </c>
    </row>
    <row r="16" spans="1:70">
      <c r="A16">
        <v>1989</v>
      </c>
      <c r="B16" s="1">
        <v>788571</v>
      </c>
      <c r="C16" s="2">
        <v>35084218.885654561</v>
      </c>
      <c r="D16" s="3">
        <v>44.490881462359837</v>
      </c>
      <c r="E16" s="1">
        <v>473140</v>
      </c>
      <c r="F16" s="4">
        <v>0.57165469342867081</v>
      </c>
      <c r="G16" s="4">
        <v>0.40692382071462385</v>
      </c>
      <c r="H16" s="4">
        <v>0.56639285478297019</v>
      </c>
      <c r="I16" s="4">
        <v>0.50884817081445588</v>
      </c>
      <c r="J16" s="5">
        <v>6.1038573107193574</v>
      </c>
      <c r="K16">
        <v>19984</v>
      </c>
      <c r="L16">
        <v>119006</v>
      </c>
      <c r="M16">
        <v>108278</v>
      </c>
      <c r="N16">
        <v>247268</v>
      </c>
      <c r="O16" s="6">
        <v>149880000</v>
      </c>
      <c r="P16" s="6">
        <v>297515000</v>
      </c>
      <c r="Q16" s="6">
        <v>129933600</v>
      </c>
      <c r="R16" s="6">
        <v>577328600</v>
      </c>
      <c r="S16" s="2">
        <v>82.64</v>
      </c>
      <c r="T16" s="2">
        <v>78.529555555555561</v>
      </c>
      <c r="U16" s="2">
        <v>25.706533333333333</v>
      </c>
      <c r="V16" s="2">
        <v>186.87608888888889</v>
      </c>
      <c r="W16">
        <v>192</v>
      </c>
      <c r="X16">
        <v>0</v>
      </c>
      <c r="Y16">
        <v>0</v>
      </c>
      <c r="Z16">
        <v>192</v>
      </c>
      <c r="AA16" s="2">
        <v>11914749.039258689</v>
      </c>
      <c r="AB16" s="6">
        <v>4692300</v>
      </c>
      <c r="AC16" s="6">
        <v>0</v>
      </c>
      <c r="AD16" s="6">
        <v>0</v>
      </c>
      <c r="AE16" s="6">
        <v>4692300</v>
      </c>
      <c r="AF16" s="3">
        <v>30.770361677301665</v>
      </c>
      <c r="AG16">
        <v>192</v>
      </c>
      <c r="AH16">
        <v>0</v>
      </c>
      <c r="AI16">
        <v>0</v>
      </c>
      <c r="AJ16">
        <v>192</v>
      </c>
      <c r="AK16" s="2">
        <v>19960677.145310774</v>
      </c>
      <c r="AL16" s="6">
        <v>1486400</v>
      </c>
      <c r="AM16" s="6">
        <v>0</v>
      </c>
      <c r="AN16" s="6">
        <v>0</v>
      </c>
      <c r="AO16" s="6">
        <v>1486400</v>
      </c>
      <c r="AP16" s="3">
        <v>1.0419061716843003</v>
      </c>
      <c r="AQ16">
        <v>41</v>
      </c>
      <c r="AR16">
        <v>0</v>
      </c>
      <c r="AS16">
        <v>0</v>
      </c>
      <c r="AT16">
        <v>41</v>
      </c>
      <c r="AU16" s="2">
        <v>449395.06506890204</v>
      </c>
      <c r="AV16" s="6">
        <v>382120</v>
      </c>
      <c r="AW16" s="6">
        <v>0</v>
      </c>
      <c r="AX16" s="6">
        <v>0</v>
      </c>
      <c r="AY16" s="6">
        <v>382120</v>
      </c>
      <c r="AZ16" s="3">
        <v>37.38215933810131</v>
      </c>
      <c r="BA16">
        <v>140</v>
      </c>
      <c r="BB16">
        <v>7</v>
      </c>
      <c r="BC16">
        <v>0</v>
      </c>
      <c r="BD16">
        <v>147</v>
      </c>
      <c r="BE16" s="2">
        <v>2759397.6360161938</v>
      </c>
      <c r="BF16" s="6">
        <v>783255</v>
      </c>
      <c r="BG16" s="6">
        <v>600100</v>
      </c>
      <c r="BH16" s="6">
        <v>0</v>
      </c>
      <c r="BI16" s="6">
        <v>1383355</v>
      </c>
      <c r="BJ16" s="3">
        <v>243.89335393711855</v>
      </c>
      <c r="BK16" s="6">
        <v>7344075</v>
      </c>
      <c r="BL16" s="6">
        <v>600100</v>
      </c>
      <c r="BM16" s="6">
        <v>0</v>
      </c>
      <c r="BN16" s="6">
        <v>7944175</v>
      </c>
      <c r="BO16" s="3">
        <v>313.08778112420583</v>
      </c>
      <c r="BP16" s="7">
        <v>585272775</v>
      </c>
      <c r="BQ16" s="2">
        <v>149.98916100392842</v>
      </c>
      <c r="BR16" s="2">
        <v>649.95303101702314</v>
      </c>
    </row>
    <row r="17" spans="1:70">
      <c r="A17">
        <v>1990</v>
      </c>
      <c r="B17" s="1">
        <v>800459</v>
      </c>
      <c r="C17" s="2">
        <v>39680470.142950736</v>
      </c>
      <c r="D17" s="3">
        <v>49.572145660115929</v>
      </c>
      <c r="E17" s="1">
        <v>480273</v>
      </c>
      <c r="F17" s="4">
        <v>0.58796716533706628</v>
      </c>
      <c r="G17" s="4">
        <v>0.41485810070887502</v>
      </c>
      <c r="H17" s="4">
        <v>0.56403632326899344</v>
      </c>
      <c r="I17" s="4">
        <v>0.51624188812279925</v>
      </c>
      <c r="J17" s="5">
        <v>6.2228715106331256</v>
      </c>
      <c r="K17">
        <v>22471</v>
      </c>
      <c r="L17">
        <v>125685</v>
      </c>
      <c r="M17">
        <v>107698</v>
      </c>
      <c r="N17">
        <v>255854</v>
      </c>
      <c r="O17" s="6">
        <v>168532500</v>
      </c>
      <c r="P17" s="6">
        <v>314212500</v>
      </c>
      <c r="Q17" s="6">
        <v>129237600</v>
      </c>
      <c r="R17" s="6">
        <v>611982600</v>
      </c>
      <c r="S17" s="2">
        <v>90.56</v>
      </c>
      <c r="T17" s="2">
        <v>80.949111111111094</v>
      </c>
      <c r="U17" s="2">
        <v>25.456333333333333</v>
      </c>
      <c r="V17" s="2">
        <v>196.96544444444444</v>
      </c>
      <c r="W17">
        <v>224</v>
      </c>
      <c r="X17">
        <v>0</v>
      </c>
      <c r="Y17">
        <v>0</v>
      </c>
      <c r="Z17">
        <v>224</v>
      </c>
      <c r="AA17" s="2">
        <v>14901677.719357399</v>
      </c>
      <c r="AB17" s="6">
        <v>5464900</v>
      </c>
      <c r="AC17" s="6">
        <v>0</v>
      </c>
      <c r="AD17" s="6">
        <v>0</v>
      </c>
      <c r="AE17" s="6">
        <v>5464900</v>
      </c>
      <c r="AF17" s="3">
        <v>33.45166847950977</v>
      </c>
      <c r="AG17">
        <v>224</v>
      </c>
      <c r="AH17">
        <v>0</v>
      </c>
      <c r="AI17">
        <v>0</v>
      </c>
      <c r="AJ17">
        <v>224</v>
      </c>
      <c r="AK17" s="2">
        <v>21411268.681887381</v>
      </c>
      <c r="AL17" s="6">
        <v>1740040</v>
      </c>
      <c r="AM17" s="6">
        <v>0</v>
      </c>
      <c r="AN17" s="6">
        <v>0</v>
      </c>
      <c r="AO17" s="6">
        <v>1740040</v>
      </c>
      <c r="AP17" s="3">
        <v>1.1319220714314377</v>
      </c>
      <c r="AQ17">
        <v>44</v>
      </c>
      <c r="AR17">
        <v>0</v>
      </c>
      <c r="AS17">
        <v>0</v>
      </c>
      <c r="AT17">
        <v>44</v>
      </c>
      <c r="AU17" s="2">
        <v>484436.62734823639</v>
      </c>
      <c r="AV17" s="6">
        <v>439120</v>
      </c>
      <c r="AW17" s="6">
        <v>0</v>
      </c>
      <c r="AX17" s="6">
        <v>0</v>
      </c>
      <c r="AY17" s="6">
        <v>439120</v>
      </c>
      <c r="AZ17" s="3">
        <v>40.455240835936522</v>
      </c>
      <c r="BA17">
        <v>145</v>
      </c>
      <c r="BB17">
        <v>7</v>
      </c>
      <c r="BC17">
        <v>0</v>
      </c>
      <c r="BD17">
        <v>152</v>
      </c>
      <c r="BE17" s="2">
        <v>2883087.1143577248</v>
      </c>
      <c r="BF17" s="6">
        <v>821490</v>
      </c>
      <c r="BG17" s="6">
        <v>604650</v>
      </c>
      <c r="BH17" s="6">
        <v>0</v>
      </c>
      <c r="BI17" s="6">
        <v>1426140</v>
      </c>
      <c r="BJ17" s="3">
        <v>262.6233376181325</v>
      </c>
      <c r="BK17" s="6">
        <v>8465550</v>
      </c>
      <c r="BL17" s="6">
        <v>604650</v>
      </c>
      <c r="BM17" s="6">
        <v>0</v>
      </c>
      <c r="BN17" s="6">
        <v>9070200</v>
      </c>
      <c r="BO17" s="3">
        <v>337.66216900501024</v>
      </c>
      <c r="BP17" s="7">
        <v>621052800</v>
      </c>
      <c r="BQ17" s="2">
        <v>160.3882840348364</v>
      </c>
      <c r="BR17" s="2">
        <v>695.01589748429103</v>
      </c>
    </row>
    <row r="18" spans="1:70">
      <c r="A18">
        <v>1991</v>
      </c>
      <c r="B18" s="1">
        <v>811819</v>
      </c>
      <c r="C18" s="2">
        <v>42604642.165427811</v>
      </c>
      <c r="D18" s="3">
        <v>52.480469372394353</v>
      </c>
      <c r="E18" s="1">
        <v>487089</v>
      </c>
      <c r="F18" s="4">
        <v>0.59655879806559498</v>
      </c>
      <c r="G18" s="4">
        <v>0.42229194630042421</v>
      </c>
      <c r="H18" s="4">
        <v>0.56097719942596658</v>
      </c>
      <c r="I18" s="4">
        <v>0.52087928715087572</v>
      </c>
      <c r="J18" s="5">
        <v>6.3343791945063632</v>
      </c>
      <c r="K18">
        <v>24256</v>
      </c>
      <c r="L18">
        <v>129172</v>
      </c>
      <c r="M18">
        <v>107633</v>
      </c>
      <c r="N18">
        <v>261061</v>
      </c>
      <c r="O18" s="6">
        <v>181920000</v>
      </c>
      <c r="P18" s="6">
        <v>322930000</v>
      </c>
      <c r="Q18" s="6">
        <v>129159600</v>
      </c>
      <c r="R18" s="6">
        <v>634009600</v>
      </c>
      <c r="S18" s="2">
        <v>96.715000000000018</v>
      </c>
      <c r="T18" s="2">
        <v>82.609333333333325</v>
      </c>
      <c r="U18" s="2">
        <v>25.4694</v>
      </c>
      <c r="V18" s="2">
        <v>204.79373333333334</v>
      </c>
      <c r="W18">
        <v>238</v>
      </c>
      <c r="X18">
        <v>0</v>
      </c>
      <c r="Y18">
        <v>0</v>
      </c>
      <c r="Z18">
        <v>238</v>
      </c>
      <c r="AA18" s="2">
        <v>16170464.151217714</v>
      </c>
      <c r="AB18" s="6">
        <v>5767000</v>
      </c>
      <c r="AC18" s="6">
        <v>0</v>
      </c>
      <c r="AD18" s="6">
        <v>0</v>
      </c>
      <c r="AE18" s="6">
        <v>5767000</v>
      </c>
      <c r="AF18" s="3">
        <v>36.080935764813923</v>
      </c>
      <c r="AG18">
        <v>238</v>
      </c>
      <c r="AH18">
        <v>0</v>
      </c>
      <c r="AI18">
        <v>0</v>
      </c>
      <c r="AJ18">
        <v>238</v>
      </c>
      <c r="AK18" s="2">
        <v>22902621.256007109</v>
      </c>
      <c r="AL18" s="6">
        <v>1829200</v>
      </c>
      <c r="AM18" s="6">
        <v>0</v>
      </c>
      <c r="AN18" s="6">
        <v>0</v>
      </c>
      <c r="AO18" s="6">
        <v>1829200</v>
      </c>
      <c r="AP18" s="3">
        <v>1.220123599205905</v>
      </c>
      <c r="AQ18">
        <v>47</v>
      </c>
      <c r="AR18">
        <v>0</v>
      </c>
      <c r="AS18">
        <v>0</v>
      </c>
      <c r="AT18">
        <v>47</v>
      </c>
      <c r="AU18" s="2">
        <v>520514.61598906113</v>
      </c>
      <c r="AV18" s="6">
        <v>417360</v>
      </c>
      <c r="AW18" s="6">
        <v>0</v>
      </c>
      <c r="AX18" s="6">
        <v>0</v>
      </c>
      <c r="AY18" s="6">
        <v>417360</v>
      </c>
      <c r="AZ18" s="3">
        <v>43.610872204274933</v>
      </c>
      <c r="BA18">
        <v>151</v>
      </c>
      <c r="BB18">
        <v>7</v>
      </c>
      <c r="BC18">
        <v>0</v>
      </c>
      <c r="BD18">
        <v>158</v>
      </c>
      <c r="BE18" s="2">
        <v>3011042.1422139299</v>
      </c>
      <c r="BF18" s="6">
        <v>854655</v>
      </c>
      <c r="BG18" s="6">
        <v>595550</v>
      </c>
      <c r="BH18" s="6">
        <v>0</v>
      </c>
      <c r="BI18" s="6">
        <v>1450205</v>
      </c>
      <c r="BJ18" s="3">
        <v>281.81558615116967</v>
      </c>
      <c r="BK18" s="6">
        <v>8868215</v>
      </c>
      <c r="BL18" s="6">
        <v>595550</v>
      </c>
      <c r="BM18" s="6">
        <v>0</v>
      </c>
      <c r="BN18" s="6">
        <v>9463765</v>
      </c>
      <c r="BO18" s="3">
        <v>362.72751771946446</v>
      </c>
      <c r="BP18" s="7">
        <v>643473365</v>
      </c>
      <c r="BQ18" s="2">
        <v>170.25637531583934</v>
      </c>
      <c r="BR18" s="2">
        <v>737.77762636863713</v>
      </c>
    </row>
    <row r="19" spans="1:70">
      <c r="A19">
        <v>1992</v>
      </c>
      <c r="B19" s="1">
        <v>823244</v>
      </c>
      <c r="C19" s="2">
        <v>45698760.973099366</v>
      </c>
      <c r="D19" s="3">
        <v>55.51059099501407</v>
      </c>
      <c r="E19" s="1">
        <v>493945</v>
      </c>
      <c r="F19" s="4">
        <v>0.60501920033636858</v>
      </c>
      <c r="G19" s="4">
        <v>0.42931380776241607</v>
      </c>
      <c r="H19" s="4">
        <v>0.55781488883326225</v>
      </c>
      <c r="I19" s="4">
        <v>0.52522417225309104</v>
      </c>
      <c r="J19" s="5">
        <v>6.4397071164362414</v>
      </c>
      <c r="K19">
        <v>26068</v>
      </c>
      <c r="L19">
        <v>132538</v>
      </c>
      <c r="M19">
        <v>107484</v>
      </c>
      <c r="N19">
        <v>266090</v>
      </c>
      <c r="O19" s="6">
        <v>195510000</v>
      </c>
      <c r="P19" s="6">
        <v>331345000</v>
      </c>
      <c r="Q19" s="6">
        <v>128980800</v>
      </c>
      <c r="R19" s="6">
        <v>655835800</v>
      </c>
      <c r="S19" s="2">
        <v>102.94</v>
      </c>
      <c r="T19" s="2">
        <v>84.257111111111101</v>
      </c>
      <c r="U19" s="2">
        <v>25.487733333333331</v>
      </c>
      <c r="V19" s="2">
        <v>212.68484444444442</v>
      </c>
      <c r="W19">
        <v>251</v>
      </c>
      <c r="X19">
        <v>1</v>
      </c>
      <c r="Y19">
        <v>1</v>
      </c>
      <c r="Z19">
        <v>253</v>
      </c>
      <c r="AA19" s="2">
        <v>17518789.098827366</v>
      </c>
      <c r="AB19" s="6">
        <v>6132500</v>
      </c>
      <c r="AC19" s="6">
        <v>247000</v>
      </c>
      <c r="AD19" s="6">
        <v>0</v>
      </c>
      <c r="AE19" s="6">
        <v>6379500</v>
      </c>
      <c r="AF19" s="3">
        <v>38.797862806020639</v>
      </c>
      <c r="AG19">
        <v>251</v>
      </c>
      <c r="AH19">
        <v>1</v>
      </c>
      <c r="AI19">
        <v>0</v>
      </c>
      <c r="AJ19">
        <v>252</v>
      </c>
      <c r="AK19" s="2">
        <v>24478629.513092764</v>
      </c>
      <c r="AL19" s="6">
        <v>1928880</v>
      </c>
      <c r="AM19" s="6">
        <v>97000</v>
      </c>
      <c r="AN19" s="6">
        <v>0</v>
      </c>
      <c r="AO19" s="6">
        <v>2025880</v>
      </c>
      <c r="AP19" s="3">
        <v>1.3121453060857995</v>
      </c>
      <c r="AQ19">
        <v>50</v>
      </c>
      <c r="AR19">
        <v>0</v>
      </c>
      <c r="AS19">
        <v>0</v>
      </c>
      <c r="AT19">
        <v>50</v>
      </c>
      <c r="AU19" s="2">
        <v>557675.42167740571</v>
      </c>
      <c r="AV19" s="6">
        <v>510000</v>
      </c>
      <c r="AW19" s="6">
        <v>0</v>
      </c>
      <c r="AX19" s="6">
        <v>0</v>
      </c>
      <c r="AY19" s="6">
        <v>510000</v>
      </c>
      <c r="AZ19" s="3">
        <v>46.852402042494823</v>
      </c>
      <c r="BA19">
        <v>156</v>
      </c>
      <c r="BB19">
        <v>7</v>
      </c>
      <c r="BC19">
        <v>0</v>
      </c>
      <c r="BD19">
        <v>163</v>
      </c>
      <c r="BE19" s="2">
        <v>3143666.9395018257</v>
      </c>
      <c r="BF19" s="6">
        <v>886860</v>
      </c>
      <c r="BG19" s="6">
        <v>604000</v>
      </c>
      <c r="BH19" s="6">
        <v>0</v>
      </c>
      <c r="BI19" s="6">
        <v>1490860</v>
      </c>
      <c r="BJ19" s="3">
        <v>301.49464701738168</v>
      </c>
      <c r="BK19" s="6">
        <v>9458240</v>
      </c>
      <c r="BL19" s="6">
        <v>948000</v>
      </c>
      <c r="BM19" s="6">
        <v>0</v>
      </c>
      <c r="BN19" s="6">
        <v>10406240</v>
      </c>
      <c r="BO19" s="3">
        <v>388.45705717198291</v>
      </c>
      <c r="BP19" s="7">
        <v>666242040</v>
      </c>
      <c r="BQ19" s="2">
        <v>180.34257048492819</v>
      </c>
      <c r="BR19" s="2">
        <v>781.48447210135544</v>
      </c>
    </row>
    <row r="20" spans="1:70">
      <c r="A20">
        <v>1993</v>
      </c>
      <c r="B20" s="1">
        <v>834792</v>
      </c>
      <c r="C20" s="2">
        <v>48947802.167864494</v>
      </c>
      <c r="D20" s="3">
        <v>58.634728372893477</v>
      </c>
      <c r="E20" s="1">
        <v>500873</v>
      </c>
      <c r="F20" s="4">
        <v>0.61327253492474521</v>
      </c>
      <c r="G20" s="4">
        <v>0.43594911957466226</v>
      </c>
      <c r="H20" s="4">
        <v>0.55461933129290408</v>
      </c>
      <c r="I20" s="4">
        <v>0.52929132303740545</v>
      </c>
      <c r="J20" s="5">
        <v>6.539236793619934</v>
      </c>
      <c r="K20">
        <v>27890</v>
      </c>
      <c r="L20">
        <v>135763</v>
      </c>
      <c r="M20">
        <v>107278</v>
      </c>
      <c r="N20">
        <v>270931</v>
      </c>
      <c r="O20" s="6">
        <v>209175000</v>
      </c>
      <c r="P20" s="6">
        <v>339407500</v>
      </c>
      <c r="Q20" s="6">
        <v>128733600</v>
      </c>
      <c r="R20" s="6">
        <v>677316100</v>
      </c>
      <c r="S20" s="2">
        <v>109.20499999999998</v>
      </c>
      <c r="T20" s="2">
        <v>85.896222222222207</v>
      </c>
      <c r="U20" s="2">
        <v>25.5152</v>
      </c>
      <c r="V20" s="2">
        <v>220.61642222222224</v>
      </c>
      <c r="W20">
        <v>264</v>
      </c>
      <c r="X20">
        <v>1</v>
      </c>
      <c r="Y20">
        <v>1</v>
      </c>
      <c r="Z20">
        <v>266</v>
      </c>
      <c r="AA20" s="2">
        <v>18940595.135792013</v>
      </c>
      <c r="AB20" s="6">
        <v>6411900</v>
      </c>
      <c r="AC20" s="6">
        <v>240000</v>
      </c>
      <c r="AD20" s="6">
        <v>0</v>
      </c>
      <c r="AE20" s="6">
        <v>6651900</v>
      </c>
      <c r="AF20" s="3">
        <v>41.604662169959425</v>
      </c>
      <c r="AG20">
        <v>264</v>
      </c>
      <c r="AH20">
        <v>1</v>
      </c>
      <c r="AI20">
        <v>0</v>
      </c>
      <c r="AJ20">
        <v>265</v>
      </c>
      <c r="AK20" s="2">
        <v>26130079.213233143</v>
      </c>
      <c r="AL20" s="6">
        <v>2025840</v>
      </c>
      <c r="AM20" s="6">
        <v>97500</v>
      </c>
      <c r="AN20" s="6">
        <v>0</v>
      </c>
      <c r="AO20" s="6">
        <v>2123340</v>
      </c>
      <c r="AP20" s="3">
        <v>1.4080694632567188</v>
      </c>
      <c r="AQ20">
        <v>52</v>
      </c>
      <c r="AR20">
        <v>0</v>
      </c>
      <c r="AS20">
        <v>0</v>
      </c>
      <c r="AT20">
        <v>52</v>
      </c>
      <c r="AU20" s="2">
        <v>596028.66381796426</v>
      </c>
      <c r="AV20" s="6">
        <v>496080</v>
      </c>
      <c r="AW20" s="6">
        <v>0</v>
      </c>
      <c r="AX20" s="6">
        <v>0</v>
      </c>
      <c r="AY20" s="6">
        <v>496080</v>
      </c>
      <c r="AZ20" s="3">
        <v>50.183260153405939</v>
      </c>
      <c r="BA20">
        <v>162</v>
      </c>
      <c r="BB20">
        <v>7</v>
      </c>
      <c r="BC20">
        <v>0</v>
      </c>
      <c r="BD20">
        <v>169</v>
      </c>
      <c r="BE20" s="2">
        <v>3281099.1550213783</v>
      </c>
      <c r="BF20" s="6">
        <v>937485</v>
      </c>
      <c r="BG20" s="6">
        <v>589050</v>
      </c>
      <c r="BH20" s="6">
        <v>0</v>
      </c>
      <c r="BI20" s="6">
        <v>1526535</v>
      </c>
      <c r="BJ20" s="3">
        <v>321.68509537740852</v>
      </c>
      <c r="BK20" s="6">
        <v>9871305</v>
      </c>
      <c r="BL20" s="6">
        <v>926550</v>
      </c>
      <c r="BM20" s="6">
        <v>0</v>
      </c>
      <c r="BN20" s="6">
        <v>10797855</v>
      </c>
      <c r="BO20" s="3">
        <v>414.88108716403059</v>
      </c>
      <c r="BP20" s="7">
        <v>688113955</v>
      </c>
      <c r="BQ20" s="2">
        <v>190.64925281587585</v>
      </c>
      <c r="BR20" s="2">
        <v>826.14676220212868</v>
      </c>
    </row>
    <row r="21" spans="1:70">
      <c r="A21">
        <v>1994</v>
      </c>
      <c r="B21" s="1">
        <v>846508</v>
      </c>
      <c r="C21" s="2">
        <v>52334234.908384845</v>
      </c>
      <c r="D21" s="3">
        <v>61.823674328399548</v>
      </c>
      <c r="E21" s="1">
        <v>507903</v>
      </c>
      <c r="F21" s="4">
        <v>0.62125587124236847</v>
      </c>
      <c r="G21" s="4">
        <v>0.44221801315996462</v>
      </c>
      <c r="H21" s="4">
        <v>0.551437149589318</v>
      </c>
      <c r="I21" s="4">
        <v>0.53309055160086671</v>
      </c>
      <c r="J21" s="5">
        <v>6.6332701973994697</v>
      </c>
      <c r="K21">
        <v>29713</v>
      </c>
      <c r="L21">
        <v>138836</v>
      </c>
      <c r="M21">
        <v>107044</v>
      </c>
      <c r="N21">
        <v>275593</v>
      </c>
      <c r="O21" s="6">
        <v>222847500</v>
      </c>
      <c r="P21" s="6">
        <v>347090000</v>
      </c>
      <c r="Q21" s="6">
        <v>128452800</v>
      </c>
      <c r="R21" s="6">
        <v>698390300</v>
      </c>
      <c r="S21" s="2">
        <v>115.48833333333333</v>
      </c>
      <c r="T21" s="2">
        <v>87.53</v>
      </c>
      <c r="U21" s="2">
        <v>25.554866666666666</v>
      </c>
      <c r="V21" s="2">
        <v>228.57319999999999</v>
      </c>
      <c r="W21">
        <v>278</v>
      </c>
      <c r="X21">
        <v>1</v>
      </c>
      <c r="Y21">
        <v>1</v>
      </c>
      <c r="Z21">
        <v>280</v>
      </c>
      <c r="AA21" s="2">
        <v>20428347.733711928</v>
      </c>
      <c r="AB21" s="6">
        <v>6765800</v>
      </c>
      <c r="AC21" s="6">
        <v>242000</v>
      </c>
      <c r="AD21" s="6">
        <v>0</v>
      </c>
      <c r="AE21" s="6">
        <v>7007800</v>
      </c>
      <c r="AF21" s="3">
        <v>44.503570388633008</v>
      </c>
      <c r="AG21">
        <v>278</v>
      </c>
      <c r="AH21">
        <v>1</v>
      </c>
      <c r="AI21">
        <v>0</v>
      </c>
      <c r="AJ21">
        <v>279</v>
      </c>
      <c r="AK21" s="2">
        <v>27846561.190179139</v>
      </c>
      <c r="AL21" s="6">
        <v>2134120</v>
      </c>
      <c r="AM21" s="6">
        <v>97000</v>
      </c>
      <c r="AN21" s="6">
        <v>0</v>
      </c>
      <c r="AO21" s="6">
        <v>2231120</v>
      </c>
      <c r="AP21" s="3">
        <v>1.507980003011872</v>
      </c>
      <c r="AQ21">
        <v>55</v>
      </c>
      <c r="AR21">
        <v>0</v>
      </c>
      <c r="AS21">
        <v>0</v>
      </c>
      <c r="AT21">
        <v>55</v>
      </c>
      <c r="AU21" s="2">
        <v>635730.57653211057</v>
      </c>
      <c r="AV21" s="6">
        <v>488400</v>
      </c>
      <c r="AW21" s="6">
        <v>0</v>
      </c>
      <c r="AX21" s="6">
        <v>0</v>
      </c>
      <c r="AY21" s="6">
        <v>488400</v>
      </c>
      <c r="AZ21" s="3">
        <v>53.60681802064331</v>
      </c>
      <c r="BA21">
        <v>166</v>
      </c>
      <c r="BB21">
        <v>8</v>
      </c>
      <c r="BC21">
        <v>0</v>
      </c>
      <c r="BD21">
        <v>174</v>
      </c>
      <c r="BE21" s="2">
        <v>3423595.4079616638</v>
      </c>
      <c r="BF21" s="6">
        <v>939615</v>
      </c>
      <c r="BG21" s="6">
        <v>694000</v>
      </c>
      <c r="BH21" s="6">
        <v>0</v>
      </c>
      <c r="BI21" s="6">
        <v>1633615</v>
      </c>
      <c r="BJ21" s="3">
        <v>342.41058533840442</v>
      </c>
      <c r="BK21" s="6">
        <v>10327935</v>
      </c>
      <c r="BL21" s="6">
        <v>1033000</v>
      </c>
      <c r="BM21" s="6">
        <v>0</v>
      </c>
      <c r="BN21" s="6">
        <v>11360935</v>
      </c>
      <c r="BO21" s="3">
        <v>442.02895375069261</v>
      </c>
      <c r="BP21" s="7">
        <v>709751235</v>
      </c>
      <c r="BQ21" s="2">
        <v>201.1806461252078</v>
      </c>
      <c r="BR21" s="2">
        <v>871.78279987590042</v>
      </c>
    </row>
    <row r="22" spans="1:70">
      <c r="A22">
        <v>1995</v>
      </c>
      <c r="B22" s="1">
        <v>858424</v>
      </c>
      <c r="C22" s="2">
        <v>55841747.26687853</v>
      </c>
      <c r="D22" s="3">
        <v>65.051474873580574</v>
      </c>
      <c r="E22" s="1">
        <v>515053</v>
      </c>
      <c r="F22" s="4">
        <v>0.62892770232428763</v>
      </c>
      <c r="G22" s="4">
        <v>0.44814058289609665</v>
      </c>
      <c r="H22" s="4">
        <v>0.54830336493393872</v>
      </c>
      <c r="I22" s="4">
        <v>0.53663455800567461</v>
      </c>
      <c r="J22" s="5">
        <v>6.7221087434414502</v>
      </c>
      <c r="K22">
        <v>31525</v>
      </c>
      <c r="L22">
        <v>141768</v>
      </c>
      <c r="M22">
        <v>106805</v>
      </c>
      <c r="N22">
        <v>280098</v>
      </c>
      <c r="O22" s="6">
        <v>236437500</v>
      </c>
      <c r="P22" s="6">
        <v>354420000</v>
      </c>
      <c r="Q22" s="6">
        <v>128166000</v>
      </c>
      <c r="R22" s="6">
        <v>719023500</v>
      </c>
      <c r="S22" s="2">
        <v>121.77666666666667</v>
      </c>
      <c r="T22" s="2">
        <v>89.162222222222212</v>
      </c>
      <c r="U22" s="2">
        <v>25.608133333333331</v>
      </c>
      <c r="V22" s="2">
        <v>236.54702222222221</v>
      </c>
      <c r="W22">
        <v>292</v>
      </c>
      <c r="X22">
        <v>1</v>
      </c>
      <c r="Y22">
        <v>1</v>
      </c>
      <c r="Z22">
        <v>294</v>
      </c>
      <c r="AA22" s="2">
        <v>21974750.185042948</v>
      </c>
      <c r="AB22" s="6">
        <v>7058900</v>
      </c>
      <c r="AC22" s="6">
        <v>242000</v>
      </c>
      <c r="AD22" s="6">
        <v>0</v>
      </c>
      <c r="AE22" s="6">
        <v>7300900</v>
      </c>
      <c r="AF22" s="3">
        <v>47.496842706956009</v>
      </c>
      <c r="AG22">
        <v>292</v>
      </c>
      <c r="AH22">
        <v>1</v>
      </c>
      <c r="AI22">
        <v>0</v>
      </c>
      <c r="AJ22">
        <v>293</v>
      </c>
      <c r="AK22" s="2">
        <v>29618693.046873741</v>
      </c>
      <c r="AL22" s="6">
        <v>2267160</v>
      </c>
      <c r="AM22" s="6">
        <v>99000</v>
      </c>
      <c r="AN22" s="6">
        <v>0</v>
      </c>
      <c r="AO22" s="6">
        <v>2366160</v>
      </c>
      <c r="AP22" s="3">
        <v>1.6119623684181836</v>
      </c>
      <c r="AQ22">
        <v>58</v>
      </c>
      <c r="AR22">
        <v>0</v>
      </c>
      <c r="AS22">
        <v>0</v>
      </c>
      <c r="AT22">
        <v>58</v>
      </c>
      <c r="AU22" s="2">
        <v>676923.96831852035</v>
      </c>
      <c r="AV22" s="6">
        <v>578840</v>
      </c>
      <c r="AW22" s="6">
        <v>0</v>
      </c>
      <c r="AX22" s="6">
        <v>0</v>
      </c>
      <c r="AY22" s="6">
        <v>578840</v>
      </c>
      <c r="AZ22" s="3">
        <v>57.126388215445402</v>
      </c>
      <c r="BA22">
        <v>172</v>
      </c>
      <c r="BB22">
        <v>8</v>
      </c>
      <c r="BC22">
        <v>0</v>
      </c>
      <c r="BD22">
        <v>180</v>
      </c>
      <c r="BE22" s="2">
        <v>3571380.0666433126</v>
      </c>
      <c r="BF22" s="6">
        <v>979035</v>
      </c>
      <c r="BG22" s="6">
        <v>684900</v>
      </c>
      <c r="BH22" s="6">
        <v>0</v>
      </c>
      <c r="BI22" s="6">
        <v>1663935</v>
      </c>
      <c r="BJ22" s="3">
        <v>363.69390466378923</v>
      </c>
      <c r="BK22" s="6">
        <v>10883935</v>
      </c>
      <c r="BL22" s="6">
        <v>1025900</v>
      </c>
      <c r="BM22" s="6">
        <v>0</v>
      </c>
      <c r="BN22" s="6">
        <v>11909835</v>
      </c>
      <c r="BO22" s="3">
        <v>469.92909795460884</v>
      </c>
      <c r="BP22" s="7">
        <v>730933335</v>
      </c>
      <c r="BQ22" s="2">
        <v>211.94283605304932</v>
      </c>
      <c r="BR22" s="2">
        <v>918.41895622988034</v>
      </c>
    </row>
    <row r="23" spans="1:70">
      <c r="A23">
        <v>1996</v>
      </c>
      <c r="B23" s="1">
        <v>870564</v>
      </c>
      <c r="C23" s="2">
        <v>59458445.740235455</v>
      </c>
      <c r="D23" s="3">
        <v>68.298764640205036</v>
      </c>
      <c r="E23" s="1">
        <v>522336</v>
      </c>
      <c r="F23" s="4">
        <v>0.63627063023350006</v>
      </c>
      <c r="G23" s="4">
        <v>0.45373571138216223</v>
      </c>
      <c r="H23" s="4">
        <v>0.54524428979895156</v>
      </c>
      <c r="I23" s="4">
        <v>0.53993977550378147</v>
      </c>
      <c r="J23" s="5">
        <v>6.8060356707324337</v>
      </c>
      <c r="K23">
        <v>33321</v>
      </c>
      <c r="L23">
        <v>144573</v>
      </c>
      <c r="M23">
        <v>106582</v>
      </c>
      <c r="N23">
        <v>284476</v>
      </c>
      <c r="O23" s="6">
        <v>249907500</v>
      </c>
      <c r="P23" s="6">
        <v>361432500</v>
      </c>
      <c r="Q23" s="6">
        <v>127898400</v>
      </c>
      <c r="R23" s="6">
        <v>739238400</v>
      </c>
      <c r="S23" s="2">
        <v>128.05166666666665</v>
      </c>
      <c r="T23" s="2">
        <v>90.797555555555562</v>
      </c>
      <c r="U23" s="2">
        <v>25.675666666666665</v>
      </c>
      <c r="V23" s="2">
        <v>244.52488888888888</v>
      </c>
      <c r="W23">
        <v>308</v>
      </c>
      <c r="X23">
        <v>1</v>
      </c>
      <c r="Y23">
        <v>1</v>
      </c>
      <c r="Z23">
        <v>310</v>
      </c>
      <c r="AA23" s="2">
        <v>23574381.564628188</v>
      </c>
      <c r="AB23" s="6">
        <v>7487200</v>
      </c>
      <c r="AC23" s="6">
        <v>243000</v>
      </c>
      <c r="AD23" s="6">
        <v>2925000</v>
      </c>
      <c r="AE23" s="6">
        <v>10655200</v>
      </c>
      <c r="AF23" s="3">
        <v>50.586811970023412</v>
      </c>
      <c r="AG23">
        <v>308</v>
      </c>
      <c r="AH23">
        <v>1</v>
      </c>
      <c r="AI23">
        <v>1</v>
      </c>
      <c r="AJ23">
        <v>310</v>
      </c>
      <c r="AK23" s="2">
        <v>31439592.957016181</v>
      </c>
      <c r="AL23" s="6">
        <v>2412960</v>
      </c>
      <c r="AM23" s="6">
        <v>98000</v>
      </c>
      <c r="AN23" s="6">
        <v>1170000</v>
      </c>
      <c r="AO23" s="6">
        <v>3680960</v>
      </c>
      <c r="AP23" s="3">
        <v>1.7201050491400534</v>
      </c>
      <c r="AQ23">
        <v>61</v>
      </c>
      <c r="AR23">
        <v>0</v>
      </c>
      <c r="AS23">
        <v>0</v>
      </c>
      <c r="AT23">
        <v>61</v>
      </c>
      <c r="AU23" s="2">
        <v>719764.33731383574</v>
      </c>
      <c r="AV23" s="6">
        <v>541680</v>
      </c>
      <c r="AW23" s="6">
        <v>0</v>
      </c>
      <c r="AX23" s="6">
        <v>0</v>
      </c>
      <c r="AY23" s="6">
        <v>541680</v>
      </c>
      <c r="AZ23" s="3">
        <v>60.745311844080334</v>
      </c>
      <c r="BA23">
        <v>178</v>
      </c>
      <c r="BB23">
        <v>8</v>
      </c>
      <c r="BC23">
        <v>0</v>
      </c>
      <c r="BD23">
        <v>186</v>
      </c>
      <c r="BE23" s="2">
        <v>3724706.8812772557</v>
      </c>
      <c r="BF23" s="6">
        <v>1002075</v>
      </c>
      <c r="BG23" s="6">
        <v>692700</v>
      </c>
      <c r="BH23" s="6">
        <v>0</v>
      </c>
      <c r="BI23" s="6">
        <v>1694775</v>
      </c>
      <c r="BJ23" s="3">
        <v>385.55764974137878</v>
      </c>
      <c r="BK23" s="6">
        <v>11443915</v>
      </c>
      <c r="BL23" s="6">
        <v>1033700</v>
      </c>
      <c r="BM23" s="6">
        <v>4095000</v>
      </c>
      <c r="BN23" s="6">
        <v>16572615</v>
      </c>
      <c r="BO23" s="3">
        <v>498.60987860462257</v>
      </c>
      <c r="BP23" s="7">
        <v>755811015</v>
      </c>
      <c r="BQ23" s="2">
        <v>222.94043024805342</v>
      </c>
      <c r="BR23" s="2">
        <v>966.07519774156481</v>
      </c>
    </row>
    <row r="24" spans="1:70">
      <c r="A24">
        <v>1997</v>
      </c>
      <c r="B24" s="1">
        <v>882948</v>
      </c>
      <c r="C24" s="2">
        <v>63178143.924460255</v>
      </c>
      <c r="D24" s="3">
        <v>71.553640672452119</v>
      </c>
      <c r="E24" s="1">
        <v>529767</v>
      </c>
      <c r="F24" s="4">
        <v>0.64328772832041781</v>
      </c>
      <c r="G24" s="4">
        <v>0.45901924582808623</v>
      </c>
      <c r="H24" s="4">
        <v>0.54228362118421614</v>
      </c>
      <c r="I24" s="4">
        <v>0.54302632388004934</v>
      </c>
      <c r="J24" s="5">
        <v>6.8852886874212933</v>
      </c>
      <c r="K24">
        <v>35098</v>
      </c>
      <c r="L24">
        <v>147275</v>
      </c>
      <c r="M24">
        <v>106385</v>
      </c>
      <c r="N24">
        <v>288758</v>
      </c>
      <c r="O24" s="6">
        <v>263235000</v>
      </c>
      <c r="P24" s="6">
        <v>368187500</v>
      </c>
      <c r="Q24" s="6">
        <v>127662000</v>
      </c>
      <c r="R24" s="6">
        <v>759084500</v>
      </c>
      <c r="S24" s="2">
        <v>134.31666666666666</v>
      </c>
      <c r="T24" s="2">
        <v>92.443111111111108</v>
      </c>
      <c r="U24" s="2">
        <v>25.757200000000001</v>
      </c>
      <c r="V24" s="2">
        <v>252.51697777777775</v>
      </c>
      <c r="W24">
        <v>321</v>
      </c>
      <c r="X24">
        <v>2</v>
      </c>
      <c r="Y24">
        <v>2</v>
      </c>
      <c r="Z24">
        <v>325</v>
      </c>
      <c r="AA24" s="2">
        <v>25224164.664181136</v>
      </c>
      <c r="AB24" s="6">
        <v>7898100</v>
      </c>
      <c r="AC24" s="6">
        <v>486000</v>
      </c>
      <c r="AD24" s="6">
        <v>2910000</v>
      </c>
      <c r="AE24" s="6">
        <v>11294100</v>
      </c>
      <c r="AF24" s="3">
        <v>53.775798147102272</v>
      </c>
      <c r="AG24">
        <v>321</v>
      </c>
      <c r="AH24">
        <v>2</v>
      </c>
      <c r="AI24">
        <v>1</v>
      </c>
      <c r="AJ24">
        <v>324</v>
      </c>
      <c r="AK24" s="2">
        <v>33305642.707102772</v>
      </c>
      <c r="AL24" s="6">
        <v>2499520</v>
      </c>
      <c r="AM24" s="6">
        <v>197000</v>
      </c>
      <c r="AN24" s="6">
        <v>1176000</v>
      </c>
      <c r="AO24" s="6">
        <v>3872520</v>
      </c>
      <c r="AP24" s="3">
        <v>1.8324972288527701</v>
      </c>
      <c r="AQ24">
        <v>64</v>
      </c>
      <c r="AR24">
        <v>0</v>
      </c>
      <c r="AS24">
        <v>0</v>
      </c>
      <c r="AT24">
        <v>64</v>
      </c>
      <c r="AU24" s="2">
        <v>764398.97031694045</v>
      </c>
      <c r="AV24" s="6">
        <v>554240</v>
      </c>
      <c r="AW24" s="6">
        <v>0</v>
      </c>
      <c r="AX24" s="6">
        <v>0</v>
      </c>
      <c r="AY24" s="6">
        <v>554240</v>
      </c>
      <c r="AZ24" s="3">
        <v>64.466837947032204</v>
      </c>
      <c r="BA24">
        <v>185</v>
      </c>
      <c r="BB24">
        <v>8</v>
      </c>
      <c r="BC24">
        <v>0</v>
      </c>
      <c r="BD24">
        <v>193</v>
      </c>
      <c r="BE24" s="2">
        <v>3883937.58285941</v>
      </c>
      <c r="BF24" s="6">
        <v>1084125</v>
      </c>
      <c r="BG24" s="6">
        <v>683600</v>
      </c>
      <c r="BH24" s="6">
        <v>0</v>
      </c>
      <c r="BI24" s="6">
        <v>1767725</v>
      </c>
      <c r="BJ24" s="3">
        <v>408.02340334841983</v>
      </c>
      <c r="BK24" s="6">
        <v>12035985</v>
      </c>
      <c r="BL24" s="6">
        <v>1366600</v>
      </c>
      <c r="BM24" s="6">
        <v>4086000</v>
      </c>
      <c r="BN24" s="6">
        <v>17488585</v>
      </c>
      <c r="BO24" s="3">
        <v>528.09853667140715</v>
      </c>
      <c r="BP24" s="7">
        <v>776573085</v>
      </c>
      <c r="BQ24" s="2">
        <v>234.18465433475546</v>
      </c>
      <c r="BR24" s="2">
        <v>1014.8001687839404</v>
      </c>
    </row>
    <row r="25" spans="1:70">
      <c r="A25">
        <v>1998</v>
      </c>
      <c r="B25" s="1">
        <v>895590</v>
      </c>
      <c r="C25" s="2">
        <v>66999951.871385515</v>
      </c>
      <c r="D25" s="3">
        <v>74.810964695212675</v>
      </c>
      <c r="E25" s="1">
        <v>537352</v>
      </c>
      <c r="F25" s="4">
        <v>0.64999653826265447</v>
      </c>
      <c r="G25" s="4">
        <v>0.46400792111878375</v>
      </c>
      <c r="H25" s="4">
        <v>0.53944254439364714</v>
      </c>
      <c r="I25" s="4">
        <v>0.54591774483459699</v>
      </c>
      <c r="J25" s="5">
        <v>6.9601188167817565</v>
      </c>
      <c r="K25">
        <v>36856</v>
      </c>
      <c r="L25">
        <v>149893</v>
      </c>
      <c r="M25">
        <v>106223</v>
      </c>
      <c r="N25">
        <v>292972</v>
      </c>
      <c r="O25" s="6">
        <v>276420000</v>
      </c>
      <c r="P25" s="6">
        <v>374732500</v>
      </c>
      <c r="Q25" s="6">
        <v>127467600</v>
      </c>
      <c r="R25" s="6">
        <v>778620100</v>
      </c>
      <c r="S25" s="2">
        <v>140.56166666666667</v>
      </c>
      <c r="T25" s="2">
        <v>94.103333333333325</v>
      </c>
      <c r="U25" s="2">
        <v>25.852066666666666</v>
      </c>
      <c r="V25" s="2">
        <v>260.51706666666666</v>
      </c>
      <c r="W25">
        <v>334</v>
      </c>
      <c r="X25">
        <v>2</v>
      </c>
      <c r="Y25">
        <v>2</v>
      </c>
      <c r="Z25">
        <v>338</v>
      </c>
      <c r="AA25" s="2">
        <v>26923350.639208563</v>
      </c>
      <c r="AB25" s="6">
        <v>8137500</v>
      </c>
      <c r="AC25" s="6">
        <v>486000</v>
      </c>
      <c r="AD25" s="6">
        <v>2940000</v>
      </c>
      <c r="AE25" s="6">
        <v>11563500</v>
      </c>
      <c r="AF25" s="3">
        <v>57.066136594311686</v>
      </c>
      <c r="AG25">
        <v>334</v>
      </c>
      <c r="AH25">
        <v>2</v>
      </c>
      <c r="AI25">
        <v>1</v>
      </c>
      <c r="AJ25">
        <v>337</v>
      </c>
      <c r="AK25" s="2">
        <v>35216287.053161167</v>
      </c>
      <c r="AL25" s="6">
        <v>2593320</v>
      </c>
      <c r="AM25" s="6">
        <v>193000</v>
      </c>
      <c r="AN25" s="6">
        <v>1152000</v>
      </c>
      <c r="AO25" s="6">
        <v>3938320</v>
      </c>
      <c r="AP25" s="3">
        <v>1.9492294887332222</v>
      </c>
      <c r="AQ25">
        <v>67</v>
      </c>
      <c r="AR25">
        <v>0</v>
      </c>
      <c r="AS25">
        <v>0</v>
      </c>
      <c r="AT25">
        <v>67</v>
      </c>
      <c r="AU25" s="2">
        <v>810939.45086826023</v>
      </c>
      <c r="AV25" s="6">
        <v>609700</v>
      </c>
      <c r="AW25" s="6">
        <v>0</v>
      </c>
      <c r="AX25" s="6">
        <v>0</v>
      </c>
      <c r="AY25" s="6">
        <v>609700</v>
      </c>
      <c r="AZ25" s="3">
        <v>68.294168764259823</v>
      </c>
      <c r="BA25">
        <v>192</v>
      </c>
      <c r="BB25">
        <v>8</v>
      </c>
      <c r="BC25">
        <v>0</v>
      </c>
      <c r="BD25">
        <v>200</v>
      </c>
      <c r="BE25" s="2">
        <v>4049374.7281475179</v>
      </c>
      <c r="BF25" s="6">
        <v>1106685</v>
      </c>
      <c r="BG25" s="6">
        <v>699850</v>
      </c>
      <c r="BH25" s="6">
        <v>0</v>
      </c>
      <c r="BI25" s="6">
        <v>1806535</v>
      </c>
      <c r="BJ25" s="3">
        <v>431.11210552373046</v>
      </c>
      <c r="BK25" s="6">
        <v>12447205</v>
      </c>
      <c r="BL25" s="6">
        <v>1378850</v>
      </c>
      <c r="BM25" s="6">
        <v>4092000</v>
      </c>
      <c r="BN25" s="6">
        <v>17918055</v>
      </c>
      <c r="BO25" s="3">
        <v>558.42164037103521</v>
      </c>
      <c r="BP25" s="7">
        <v>796538155</v>
      </c>
      <c r="BQ25" s="2">
        <v>245.68161211131056</v>
      </c>
      <c r="BR25" s="2">
        <v>1064.6203191490124</v>
      </c>
    </row>
    <row r="26" spans="1:70">
      <c r="A26">
        <v>1999</v>
      </c>
      <c r="B26" s="1">
        <v>908506</v>
      </c>
      <c r="C26" s="2">
        <v>70927764.678412482</v>
      </c>
      <c r="D26" s="3">
        <v>78.070771880881892</v>
      </c>
      <c r="E26" s="1">
        <v>545102</v>
      </c>
      <c r="F26" s="4">
        <v>0.6564228440817802</v>
      </c>
      <c r="G26" s="4">
        <v>0.46871630119607122</v>
      </c>
      <c r="H26" s="4">
        <v>0.5367434310685677</v>
      </c>
      <c r="I26" s="4">
        <v>0.54863919108564252</v>
      </c>
      <c r="J26" s="5">
        <v>7.0307445179410681</v>
      </c>
      <c r="K26">
        <v>38596</v>
      </c>
      <c r="L26">
        <v>152454</v>
      </c>
      <c r="M26">
        <v>106101</v>
      </c>
      <c r="N26">
        <v>297151</v>
      </c>
      <c r="O26" s="6">
        <v>289470000</v>
      </c>
      <c r="P26" s="6">
        <v>381135000</v>
      </c>
      <c r="Q26" s="6">
        <v>127321200</v>
      </c>
      <c r="R26" s="6">
        <v>797926200</v>
      </c>
      <c r="S26" s="2">
        <v>146.79666666666665</v>
      </c>
      <c r="T26" s="2">
        <v>95.784888888888887</v>
      </c>
      <c r="U26" s="2">
        <v>25.959333333333333</v>
      </c>
      <c r="V26" s="2">
        <v>268.5408888888889</v>
      </c>
      <c r="W26">
        <v>350</v>
      </c>
      <c r="X26">
        <v>2</v>
      </c>
      <c r="Y26">
        <v>2</v>
      </c>
      <c r="Z26">
        <v>354</v>
      </c>
      <c r="AA26" s="2">
        <v>28673322.431545757</v>
      </c>
      <c r="AB26" s="6">
        <v>8459200</v>
      </c>
      <c r="AC26" s="6">
        <v>488000</v>
      </c>
      <c r="AD26" s="6">
        <v>2955000</v>
      </c>
      <c r="AE26" s="6">
        <v>11902200</v>
      </c>
      <c r="AF26" s="3">
        <v>60.460213308718984</v>
      </c>
      <c r="AG26">
        <v>350</v>
      </c>
      <c r="AH26">
        <v>2</v>
      </c>
      <c r="AI26">
        <v>1</v>
      </c>
      <c r="AJ26">
        <v>353</v>
      </c>
      <c r="AK26" s="2">
        <v>37173480.254132703</v>
      </c>
      <c r="AL26" s="6">
        <v>2730240</v>
      </c>
      <c r="AM26" s="6">
        <v>190000</v>
      </c>
      <c r="AN26" s="6">
        <v>1182000</v>
      </c>
      <c r="AO26" s="6">
        <v>4102240</v>
      </c>
      <c r="AP26" s="3">
        <v>2.0703947187359546</v>
      </c>
      <c r="AQ26">
        <v>70</v>
      </c>
      <c r="AR26">
        <v>1</v>
      </c>
      <c r="AS26">
        <v>0</v>
      </c>
      <c r="AT26">
        <v>71</v>
      </c>
      <c r="AU26" s="2">
        <v>859532.83007462532</v>
      </c>
      <c r="AV26" s="6">
        <v>637000</v>
      </c>
      <c r="AW26" s="6">
        <v>128000</v>
      </c>
      <c r="AX26" s="6">
        <v>0</v>
      </c>
      <c r="AY26" s="6">
        <v>765000</v>
      </c>
      <c r="AZ26" s="3">
        <v>72.230513356040916</v>
      </c>
      <c r="BA26">
        <v>199</v>
      </c>
      <c r="BB26">
        <v>8</v>
      </c>
      <c r="BC26">
        <v>0</v>
      </c>
      <c r="BD26">
        <v>207</v>
      </c>
      <c r="BE26" s="2">
        <v>4221429.1626594001</v>
      </c>
      <c r="BF26" s="6">
        <v>1150035</v>
      </c>
      <c r="BG26" s="6">
        <v>684250</v>
      </c>
      <c r="BH26" s="6">
        <v>0</v>
      </c>
      <c r="BI26" s="6">
        <v>1834285</v>
      </c>
      <c r="BJ26" s="3">
        <v>454.8444725210241</v>
      </c>
      <c r="BK26" s="6">
        <v>12976475</v>
      </c>
      <c r="BL26" s="6">
        <v>1490250</v>
      </c>
      <c r="BM26" s="6">
        <v>4137000</v>
      </c>
      <c r="BN26" s="6">
        <v>18603725</v>
      </c>
      <c r="BO26" s="3">
        <v>589.60559390451999</v>
      </c>
      <c r="BP26" s="7">
        <v>816529925</v>
      </c>
      <c r="BQ26" s="2">
        <v>257.44394483802267</v>
      </c>
      <c r="BR26" s="2">
        <v>1115.5904276314316</v>
      </c>
    </row>
    <row r="27" spans="1:70">
      <c r="A27">
        <v>2000</v>
      </c>
      <c r="B27" s="1">
        <v>921706</v>
      </c>
      <c r="C27" s="2">
        <v>76060702.759944841</v>
      </c>
      <c r="D27" s="3">
        <v>82.521653065017304</v>
      </c>
      <c r="E27" s="1">
        <v>553021</v>
      </c>
      <c r="F27" s="4">
        <v>0.66478071189543553</v>
      </c>
      <c r="G27" s="4">
        <v>0.47315823904575144</v>
      </c>
      <c r="H27" s="4">
        <v>0.53421051172513701</v>
      </c>
      <c r="I27" s="4">
        <v>0.5518220905318727</v>
      </c>
      <c r="J27" s="5">
        <v>7.0973735856862712</v>
      </c>
      <c r="K27">
        <v>40567</v>
      </c>
      <c r="L27">
        <v>155668</v>
      </c>
      <c r="M27">
        <v>105769</v>
      </c>
      <c r="N27">
        <v>302004</v>
      </c>
      <c r="O27" s="6">
        <v>304252500</v>
      </c>
      <c r="P27" s="6">
        <v>389170000</v>
      </c>
      <c r="Q27" s="6">
        <v>126922800</v>
      </c>
      <c r="R27" s="6">
        <v>820345300</v>
      </c>
      <c r="S27" s="2">
        <v>153.77500000000001</v>
      </c>
      <c r="T27" s="2">
        <v>97.679111111111112</v>
      </c>
      <c r="U27" s="2">
        <v>25.991799999999998</v>
      </c>
      <c r="V27" s="2">
        <v>277.44591111111112</v>
      </c>
      <c r="W27">
        <v>365</v>
      </c>
      <c r="X27">
        <v>2</v>
      </c>
      <c r="Y27">
        <v>2</v>
      </c>
      <c r="Z27">
        <v>369</v>
      </c>
      <c r="AA27" s="2">
        <v>30476875.069284208</v>
      </c>
      <c r="AB27" s="6">
        <v>8937900</v>
      </c>
      <c r="AC27" s="6">
        <v>480000</v>
      </c>
      <c r="AD27" s="6">
        <v>2940000</v>
      </c>
      <c r="AE27" s="6">
        <v>12357900</v>
      </c>
      <c r="AF27" s="3">
        <v>63.960433385350029</v>
      </c>
      <c r="AG27">
        <v>365</v>
      </c>
      <c r="AH27">
        <v>2</v>
      </c>
      <c r="AI27">
        <v>1</v>
      </c>
      <c r="AJ27">
        <v>368</v>
      </c>
      <c r="AK27" s="2">
        <v>39180822.285927318</v>
      </c>
      <c r="AL27" s="6">
        <v>2812800</v>
      </c>
      <c r="AM27" s="6">
        <v>198000</v>
      </c>
      <c r="AN27" s="6">
        <v>1158000</v>
      </c>
      <c r="AO27" s="6">
        <v>4168800</v>
      </c>
      <c r="AP27" s="3">
        <v>2.1960872972912964</v>
      </c>
      <c r="AQ27">
        <v>160</v>
      </c>
      <c r="AR27">
        <v>2</v>
      </c>
      <c r="AS27">
        <v>0</v>
      </c>
      <c r="AT27">
        <v>162</v>
      </c>
      <c r="AU27" s="2">
        <v>2002514.9953577756</v>
      </c>
      <c r="AV27" s="6">
        <v>1456000</v>
      </c>
      <c r="AW27" s="6">
        <v>452000</v>
      </c>
      <c r="AX27" s="6">
        <v>0</v>
      </c>
      <c r="AY27" s="6">
        <v>1908000</v>
      </c>
      <c r="AZ27" s="3">
        <v>76.27904775881801</v>
      </c>
      <c r="BA27">
        <v>207</v>
      </c>
      <c r="BB27">
        <v>9</v>
      </c>
      <c r="BC27">
        <v>0</v>
      </c>
      <c r="BD27">
        <v>216</v>
      </c>
      <c r="BE27" s="2">
        <v>4400490.4093755493</v>
      </c>
      <c r="BF27" s="6">
        <v>1195515</v>
      </c>
      <c r="BG27" s="6">
        <v>783350</v>
      </c>
      <c r="BH27" s="6">
        <v>0</v>
      </c>
      <c r="BI27" s="6">
        <v>1978865</v>
      </c>
      <c r="BJ27" s="3">
        <v>479.24073973121756</v>
      </c>
      <c r="BK27" s="6">
        <v>14402215</v>
      </c>
      <c r="BL27" s="6">
        <v>1913350</v>
      </c>
      <c r="BM27" s="6">
        <v>4098000</v>
      </c>
      <c r="BN27" s="6">
        <v>20413565</v>
      </c>
      <c r="BO27" s="3">
        <v>621.67630817267695</v>
      </c>
      <c r="BP27" s="7">
        <v>840758865</v>
      </c>
      <c r="BQ27" s="2">
        <v>269.73666578513644</v>
      </c>
      <c r="BR27" s="2">
        <v>1168.8588850689246</v>
      </c>
    </row>
    <row r="28" spans="1:70">
      <c r="A28">
        <v>2001</v>
      </c>
      <c r="B28" s="1">
        <v>935199</v>
      </c>
      <c r="C28" s="2">
        <v>80440068.81199123</v>
      </c>
      <c r="D28" s="3">
        <v>86.013852465615585</v>
      </c>
      <c r="E28" s="1">
        <v>561118</v>
      </c>
      <c r="F28" s="4">
        <v>0.67069738469664575</v>
      </c>
      <c r="G28" s="4">
        <v>0.47734695455046983</v>
      </c>
      <c r="H28" s="4">
        <v>0.53186807402964587</v>
      </c>
      <c r="I28" s="4">
        <v>0.55427024346443365</v>
      </c>
      <c r="J28" s="5">
        <v>7.1602043182570476</v>
      </c>
      <c r="K28">
        <v>42288</v>
      </c>
      <c r="L28">
        <v>158201</v>
      </c>
      <c r="M28">
        <v>105777</v>
      </c>
      <c r="N28">
        <v>306266</v>
      </c>
      <c r="O28" s="6">
        <v>317160000</v>
      </c>
      <c r="P28" s="6">
        <v>395502500</v>
      </c>
      <c r="Q28" s="6">
        <v>126932400</v>
      </c>
      <c r="R28" s="6">
        <v>839594900</v>
      </c>
      <c r="S28" s="2">
        <v>159.99333333333334</v>
      </c>
      <c r="T28" s="2">
        <v>99.390222222222235</v>
      </c>
      <c r="U28" s="2">
        <v>26.129199999999997</v>
      </c>
      <c r="V28" s="2">
        <v>285.51275555555554</v>
      </c>
      <c r="W28">
        <v>381</v>
      </c>
      <c r="X28">
        <v>2</v>
      </c>
      <c r="Y28">
        <v>2</v>
      </c>
      <c r="Z28">
        <v>385</v>
      </c>
      <c r="AA28" s="2">
        <v>32404732.042203244</v>
      </c>
      <c r="AB28" s="6">
        <v>9387300</v>
      </c>
      <c r="AC28" s="6">
        <v>494000</v>
      </c>
      <c r="AD28" s="6">
        <v>2925000</v>
      </c>
      <c r="AE28" s="6">
        <v>12806300</v>
      </c>
      <c r="AF28" s="3">
        <v>67.569145074453417</v>
      </c>
      <c r="AG28">
        <v>381</v>
      </c>
      <c r="AH28">
        <v>2</v>
      </c>
      <c r="AI28">
        <v>1</v>
      </c>
      <c r="AJ28">
        <v>384</v>
      </c>
      <c r="AK28" s="2">
        <v>41251380.680511266</v>
      </c>
      <c r="AL28" s="6">
        <v>2947960</v>
      </c>
      <c r="AM28" s="6">
        <v>194000</v>
      </c>
      <c r="AN28" s="6">
        <v>1170000</v>
      </c>
      <c r="AO28" s="6">
        <v>4311960</v>
      </c>
      <c r="AP28" s="3">
        <v>2.2807740067079769</v>
      </c>
      <c r="AQ28">
        <v>174</v>
      </c>
      <c r="AR28">
        <v>3</v>
      </c>
      <c r="AS28">
        <v>0</v>
      </c>
      <c r="AT28">
        <v>177</v>
      </c>
      <c r="AU28" s="2">
        <v>2196091.7414119258</v>
      </c>
      <c r="AV28" s="6">
        <v>1698240</v>
      </c>
      <c r="AW28" s="6">
        <v>636000</v>
      </c>
      <c r="AX28" s="6">
        <v>0</v>
      </c>
      <c r="AY28" s="6">
        <v>2334240</v>
      </c>
      <c r="AZ28" s="3">
        <v>87.286874885319378</v>
      </c>
      <c r="BA28">
        <v>213</v>
      </c>
      <c r="BB28">
        <v>9</v>
      </c>
      <c r="BC28">
        <v>0</v>
      </c>
      <c r="BD28">
        <v>222</v>
      </c>
      <c r="BE28" s="2">
        <v>4587864.3478648104</v>
      </c>
      <c r="BF28" s="6">
        <v>1220985</v>
      </c>
      <c r="BG28" s="6">
        <v>761900</v>
      </c>
      <c r="BH28" s="6">
        <v>0</v>
      </c>
      <c r="BI28" s="6">
        <v>1982885</v>
      </c>
      <c r="BJ28" s="3">
        <v>504.31997646617822</v>
      </c>
      <c r="BK28" s="6">
        <v>15254485</v>
      </c>
      <c r="BL28" s="6">
        <v>2085900</v>
      </c>
      <c r="BM28" s="6">
        <v>4095000</v>
      </c>
      <c r="BN28" s="6">
        <v>21435385</v>
      </c>
      <c r="BO28" s="3">
        <v>661.45677043265891</v>
      </c>
      <c r="BP28" s="7">
        <v>861030285</v>
      </c>
      <c r="BQ28" s="2">
        <v>284.09085779646432</v>
      </c>
      <c r="BR28" s="2">
        <v>1231.0603837846788</v>
      </c>
    </row>
    <row r="29" spans="1:70">
      <c r="A29">
        <v>2002</v>
      </c>
      <c r="B29" s="1">
        <v>949001</v>
      </c>
      <c r="C29" s="2">
        <v>84976995.136199459</v>
      </c>
      <c r="D29" s="3">
        <v>89.543630761400109</v>
      </c>
      <c r="E29" s="1">
        <v>569400</v>
      </c>
      <c r="F29" s="4">
        <v>0.67640476979196029</v>
      </c>
      <c r="G29" s="4">
        <v>0.48129534462212076</v>
      </c>
      <c r="H29" s="4">
        <v>0.52974996132451491</v>
      </c>
      <c r="I29" s="4">
        <v>0.55662548346663288</v>
      </c>
      <c r="J29" s="5">
        <v>7.2194301693318117</v>
      </c>
      <c r="K29">
        <v>43997</v>
      </c>
      <c r="L29">
        <v>160722</v>
      </c>
      <c r="M29">
        <v>105829</v>
      </c>
      <c r="N29">
        <v>310548</v>
      </c>
      <c r="O29" s="6">
        <v>329977500</v>
      </c>
      <c r="P29" s="6">
        <v>401805000</v>
      </c>
      <c r="Q29" s="6">
        <v>126994800</v>
      </c>
      <c r="R29" s="6">
        <v>858777300</v>
      </c>
      <c r="S29" s="2">
        <v>166.21</v>
      </c>
      <c r="T29" s="2">
        <v>101.13377777777778</v>
      </c>
      <c r="U29" s="2">
        <v>26.27773333333333</v>
      </c>
      <c r="V29" s="2">
        <v>293.62151111111109</v>
      </c>
      <c r="W29">
        <v>399</v>
      </c>
      <c r="X29">
        <v>3</v>
      </c>
      <c r="Y29">
        <v>3</v>
      </c>
      <c r="Z29">
        <v>405</v>
      </c>
      <c r="AA29" s="2">
        <v>34404657.362912714</v>
      </c>
      <c r="AB29" s="6">
        <v>9814800</v>
      </c>
      <c r="AC29" s="6">
        <v>720000</v>
      </c>
      <c r="AD29" s="6">
        <v>2910000</v>
      </c>
      <c r="AE29" s="6">
        <v>13444800</v>
      </c>
      <c r="AF29" s="3">
        <v>71.28883114162943</v>
      </c>
      <c r="AG29">
        <v>399</v>
      </c>
      <c r="AH29">
        <v>3</v>
      </c>
      <c r="AI29">
        <v>1</v>
      </c>
      <c r="AJ29">
        <v>403</v>
      </c>
      <c r="AK29" s="2">
        <v>43385064.580465168</v>
      </c>
      <c r="AL29" s="6">
        <v>3099520</v>
      </c>
      <c r="AM29" s="6">
        <v>294000</v>
      </c>
      <c r="AN29" s="6">
        <v>1164000</v>
      </c>
      <c r="AO29" s="6">
        <v>4557520</v>
      </c>
      <c r="AP29" s="3">
        <v>2.3695422984333465</v>
      </c>
      <c r="AQ29">
        <v>188</v>
      </c>
      <c r="AR29">
        <v>3</v>
      </c>
      <c r="AS29">
        <v>0</v>
      </c>
      <c r="AT29">
        <v>191</v>
      </c>
      <c r="AU29" s="2">
        <v>2404118.9974305178</v>
      </c>
      <c r="AV29" s="6">
        <v>1752160</v>
      </c>
      <c r="AW29" s="6">
        <v>594000</v>
      </c>
      <c r="AX29" s="6">
        <v>0</v>
      </c>
      <c r="AY29" s="6">
        <v>2346160</v>
      </c>
      <c r="AZ29" s="3">
        <v>98.166596704335774</v>
      </c>
      <c r="BA29">
        <v>220</v>
      </c>
      <c r="BB29">
        <v>10</v>
      </c>
      <c r="BC29">
        <v>0</v>
      </c>
      <c r="BD29">
        <v>230</v>
      </c>
      <c r="BE29" s="2">
        <v>4783154.1953910571</v>
      </c>
      <c r="BF29" s="6">
        <v>1278915</v>
      </c>
      <c r="BG29" s="6">
        <v>857100</v>
      </c>
      <c r="BH29" s="6">
        <v>0</v>
      </c>
      <c r="BI29" s="6">
        <v>2136015</v>
      </c>
      <c r="BJ29" s="3">
        <v>530.10204520821935</v>
      </c>
      <c r="BK29" s="6">
        <v>15945395</v>
      </c>
      <c r="BL29" s="6">
        <v>2465100</v>
      </c>
      <c r="BM29" s="6">
        <v>4074000</v>
      </c>
      <c r="BN29" s="6">
        <v>22484495</v>
      </c>
      <c r="BO29" s="3">
        <v>701.9270153526179</v>
      </c>
      <c r="BP29" s="7">
        <v>881261795</v>
      </c>
      <c r="BQ29" s="2">
        <v>298.66455793911871</v>
      </c>
      <c r="BR29" s="2">
        <v>1294.2130844028477</v>
      </c>
    </row>
    <row r="30" spans="1:70">
      <c r="A30">
        <v>2003</v>
      </c>
      <c r="B30" s="1">
        <v>963122</v>
      </c>
      <c r="C30" s="2">
        <v>89684526.121962368</v>
      </c>
      <c r="D30" s="3">
        <v>93.118552085781829</v>
      </c>
      <c r="E30" s="1">
        <v>577870</v>
      </c>
      <c r="F30" s="4">
        <v>0.68192643543144715</v>
      </c>
      <c r="G30" s="4">
        <v>0.48501519511144386</v>
      </c>
      <c r="H30" s="4">
        <v>0.52789133459334814</v>
      </c>
      <c r="I30" s="4">
        <v>0.55891504665992686</v>
      </c>
      <c r="J30" s="5">
        <v>7.2752279266716577</v>
      </c>
      <c r="K30">
        <v>45693</v>
      </c>
      <c r="L30">
        <v>163246</v>
      </c>
      <c r="M30">
        <v>105924</v>
      </c>
      <c r="N30">
        <v>314863</v>
      </c>
      <c r="O30" s="6">
        <v>342697500</v>
      </c>
      <c r="P30" s="6">
        <v>408115000</v>
      </c>
      <c r="Q30" s="6">
        <v>127108800</v>
      </c>
      <c r="R30" s="6">
        <v>877921300</v>
      </c>
      <c r="S30" s="2">
        <v>172.42833333333331</v>
      </c>
      <c r="T30" s="2">
        <v>102.91266666666667</v>
      </c>
      <c r="U30" s="2">
        <v>26.436666666666667</v>
      </c>
      <c r="V30" s="2">
        <v>301.77766666666668</v>
      </c>
      <c r="W30">
        <v>416</v>
      </c>
      <c r="X30">
        <v>3</v>
      </c>
      <c r="Y30">
        <v>3</v>
      </c>
      <c r="Z30">
        <v>422</v>
      </c>
      <c r="AA30" s="2">
        <v>36481879.901743397</v>
      </c>
      <c r="AB30" s="6">
        <v>10128200</v>
      </c>
      <c r="AC30" s="6">
        <v>738000</v>
      </c>
      <c r="AD30" s="6">
        <v>2955000</v>
      </c>
      <c r="AE30" s="6">
        <v>13821200</v>
      </c>
      <c r="AF30" s="3">
        <v>75.121917892502054</v>
      </c>
      <c r="AG30">
        <v>416</v>
      </c>
      <c r="AH30">
        <v>3</v>
      </c>
      <c r="AI30">
        <v>1</v>
      </c>
      <c r="AJ30">
        <v>420</v>
      </c>
      <c r="AK30" s="2">
        <v>45587741.76445964</v>
      </c>
      <c r="AL30" s="6">
        <v>3248040</v>
      </c>
      <c r="AM30" s="6">
        <v>286500</v>
      </c>
      <c r="AN30" s="6">
        <v>1140000</v>
      </c>
      <c r="AO30" s="6">
        <v>4674540</v>
      </c>
      <c r="AP30" s="3">
        <v>2.4624534243573213</v>
      </c>
      <c r="AQ30">
        <v>203</v>
      </c>
      <c r="AR30">
        <v>4</v>
      </c>
      <c r="AS30">
        <v>0</v>
      </c>
      <c r="AT30">
        <v>207</v>
      </c>
      <c r="AU30" s="2">
        <v>2628089.7317584343</v>
      </c>
      <c r="AV30" s="6">
        <v>2070600</v>
      </c>
      <c r="AW30" s="6">
        <v>960000</v>
      </c>
      <c r="AX30" s="6">
        <v>0</v>
      </c>
      <c r="AY30" s="6">
        <v>3030600</v>
      </c>
      <c r="AZ30" s="3">
        <v>108.94933656764516</v>
      </c>
      <c r="BA30">
        <v>229</v>
      </c>
      <c r="BB30">
        <v>10</v>
      </c>
      <c r="BC30">
        <v>0</v>
      </c>
      <c r="BD30">
        <v>239</v>
      </c>
      <c r="BE30" s="2">
        <v>4986814.7240009094</v>
      </c>
      <c r="BF30" s="6">
        <v>1292730</v>
      </c>
      <c r="BG30" s="6">
        <v>879200</v>
      </c>
      <c r="BH30" s="6">
        <v>0</v>
      </c>
      <c r="BI30" s="6">
        <v>2171930</v>
      </c>
      <c r="BJ30" s="3">
        <v>556.60572911259749</v>
      </c>
      <c r="BK30" s="6">
        <v>16739570</v>
      </c>
      <c r="BL30" s="6">
        <v>2863700</v>
      </c>
      <c r="BM30" s="6">
        <v>4095000</v>
      </c>
      <c r="BN30" s="6">
        <v>23698270</v>
      </c>
      <c r="BO30" s="3">
        <v>743.13943699710205</v>
      </c>
      <c r="BP30" s="7">
        <v>901619570</v>
      </c>
      <c r="BQ30" s="2">
        <v>313.47513109913064</v>
      </c>
      <c r="BR30" s="2">
        <v>1358.3922347628995</v>
      </c>
    </row>
    <row r="31" spans="1:70">
      <c r="A31">
        <v>2004</v>
      </c>
      <c r="B31" s="1">
        <v>977574</v>
      </c>
      <c r="C31" s="2">
        <v>94577632.490683869</v>
      </c>
      <c r="D31" s="3">
        <v>96.747287152362759</v>
      </c>
      <c r="E31" s="1">
        <v>586543</v>
      </c>
      <c r="F31" s="4">
        <v>0.68728459539829512</v>
      </c>
      <c r="G31" s="4">
        <v>0.48851870233026184</v>
      </c>
      <c r="H31" s="4">
        <v>0.52633553321828752</v>
      </c>
      <c r="I31" s="4">
        <v>0.5611687759193984</v>
      </c>
      <c r="J31" s="5">
        <v>7.327780534953928</v>
      </c>
      <c r="K31">
        <v>47381</v>
      </c>
      <c r="L31">
        <v>165781</v>
      </c>
      <c r="M31">
        <v>106059</v>
      </c>
      <c r="N31">
        <v>319221</v>
      </c>
      <c r="O31" s="6">
        <v>355357500</v>
      </c>
      <c r="P31" s="6">
        <v>414452500</v>
      </c>
      <c r="Q31" s="6">
        <v>127270800</v>
      </c>
      <c r="R31" s="6">
        <v>897080800</v>
      </c>
      <c r="S31" s="2">
        <v>178.66000000000003</v>
      </c>
      <c r="T31" s="2">
        <v>104.73155555555556</v>
      </c>
      <c r="U31" s="2">
        <v>26.605266666666665</v>
      </c>
      <c r="V31" s="2">
        <v>309.99682222222225</v>
      </c>
      <c r="W31">
        <v>433</v>
      </c>
      <c r="X31">
        <v>3</v>
      </c>
      <c r="Y31">
        <v>3</v>
      </c>
      <c r="Z31">
        <v>439</v>
      </c>
      <c r="AA31" s="2">
        <v>38642455.52449441</v>
      </c>
      <c r="AB31" s="6">
        <v>10620800</v>
      </c>
      <c r="AC31" s="6">
        <v>744000</v>
      </c>
      <c r="AD31" s="6">
        <v>5790000</v>
      </c>
      <c r="AE31" s="6">
        <v>17154800</v>
      </c>
      <c r="AF31" s="3">
        <v>79.070853154660455</v>
      </c>
      <c r="AG31">
        <v>433</v>
      </c>
      <c r="AH31">
        <v>3</v>
      </c>
      <c r="AI31">
        <v>2</v>
      </c>
      <c r="AJ31">
        <v>438</v>
      </c>
      <c r="AK31" s="2">
        <v>47866206.811423756</v>
      </c>
      <c r="AL31" s="6">
        <v>3391440</v>
      </c>
      <c r="AM31" s="6">
        <v>289500</v>
      </c>
      <c r="AN31" s="6">
        <v>2352000</v>
      </c>
      <c r="AO31" s="6">
        <v>6032940</v>
      </c>
      <c r="AP31" s="3">
        <v>2.559570177679531</v>
      </c>
      <c r="AQ31">
        <v>219</v>
      </c>
      <c r="AR31">
        <v>4</v>
      </c>
      <c r="AS31">
        <v>0</v>
      </c>
      <c r="AT31">
        <v>223</v>
      </c>
      <c r="AU31" s="2">
        <v>2869584.1865372951</v>
      </c>
      <c r="AV31" s="6">
        <v>2041080</v>
      </c>
      <c r="AW31" s="6">
        <v>736000</v>
      </c>
      <c r="AX31" s="6">
        <v>0</v>
      </c>
      <c r="AY31" s="6">
        <v>2777080</v>
      </c>
      <c r="AZ31" s="3">
        <v>119.66411192097554</v>
      </c>
      <c r="BA31">
        <v>237</v>
      </c>
      <c r="BB31">
        <v>10</v>
      </c>
      <c r="BC31">
        <v>0</v>
      </c>
      <c r="BD31">
        <v>247</v>
      </c>
      <c r="BE31" s="2">
        <v>5199385.9682283858</v>
      </c>
      <c r="BF31" s="6">
        <v>1342620</v>
      </c>
      <c r="BG31" s="6">
        <v>875300</v>
      </c>
      <c r="BH31" s="6">
        <v>0</v>
      </c>
      <c r="BI31" s="6">
        <v>2217920</v>
      </c>
      <c r="BJ31" s="3">
        <v>583.84957125730352</v>
      </c>
      <c r="BK31" s="6">
        <v>17395940</v>
      </c>
      <c r="BL31" s="6">
        <v>2644800</v>
      </c>
      <c r="BM31" s="6">
        <v>8142000</v>
      </c>
      <c r="BN31" s="6">
        <v>28182740</v>
      </c>
      <c r="BO31" s="3">
        <v>785.14410651061905</v>
      </c>
      <c r="BP31" s="7">
        <v>925263540</v>
      </c>
      <c r="BQ31" s="2">
        <v>328.54227861985237</v>
      </c>
      <c r="BR31" s="2">
        <v>1423.6832073526937</v>
      </c>
    </row>
    <row r="32" spans="1:70">
      <c r="A32">
        <v>2005</v>
      </c>
      <c r="B32" s="1">
        <v>992365</v>
      </c>
      <c r="C32" s="2">
        <v>99669214.531424433</v>
      </c>
      <c r="D32" s="3">
        <v>100.43604372526684</v>
      </c>
      <c r="E32" s="1">
        <v>595417</v>
      </c>
      <c r="F32" s="4">
        <v>0.69249486922009296</v>
      </c>
      <c r="G32" s="4">
        <v>0.49181491440748909</v>
      </c>
      <c r="H32" s="4">
        <v>0.52513077647285433</v>
      </c>
      <c r="I32" s="4">
        <v>0.56341522097126795</v>
      </c>
      <c r="J32" s="5">
        <v>7.3772237161123364</v>
      </c>
      <c r="K32">
        <v>49058</v>
      </c>
      <c r="L32">
        <v>168336</v>
      </c>
      <c r="M32">
        <v>106237</v>
      </c>
      <c r="N32">
        <v>323631</v>
      </c>
      <c r="O32" s="6">
        <v>367935000</v>
      </c>
      <c r="P32" s="6">
        <v>420840000</v>
      </c>
      <c r="Q32" s="6">
        <v>127484400</v>
      </c>
      <c r="R32" s="6">
        <v>916259400</v>
      </c>
      <c r="S32" s="2">
        <v>184.9083333333333</v>
      </c>
      <c r="T32" s="2">
        <v>106.59333333333333</v>
      </c>
      <c r="U32" s="2">
        <v>26.783000000000001</v>
      </c>
      <c r="V32" s="2">
        <v>318.28466666666668</v>
      </c>
      <c r="W32">
        <v>452</v>
      </c>
      <c r="X32">
        <v>3</v>
      </c>
      <c r="Y32">
        <v>3</v>
      </c>
      <c r="Z32">
        <v>458</v>
      </c>
      <c r="AA32" s="2">
        <v>40891638.772099905</v>
      </c>
      <c r="AB32" s="6">
        <v>11010500</v>
      </c>
      <c r="AC32" s="6">
        <v>723000</v>
      </c>
      <c r="AD32" s="6">
        <v>5760000</v>
      </c>
      <c r="AE32" s="6">
        <v>17493500</v>
      </c>
      <c r="AF32" s="3">
        <v>83.138198300240688</v>
      </c>
      <c r="AG32">
        <v>452</v>
      </c>
      <c r="AH32">
        <v>3</v>
      </c>
      <c r="AI32">
        <v>2</v>
      </c>
      <c r="AJ32">
        <v>457</v>
      </c>
      <c r="AK32" s="2">
        <v>50226078.398216568</v>
      </c>
      <c r="AL32" s="6">
        <v>3466720</v>
      </c>
      <c r="AM32" s="6">
        <v>295500</v>
      </c>
      <c r="AN32" s="6">
        <v>2328000</v>
      </c>
      <c r="AO32" s="6">
        <v>6090220</v>
      </c>
      <c r="AP32" s="3">
        <v>2.6609587335319729</v>
      </c>
      <c r="AQ32">
        <v>236</v>
      </c>
      <c r="AR32">
        <v>5</v>
      </c>
      <c r="AS32">
        <v>0</v>
      </c>
      <c r="AT32">
        <v>241</v>
      </c>
      <c r="AU32" s="2">
        <v>3130141.9278563675</v>
      </c>
      <c r="AV32" s="6">
        <v>2303360</v>
      </c>
      <c r="AW32" s="6">
        <v>1200000</v>
      </c>
      <c r="AX32" s="6">
        <v>0</v>
      </c>
      <c r="AY32" s="6">
        <v>3503360</v>
      </c>
      <c r="AZ32" s="3">
        <v>130.33821719261888</v>
      </c>
      <c r="BA32">
        <v>246</v>
      </c>
      <c r="BB32">
        <v>10</v>
      </c>
      <c r="BC32">
        <v>0</v>
      </c>
      <c r="BD32">
        <v>256</v>
      </c>
      <c r="BE32" s="2">
        <v>5421355.4332515914</v>
      </c>
      <c r="BF32" s="6">
        <v>1424070</v>
      </c>
      <c r="BG32" s="6">
        <v>855800</v>
      </c>
      <c r="BH32" s="6">
        <v>0</v>
      </c>
      <c r="BI32" s="6">
        <v>2279870</v>
      </c>
      <c r="BJ32" s="3">
        <v>611.85281349294451</v>
      </c>
      <c r="BK32" s="6">
        <v>18204650</v>
      </c>
      <c r="BL32" s="6">
        <v>3074300</v>
      </c>
      <c r="BM32" s="6">
        <v>8088000</v>
      </c>
      <c r="BN32" s="6">
        <v>29366950</v>
      </c>
      <c r="BO32" s="3">
        <v>827.99018771933606</v>
      </c>
      <c r="BP32" s="7">
        <v>945626350</v>
      </c>
      <c r="BQ32" s="2">
        <v>343.88245631580082</v>
      </c>
      <c r="BR32" s="2">
        <v>1490.1573107018035</v>
      </c>
    </row>
    <row r="33" spans="1:70">
      <c r="A33">
        <v>2006</v>
      </c>
      <c r="B33" s="1">
        <v>1007511</v>
      </c>
      <c r="C33" s="2">
        <v>104974726.67966437</v>
      </c>
      <c r="D33" s="3">
        <v>104.19213951973167</v>
      </c>
      <c r="E33" s="1">
        <v>604505</v>
      </c>
      <c r="F33" s="4">
        <v>0.6975725343894239</v>
      </c>
      <c r="G33" s="4">
        <v>0.4949165682434683</v>
      </c>
      <c r="H33" s="4">
        <v>0.52433656575316445</v>
      </c>
      <c r="I33" s="4">
        <v>0.56568826594742838</v>
      </c>
      <c r="J33" s="5">
        <v>7.4237485236520246</v>
      </c>
      <c r="K33">
        <v>50730</v>
      </c>
      <c r="L33">
        <v>170920</v>
      </c>
      <c r="M33">
        <v>106455</v>
      </c>
      <c r="N33">
        <v>328105</v>
      </c>
      <c r="O33" s="6">
        <v>380475000</v>
      </c>
      <c r="P33" s="6">
        <v>427300000</v>
      </c>
      <c r="Q33" s="6">
        <v>127746000</v>
      </c>
      <c r="R33" s="6">
        <v>935521000</v>
      </c>
      <c r="S33" s="2">
        <v>191.18166666666667</v>
      </c>
      <c r="T33" s="2">
        <v>108.50088888888888</v>
      </c>
      <c r="U33" s="2">
        <v>26.969333333333335</v>
      </c>
      <c r="V33" s="2">
        <v>326.65188888888889</v>
      </c>
      <c r="W33">
        <v>472</v>
      </c>
      <c r="X33">
        <v>5</v>
      </c>
      <c r="Y33">
        <v>4</v>
      </c>
      <c r="Z33">
        <v>481</v>
      </c>
      <c r="AA33" s="2">
        <v>43235482.96518454</v>
      </c>
      <c r="AB33" s="6">
        <v>11557400</v>
      </c>
      <c r="AC33" s="6">
        <v>1229000</v>
      </c>
      <c r="AD33" s="6">
        <v>5820000</v>
      </c>
      <c r="AE33" s="6">
        <v>18606400</v>
      </c>
      <c r="AF33" s="3">
        <v>87.32640801703748</v>
      </c>
      <c r="AG33">
        <v>472</v>
      </c>
      <c r="AH33">
        <v>5</v>
      </c>
      <c r="AI33">
        <v>2</v>
      </c>
      <c r="AJ33">
        <v>479</v>
      </c>
      <c r="AK33" s="2">
        <v>52674516.879703842</v>
      </c>
      <c r="AL33" s="6">
        <v>3693960</v>
      </c>
      <c r="AM33" s="6">
        <v>487000</v>
      </c>
      <c r="AN33" s="6">
        <v>2292000</v>
      </c>
      <c r="AO33" s="6">
        <v>6472960</v>
      </c>
      <c r="AP33" s="3">
        <v>2.7666842321196237</v>
      </c>
      <c r="AQ33">
        <v>255</v>
      </c>
      <c r="AR33">
        <v>5</v>
      </c>
      <c r="AS33">
        <v>0</v>
      </c>
      <c r="AT33">
        <v>260</v>
      </c>
      <c r="AU33" s="2">
        <v>3411420.7457205895</v>
      </c>
      <c r="AV33" s="6">
        <v>2432700</v>
      </c>
      <c r="AW33" s="6">
        <v>780000</v>
      </c>
      <c r="AX33" s="6">
        <v>0</v>
      </c>
      <c r="AY33" s="6">
        <v>3212700</v>
      </c>
      <c r="AZ33" s="3">
        <v>140.9968712483014</v>
      </c>
      <c r="BA33">
        <v>253</v>
      </c>
      <c r="BB33">
        <v>11</v>
      </c>
      <c r="BC33">
        <v>0</v>
      </c>
      <c r="BD33">
        <v>264</v>
      </c>
      <c r="BE33" s="2">
        <v>5653306.0890554097</v>
      </c>
      <c r="BF33" s="6">
        <v>1453785</v>
      </c>
      <c r="BG33" s="6">
        <v>927600</v>
      </c>
      <c r="BH33" s="6">
        <v>0</v>
      </c>
      <c r="BI33" s="6">
        <v>2381385</v>
      </c>
      <c r="BJ33" s="3">
        <v>640.63323424964267</v>
      </c>
      <c r="BK33" s="6">
        <v>19137845</v>
      </c>
      <c r="BL33" s="6">
        <v>3423600</v>
      </c>
      <c r="BM33" s="6">
        <v>8112000</v>
      </c>
      <c r="BN33" s="6">
        <v>30673445</v>
      </c>
      <c r="BO33" s="3">
        <v>871.72319774710115</v>
      </c>
      <c r="BP33" s="7">
        <v>966194445</v>
      </c>
      <c r="BQ33" s="2">
        <v>359.51252599079703</v>
      </c>
      <c r="BR33" s="2">
        <v>1557.8876126267871</v>
      </c>
    </row>
    <row r="34" spans="1:70">
      <c r="A34">
        <v>2007</v>
      </c>
      <c r="B34" s="1">
        <v>1023022</v>
      </c>
      <c r="C34" s="2">
        <v>110508008.69756232</v>
      </c>
      <c r="D34" s="3">
        <v>108.02114587717793</v>
      </c>
      <c r="E34" s="1">
        <v>613811</v>
      </c>
      <c r="F34" s="4">
        <v>0.7025285055341256</v>
      </c>
      <c r="G34" s="4">
        <v>0.49783087150924549</v>
      </c>
      <c r="H34" s="4">
        <v>0.52402126040833941</v>
      </c>
      <c r="I34" s="4">
        <v>0.56802165677402972</v>
      </c>
      <c r="J34" s="5">
        <v>7.4674630726386821</v>
      </c>
      <c r="K34">
        <v>52395</v>
      </c>
      <c r="L34">
        <v>173538</v>
      </c>
      <c r="M34">
        <v>106712</v>
      </c>
      <c r="N34">
        <v>332645</v>
      </c>
      <c r="O34" s="6">
        <v>392962500</v>
      </c>
      <c r="P34" s="6">
        <v>433845000</v>
      </c>
      <c r="Q34" s="6">
        <v>128054400</v>
      </c>
      <c r="R34" s="6">
        <v>954861900</v>
      </c>
      <c r="S34" s="2">
        <v>197.48833333333332</v>
      </c>
      <c r="T34" s="2">
        <v>110.45777777777778</v>
      </c>
      <c r="U34" s="2">
        <v>27.164133333333332</v>
      </c>
      <c r="V34" s="2">
        <v>335.11024444444445</v>
      </c>
      <c r="W34">
        <v>493</v>
      </c>
      <c r="X34">
        <v>5</v>
      </c>
      <c r="Y34">
        <v>4</v>
      </c>
      <c r="Z34">
        <v>502</v>
      </c>
      <c r="AA34" s="2">
        <v>45679427.922727488</v>
      </c>
      <c r="AB34" s="6">
        <v>11999100</v>
      </c>
      <c r="AC34" s="6">
        <v>1232000</v>
      </c>
      <c r="AD34" s="6">
        <v>5850000</v>
      </c>
      <c r="AE34" s="6">
        <v>19081100</v>
      </c>
      <c r="AF34" s="3">
        <v>91.63810669603383</v>
      </c>
      <c r="AG34">
        <v>493</v>
      </c>
      <c r="AH34">
        <v>5</v>
      </c>
      <c r="AI34">
        <v>2</v>
      </c>
      <c r="AJ34">
        <v>500</v>
      </c>
      <c r="AK34" s="2">
        <v>55217916.488030374</v>
      </c>
      <c r="AL34" s="6">
        <v>3858280</v>
      </c>
      <c r="AM34" s="6">
        <v>483000</v>
      </c>
      <c r="AN34" s="6">
        <v>2280000</v>
      </c>
      <c r="AO34" s="6">
        <v>6621280</v>
      </c>
      <c r="AP34" s="3">
        <v>2.8768162690534691</v>
      </c>
      <c r="AQ34">
        <v>275</v>
      </c>
      <c r="AR34">
        <v>6</v>
      </c>
      <c r="AS34">
        <v>0</v>
      </c>
      <c r="AT34">
        <v>281</v>
      </c>
      <c r="AU34" s="2">
        <v>3714805.9886035142</v>
      </c>
      <c r="AV34" s="6">
        <v>2563000</v>
      </c>
      <c r="AW34" s="6">
        <v>852000</v>
      </c>
      <c r="AX34" s="6">
        <v>0</v>
      </c>
      <c r="AY34" s="6">
        <v>3415000</v>
      </c>
      <c r="AZ34" s="3">
        <v>151.66400380950944</v>
      </c>
      <c r="BA34">
        <v>262</v>
      </c>
      <c r="BB34">
        <v>11</v>
      </c>
      <c r="BC34">
        <v>0</v>
      </c>
      <c r="BD34">
        <v>273</v>
      </c>
      <c r="BE34" s="2">
        <v>5895858.298200964</v>
      </c>
      <c r="BF34" s="6">
        <v>1511520</v>
      </c>
      <c r="BG34" s="6">
        <v>950350</v>
      </c>
      <c r="BH34" s="6">
        <v>0</v>
      </c>
      <c r="BI34" s="6">
        <v>2461870</v>
      </c>
      <c r="BJ34" s="3">
        <v>670.20994180525292</v>
      </c>
      <c r="BK34" s="6">
        <v>19931900</v>
      </c>
      <c r="BL34" s="6">
        <v>3517350</v>
      </c>
      <c r="BM34" s="6">
        <v>8130000</v>
      </c>
      <c r="BN34" s="6">
        <v>31579250</v>
      </c>
      <c r="BO34" s="3">
        <v>916.38886857984971</v>
      </c>
      <c r="BP34" s="7">
        <v>986441150</v>
      </c>
      <c r="BQ34" s="2">
        <v>375.44973390728825</v>
      </c>
      <c r="BR34" s="2">
        <v>1626.9488469315825</v>
      </c>
    </row>
    <row r="35" spans="1:70">
      <c r="A35">
        <v>2008</v>
      </c>
      <c r="B35" s="1">
        <v>1038914</v>
      </c>
      <c r="C35" s="2">
        <v>116285445.80766553</v>
      </c>
      <c r="D35" s="3">
        <v>111.92980921199015</v>
      </c>
      <c r="E35" s="1">
        <v>623346</v>
      </c>
      <c r="F35" s="4">
        <v>0.7073740059585758</v>
      </c>
      <c r="G35" s="4">
        <v>0.50056914991650514</v>
      </c>
      <c r="H35" s="4">
        <v>0.52426368310588223</v>
      </c>
      <c r="I35" s="4">
        <v>0.57045446507230591</v>
      </c>
      <c r="J35" s="5">
        <v>7.5085372487475768</v>
      </c>
      <c r="K35">
        <v>54056</v>
      </c>
      <c r="L35">
        <v>176198</v>
      </c>
      <c r="M35">
        <v>107010</v>
      </c>
      <c r="N35">
        <v>337264</v>
      </c>
      <c r="O35" s="6">
        <v>405420000</v>
      </c>
      <c r="P35" s="6">
        <v>440495000</v>
      </c>
      <c r="Q35" s="6">
        <v>128412000</v>
      </c>
      <c r="R35" s="6">
        <v>974327000</v>
      </c>
      <c r="S35" s="2">
        <v>203.83333333333334</v>
      </c>
      <c r="T35" s="2">
        <v>112.46711111111111</v>
      </c>
      <c r="U35" s="2">
        <v>27.366866666666667</v>
      </c>
      <c r="V35" s="2">
        <v>343.66731111111113</v>
      </c>
      <c r="W35">
        <v>513</v>
      </c>
      <c r="X35">
        <v>5</v>
      </c>
      <c r="Y35">
        <v>4</v>
      </c>
      <c r="Z35">
        <v>522</v>
      </c>
      <c r="AA35" s="2">
        <v>48229822.949656092</v>
      </c>
      <c r="AB35" s="6">
        <v>12624500</v>
      </c>
      <c r="AC35" s="6">
        <v>1231000</v>
      </c>
      <c r="AD35" s="6">
        <v>5940000</v>
      </c>
      <c r="AE35" s="6">
        <v>19795500</v>
      </c>
      <c r="AF35" s="3">
        <v>96.075856563217343</v>
      </c>
      <c r="AG35">
        <v>513</v>
      </c>
      <c r="AH35">
        <v>5</v>
      </c>
      <c r="AI35">
        <v>2</v>
      </c>
      <c r="AJ35">
        <v>520</v>
      </c>
      <c r="AK35" s="2">
        <v>57863732.634669349</v>
      </c>
      <c r="AL35" s="6">
        <v>3991880</v>
      </c>
      <c r="AM35" s="6">
        <v>491000</v>
      </c>
      <c r="AN35" s="6">
        <v>2364000</v>
      </c>
      <c r="AO35" s="6">
        <v>6846880</v>
      </c>
      <c r="AP35" s="3">
        <v>2.9914242790671612</v>
      </c>
      <c r="AQ35">
        <v>297</v>
      </c>
      <c r="AR35">
        <v>7</v>
      </c>
      <c r="AS35">
        <v>0</v>
      </c>
      <c r="AT35">
        <v>304</v>
      </c>
      <c r="AU35" s="2">
        <v>4042234.2574528572</v>
      </c>
      <c r="AV35" s="6">
        <v>2768040</v>
      </c>
      <c r="AW35" s="6">
        <v>1582000</v>
      </c>
      <c r="AX35" s="6">
        <v>0</v>
      </c>
      <c r="AY35" s="6">
        <v>4350040</v>
      </c>
      <c r="AZ35" s="3">
        <v>162.36184919625961</v>
      </c>
      <c r="BA35">
        <v>272</v>
      </c>
      <c r="BB35">
        <v>11</v>
      </c>
      <c r="BC35">
        <v>0</v>
      </c>
      <c r="BD35">
        <v>283</v>
      </c>
      <c r="BE35" s="2">
        <v>6149655.965887215</v>
      </c>
      <c r="BF35" s="6">
        <v>1537275</v>
      </c>
      <c r="BG35" s="6">
        <v>949700</v>
      </c>
      <c r="BH35" s="6">
        <v>0</v>
      </c>
      <c r="BI35" s="6">
        <v>2486975</v>
      </c>
      <c r="BJ35" s="3">
        <v>700.6010679085075</v>
      </c>
      <c r="BK35" s="6">
        <v>20921695</v>
      </c>
      <c r="BL35" s="6">
        <v>4253700</v>
      </c>
      <c r="BM35" s="6">
        <v>8304000</v>
      </c>
      <c r="BN35" s="6">
        <v>33479395</v>
      </c>
      <c r="BO35" s="3">
        <v>962.03019794705165</v>
      </c>
      <c r="BP35" s="7">
        <v>1007806395</v>
      </c>
      <c r="BQ35" s="2">
        <v>391.70925271744881</v>
      </c>
      <c r="BR35" s="2">
        <v>1697.4067617756116</v>
      </c>
    </row>
    <row r="36" spans="1:70">
      <c r="A36">
        <v>2009</v>
      </c>
      <c r="B36" s="1">
        <v>1055202</v>
      </c>
      <c r="C36" s="2">
        <v>122323147.29513751</v>
      </c>
      <c r="D36" s="3">
        <v>115.92391532155692</v>
      </c>
      <c r="E36" s="1">
        <v>633119</v>
      </c>
      <c r="F36" s="4">
        <v>0.71211757722834457</v>
      </c>
      <c r="G36" s="4">
        <v>0.50314036104812498</v>
      </c>
      <c r="H36" s="4">
        <v>0.52515350060294674</v>
      </c>
      <c r="I36" s="4">
        <v>0.57302782271540054</v>
      </c>
      <c r="J36" s="5">
        <v>7.5471054157218749</v>
      </c>
      <c r="K36">
        <v>55715</v>
      </c>
      <c r="L36">
        <v>178908</v>
      </c>
      <c r="M36">
        <v>107351</v>
      </c>
      <c r="N36">
        <v>341974</v>
      </c>
      <c r="O36" s="6">
        <v>417862500</v>
      </c>
      <c r="P36" s="6">
        <v>447270000</v>
      </c>
      <c r="Q36" s="6">
        <v>128821200</v>
      </c>
      <c r="R36" s="6">
        <v>993953700</v>
      </c>
      <c r="S36" s="2">
        <v>210.23</v>
      </c>
      <c r="T36" s="2">
        <v>114.53177777777778</v>
      </c>
      <c r="U36" s="2">
        <v>27.577466666666666</v>
      </c>
      <c r="V36" s="2">
        <v>352.33924444444443</v>
      </c>
      <c r="W36">
        <v>537</v>
      </c>
      <c r="X36">
        <v>5</v>
      </c>
      <c r="Y36">
        <v>4</v>
      </c>
      <c r="Z36">
        <v>546</v>
      </c>
      <c r="AA36" s="2">
        <v>50892536.312900797</v>
      </c>
      <c r="AB36" s="6">
        <v>13255800</v>
      </c>
      <c r="AC36" s="6">
        <v>1223000</v>
      </c>
      <c r="AD36" s="6">
        <v>5880000</v>
      </c>
      <c r="AE36" s="6">
        <v>20358800</v>
      </c>
      <c r="AF36" s="3">
        <v>100.6422528904817</v>
      </c>
      <c r="AG36">
        <v>537</v>
      </c>
      <c r="AH36">
        <v>5</v>
      </c>
      <c r="AI36">
        <v>2</v>
      </c>
      <c r="AJ36">
        <v>544</v>
      </c>
      <c r="AK36" s="2">
        <v>60619818.437557079</v>
      </c>
      <c r="AL36" s="6">
        <v>4200520</v>
      </c>
      <c r="AM36" s="6">
        <v>481000</v>
      </c>
      <c r="AN36" s="6">
        <v>2376000</v>
      </c>
      <c r="AO36" s="6">
        <v>7057520</v>
      </c>
      <c r="AP36" s="3">
        <v>3.1105793906429988</v>
      </c>
      <c r="AQ36">
        <v>320</v>
      </c>
      <c r="AR36">
        <v>8</v>
      </c>
      <c r="AS36">
        <v>0</v>
      </c>
      <c r="AT36">
        <v>328</v>
      </c>
      <c r="AU36" s="2">
        <v>4395384.7636230392</v>
      </c>
      <c r="AV36" s="6">
        <v>3123200</v>
      </c>
      <c r="AW36" s="6">
        <v>1248000</v>
      </c>
      <c r="AX36" s="6">
        <v>0</v>
      </c>
      <c r="AY36" s="6">
        <v>4371200</v>
      </c>
      <c r="AZ36" s="3">
        <v>173.11129216372382</v>
      </c>
      <c r="BA36">
        <v>282</v>
      </c>
      <c r="BB36">
        <v>12</v>
      </c>
      <c r="BC36">
        <v>0</v>
      </c>
      <c r="BD36">
        <v>294</v>
      </c>
      <c r="BE36" s="2">
        <v>6415407.7810565941</v>
      </c>
      <c r="BF36" s="6">
        <v>1575090</v>
      </c>
      <c r="BG36" s="6">
        <v>1007200</v>
      </c>
      <c r="BH36" s="6">
        <v>0</v>
      </c>
      <c r="BI36" s="6">
        <v>2582290</v>
      </c>
      <c r="BJ36" s="3">
        <v>731.82476230449424</v>
      </c>
      <c r="BK36" s="6">
        <v>22154610</v>
      </c>
      <c r="BL36" s="6">
        <v>3959200</v>
      </c>
      <c r="BM36" s="6">
        <v>8256000</v>
      </c>
      <c r="BN36" s="6">
        <v>34369810</v>
      </c>
      <c r="BO36" s="3">
        <v>1008.6888867493428</v>
      </c>
      <c r="BP36" s="7">
        <v>1028323510</v>
      </c>
      <c r="BQ36" s="2">
        <v>408.30843935813613</v>
      </c>
      <c r="BR36" s="2">
        <v>1769.3365705519234</v>
      </c>
    </row>
    <row r="37" spans="1:70">
      <c r="A37">
        <v>2010</v>
      </c>
      <c r="B37" s="1">
        <v>1071902</v>
      </c>
      <c r="C37" s="2">
        <v>129780914.29728183</v>
      </c>
      <c r="D37" s="3">
        <v>121.07535418096228</v>
      </c>
      <c r="E37" s="1">
        <v>643141</v>
      </c>
      <c r="F37" s="4">
        <v>0.71810272511386752</v>
      </c>
      <c r="G37" s="4">
        <v>0.50555205855142271</v>
      </c>
      <c r="H37" s="4">
        <v>0.52678853491584943</v>
      </c>
      <c r="I37" s="4">
        <v>0.57614207281675889</v>
      </c>
      <c r="J37" s="5">
        <v>7.5832808782713403</v>
      </c>
      <c r="K37">
        <v>57372</v>
      </c>
      <c r="L37">
        <v>181672</v>
      </c>
      <c r="M37">
        <v>107733</v>
      </c>
      <c r="N37">
        <v>346777</v>
      </c>
      <c r="O37" s="6">
        <v>430290000</v>
      </c>
      <c r="P37" s="6">
        <v>454180000</v>
      </c>
      <c r="Q37" s="6">
        <v>129279600</v>
      </c>
      <c r="R37" s="6">
        <v>1013749600</v>
      </c>
      <c r="S37" s="2">
        <v>216.68333333333331</v>
      </c>
      <c r="T37" s="2">
        <v>116.65444444444444</v>
      </c>
      <c r="U37" s="2">
        <v>27.795999999999999</v>
      </c>
      <c r="V37" s="2">
        <v>361.13377777777777</v>
      </c>
      <c r="W37">
        <v>560</v>
      </c>
      <c r="X37">
        <v>6</v>
      </c>
      <c r="Y37">
        <v>5</v>
      </c>
      <c r="Z37">
        <v>571</v>
      </c>
      <c r="AA37" s="2">
        <v>53673828.402476765</v>
      </c>
      <c r="AB37" s="6">
        <v>13627700</v>
      </c>
      <c r="AC37" s="6">
        <v>1461000</v>
      </c>
      <c r="AD37" s="6">
        <v>5790000</v>
      </c>
      <c r="AE37" s="6">
        <v>20878700</v>
      </c>
      <c r="AF37" s="3">
        <v>105.34003437848246</v>
      </c>
      <c r="AG37">
        <v>560</v>
      </c>
      <c r="AH37">
        <v>6</v>
      </c>
      <c r="AI37">
        <v>2</v>
      </c>
      <c r="AJ37">
        <v>568</v>
      </c>
      <c r="AK37" s="2">
        <v>63494457.394310534</v>
      </c>
      <c r="AL37" s="6">
        <v>4378400</v>
      </c>
      <c r="AM37" s="6">
        <v>584000</v>
      </c>
      <c r="AN37" s="6">
        <v>2280000</v>
      </c>
      <c r="AO37" s="6">
        <v>7242400</v>
      </c>
      <c r="AP37" s="3">
        <v>3.2343566472982062</v>
      </c>
      <c r="AQ37">
        <v>345</v>
      </c>
      <c r="AR37">
        <v>8</v>
      </c>
      <c r="AS37">
        <v>0</v>
      </c>
      <c r="AT37">
        <v>353</v>
      </c>
      <c r="AU37" s="2">
        <v>4776090.8992585</v>
      </c>
      <c r="AV37" s="6">
        <v>2911800</v>
      </c>
      <c r="AW37" s="6">
        <v>1360000</v>
      </c>
      <c r="AX37" s="6">
        <v>0</v>
      </c>
      <c r="AY37" s="6">
        <v>4271800</v>
      </c>
      <c r="AZ37" s="3">
        <v>183.9322340604551</v>
      </c>
      <c r="BA37">
        <v>339</v>
      </c>
      <c r="BB37">
        <v>14</v>
      </c>
      <c r="BC37">
        <v>0</v>
      </c>
      <c r="BD37">
        <v>353</v>
      </c>
      <c r="BE37" s="2">
        <v>7836537.6012360351</v>
      </c>
      <c r="BF37" s="6">
        <v>1966635</v>
      </c>
      <c r="BG37" s="6">
        <v>1196300</v>
      </c>
      <c r="BH37" s="6">
        <v>0</v>
      </c>
      <c r="BI37" s="6">
        <v>3162935</v>
      </c>
      <c r="BJ37" s="3">
        <v>763.90029255864943</v>
      </c>
      <c r="BK37" s="6">
        <v>22884535</v>
      </c>
      <c r="BL37" s="6">
        <v>4601300</v>
      </c>
      <c r="BM37" s="6">
        <v>8070000</v>
      </c>
      <c r="BN37" s="6">
        <v>35555835</v>
      </c>
      <c r="BO37" s="3">
        <v>1056.4069176448852</v>
      </c>
      <c r="BP37" s="7">
        <v>1049305435</v>
      </c>
      <c r="BQ37" s="2">
        <v>425.26220862679889</v>
      </c>
      <c r="BR37" s="2">
        <v>1842.8029040494619</v>
      </c>
    </row>
    <row r="38" spans="1:70">
      <c r="A38">
        <v>2011</v>
      </c>
      <c r="B38" s="1">
        <v>1089031</v>
      </c>
      <c r="C38" s="2">
        <v>136584069.99099717</v>
      </c>
      <c r="D38" s="3">
        <v>125.41798166534944</v>
      </c>
      <c r="E38" s="1">
        <v>653417</v>
      </c>
      <c r="F38" s="4">
        <v>0.72264751844169872</v>
      </c>
      <c r="G38" s="4">
        <v>0.50781318200250902</v>
      </c>
      <c r="H38" s="4">
        <v>0.52926833513050409</v>
      </c>
      <c r="I38" s="4">
        <v>0.57912031426279131</v>
      </c>
      <c r="J38" s="5">
        <v>7.6171977300376348</v>
      </c>
      <c r="K38">
        <v>59007</v>
      </c>
      <c r="L38">
        <v>184461</v>
      </c>
      <c r="M38">
        <v>108217</v>
      </c>
      <c r="N38">
        <v>351685</v>
      </c>
      <c r="O38" s="6">
        <v>442552500</v>
      </c>
      <c r="P38" s="6">
        <v>461152500</v>
      </c>
      <c r="Q38" s="6">
        <v>129860400</v>
      </c>
      <c r="R38" s="6">
        <v>1033565400</v>
      </c>
      <c r="S38" s="2">
        <v>223.11333333333332</v>
      </c>
      <c r="T38" s="2">
        <v>118.80977777777778</v>
      </c>
      <c r="U38" s="2">
        <v>28.033999999999999</v>
      </c>
      <c r="V38" s="2">
        <v>369.95711111111109</v>
      </c>
      <c r="W38">
        <v>582</v>
      </c>
      <c r="X38">
        <v>6</v>
      </c>
      <c r="Y38">
        <v>5</v>
      </c>
      <c r="Z38">
        <v>593</v>
      </c>
      <c r="AA38" s="2">
        <v>56447749.212198958</v>
      </c>
      <c r="AB38" s="6">
        <v>14224600</v>
      </c>
      <c r="AC38" s="6">
        <v>1457000</v>
      </c>
      <c r="AD38" s="6">
        <v>8640000</v>
      </c>
      <c r="AE38" s="6">
        <v>24321600</v>
      </c>
      <c r="AF38" s="3">
        <v>109.18785266684286</v>
      </c>
      <c r="AG38">
        <v>582</v>
      </c>
      <c r="AH38">
        <v>6</v>
      </c>
      <c r="AI38">
        <v>3</v>
      </c>
      <c r="AJ38">
        <v>591</v>
      </c>
      <c r="AK38" s="2">
        <v>66819311.09922687</v>
      </c>
      <c r="AL38" s="6">
        <v>4527520</v>
      </c>
      <c r="AM38" s="6">
        <v>579000</v>
      </c>
      <c r="AN38" s="6">
        <v>3510000</v>
      </c>
      <c r="AO38" s="6">
        <v>8616520</v>
      </c>
      <c r="AP38" s="3">
        <v>3.4106652046284345</v>
      </c>
      <c r="AQ38">
        <v>370</v>
      </c>
      <c r="AR38">
        <v>9</v>
      </c>
      <c r="AS38">
        <v>0</v>
      </c>
      <c r="AT38">
        <v>379</v>
      </c>
      <c r="AU38" s="2">
        <v>5158306.6363100894</v>
      </c>
      <c r="AV38" s="6">
        <v>3285600</v>
      </c>
      <c r="AW38" s="6">
        <v>2034000</v>
      </c>
      <c r="AX38" s="6">
        <v>0</v>
      </c>
      <c r="AY38" s="6">
        <v>5319600</v>
      </c>
      <c r="AZ38" s="3">
        <v>184.59298852775984</v>
      </c>
      <c r="BA38">
        <v>350</v>
      </c>
      <c r="BB38">
        <v>14</v>
      </c>
      <c r="BC38">
        <v>0</v>
      </c>
      <c r="BD38">
        <v>364</v>
      </c>
      <c r="BE38" s="2">
        <v>8158703.0432612533</v>
      </c>
      <c r="BF38" s="6">
        <v>1974405</v>
      </c>
      <c r="BG38" s="6">
        <v>1231400</v>
      </c>
      <c r="BH38" s="6">
        <v>0</v>
      </c>
      <c r="BI38" s="6">
        <v>3205805</v>
      </c>
      <c r="BJ38" s="3">
        <v>783.17900316499572</v>
      </c>
      <c r="BK38" s="6">
        <v>24012125</v>
      </c>
      <c r="BL38" s="6">
        <v>5301400</v>
      </c>
      <c r="BM38" s="6">
        <v>12150000</v>
      </c>
      <c r="BN38" s="6">
        <v>41463525</v>
      </c>
      <c r="BO38" s="3">
        <v>1080.3705095642267</v>
      </c>
      <c r="BP38" s="7">
        <v>1075028925</v>
      </c>
      <c r="BQ38" s="2">
        <v>435.09828620260134</v>
      </c>
      <c r="BR38" s="2">
        <v>1885.4259068779393</v>
      </c>
    </row>
    <row r="39" spans="1:70">
      <c r="A39">
        <v>2012</v>
      </c>
      <c r="B39" s="1">
        <v>1106605</v>
      </c>
      <c r="C39" s="2">
        <v>143701622.75452524</v>
      </c>
      <c r="D39" s="3">
        <v>129.85810000363747</v>
      </c>
      <c r="E39" s="1">
        <v>663961</v>
      </c>
      <c r="F39" s="4">
        <v>0.7271027866441615</v>
      </c>
      <c r="G39" s="4">
        <v>0.50993205272090636</v>
      </c>
      <c r="H39" s="4">
        <v>0.53268567266636568</v>
      </c>
      <c r="I39" s="4">
        <v>0.58236202221653677</v>
      </c>
      <c r="J39" s="5">
        <v>7.6489807908135949</v>
      </c>
      <c r="K39">
        <v>60647</v>
      </c>
      <c r="L39">
        <v>187320</v>
      </c>
      <c r="M39">
        <v>108744</v>
      </c>
      <c r="N39">
        <v>356711</v>
      </c>
      <c r="O39" s="6">
        <v>454852500</v>
      </c>
      <c r="P39" s="6">
        <v>468300000</v>
      </c>
      <c r="Q39" s="6">
        <v>130492800</v>
      </c>
      <c r="R39" s="6">
        <v>1053645300</v>
      </c>
      <c r="S39" s="2">
        <v>229.62333333333331</v>
      </c>
      <c r="T39" s="2">
        <v>121.03044444444444</v>
      </c>
      <c r="U39" s="2">
        <v>28.279266666666665</v>
      </c>
      <c r="V39" s="2">
        <v>378.93304444444448</v>
      </c>
      <c r="W39">
        <v>606</v>
      </c>
      <c r="X39">
        <v>7</v>
      </c>
      <c r="Y39">
        <v>6</v>
      </c>
      <c r="Z39">
        <v>619</v>
      </c>
      <c r="AA39" s="2">
        <v>59347109.719223931</v>
      </c>
      <c r="AB39" s="6">
        <v>14685800</v>
      </c>
      <c r="AC39" s="6">
        <v>1692000</v>
      </c>
      <c r="AD39" s="6">
        <v>11550000</v>
      </c>
      <c r="AE39" s="6">
        <v>27927800</v>
      </c>
      <c r="AF39" s="3">
        <v>113.19383537986016</v>
      </c>
      <c r="AG39">
        <v>606</v>
      </c>
      <c r="AH39">
        <v>7</v>
      </c>
      <c r="AI39">
        <v>4</v>
      </c>
      <c r="AJ39">
        <v>617</v>
      </c>
      <c r="AK39" s="2">
        <v>70286094.568114102</v>
      </c>
      <c r="AL39" s="6">
        <v>4756720</v>
      </c>
      <c r="AM39" s="6">
        <v>672500</v>
      </c>
      <c r="AN39" s="6">
        <v>4662000</v>
      </c>
      <c r="AO39" s="6">
        <v>10091220</v>
      </c>
      <c r="AP39" s="3">
        <v>3.5921423956139877</v>
      </c>
      <c r="AQ39">
        <v>397</v>
      </c>
      <c r="AR39">
        <v>10</v>
      </c>
      <c r="AS39">
        <v>0</v>
      </c>
      <c r="AT39">
        <v>407</v>
      </c>
      <c r="AU39" s="2">
        <v>5570293.946849836</v>
      </c>
      <c r="AV39" s="6">
        <v>3700040</v>
      </c>
      <c r="AW39" s="6">
        <v>1700000</v>
      </c>
      <c r="AX39" s="6">
        <v>0</v>
      </c>
      <c r="AY39" s="6">
        <v>5400040</v>
      </c>
      <c r="AZ39" s="3">
        <v>185.78913897128686</v>
      </c>
      <c r="BA39">
        <v>362</v>
      </c>
      <c r="BB39">
        <v>15</v>
      </c>
      <c r="BC39">
        <v>0</v>
      </c>
      <c r="BD39">
        <v>377</v>
      </c>
      <c r="BE39" s="2">
        <v>8498124.5203373805</v>
      </c>
      <c r="BF39" s="6">
        <v>2108595</v>
      </c>
      <c r="BG39" s="6">
        <v>1284350</v>
      </c>
      <c r="BH39" s="6">
        <v>0</v>
      </c>
      <c r="BI39" s="6">
        <v>3392945</v>
      </c>
      <c r="BJ39" s="3">
        <v>804.19010434203847</v>
      </c>
      <c r="BK39" s="6">
        <v>25251155</v>
      </c>
      <c r="BL39" s="6">
        <v>5348850</v>
      </c>
      <c r="BM39" s="6">
        <v>16212000</v>
      </c>
      <c r="BN39" s="6">
        <v>46812005</v>
      </c>
      <c r="BO39" s="3">
        <v>1106.7652210887995</v>
      </c>
      <c r="BP39" s="7">
        <v>1100457305</v>
      </c>
      <c r="BQ39" s="2">
        <v>445.70947965997317</v>
      </c>
      <c r="BR39" s="2">
        <v>1931.4077451932171</v>
      </c>
    </row>
    <row r="40" spans="1:70">
      <c r="A40">
        <v>2013</v>
      </c>
      <c r="B40" s="1">
        <v>1124644</v>
      </c>
      <c r="C40" s="2">
        <v>151161690.97304612</v>
      </c>
      <c r="D40" s="3">
        <v>134.40848034848906</v>
      </c>
      <c r="E40" s="1">
        <v>674785</v>
      </c>
      <c r="F40" s="4">
        <v>0.73148215176636955</v>
      </c>
      <c r="G40" s="4">
        <v>0.5119158946674589</v>
      </c>
      <c r="H40" s="4">
        <v>0.5371089113449502</v>
      </c>
      <c r="I40" s="4">
        <v>0.5858973971834931</v>
      </c>
      <c r="J40" s="5">
        <v>7.6787384200118831</v>
      </c>
      <c r="K40">
        <v>62293</v>
      </c>
      <c r="L40">
        <v>190258</v>
      </c>
      <c r="M40">
        <v>109317</v>
      </c>
      <c r="N40">
        <v>361868</v>
      </c>
      <c r="O40" s="6">
        <v>467197500</v>
      </c>
      <c r="P40" s="6">
        <v>475645000</v>
      </c>
      <c r="Q40" s="6">
        <v>131180400</v>
      </c>
      <c r="R40" s="6">
        <v>1074022900</v>
      </c>
      <c r="S40" s="2">
        <v>236.215</v>
      </c>
      <c r="T40" s="2">
        <v>123.31866666666666</v>
      </c>
      <c r="U40" s="2">
        <v>28.531666666666666</v>
      </c>
      <c r="V40" s="2">
        <v>388.06533333333334</v>
      </c>
      <c r="W40">
        <v>631</v>
      </c>
      <c r="X40">
        <v>8</v>
      </c>
      <c r="Y40">
        <v>7</v>
      </c>
      <c r="Z40">
        <v>646</v>
      </c>
      <c r="AA40" s="2">
        <v>62378808.011271611</v>
      </c>
      <c r="AB40" s="6">
        <v>15492600</v>
      </c>
      <c r="AC40" s="6">
        <v>1956000</v>
      </c>
      <c r="AD40" s="6">
        <v>11790000</v>
      </c>
      <c r="AE40" s="6">
        <v>29238600</v>
      </c>
      <c r="AF40" s="3">
        <v>117.3585425238287</v>
      </c>
      <c r="AG40">
        <v>631</v>
      </c>
      <c r="AH40">
        <v>8</v>
      </c>
      <c r="AI40">
        <v>4</v>
      </c>
      <c r="AJ40">
        <v>643</v>
      </c>
      <c r="AK40" s="2">
        <v>73912648.359826341</v>
      </c>
      <c r="AL40" s="6">
        <v>4907560</v>
      </c>
      <c r="AM40" s="6">
        <v>787000</v>
      </c>
      <c r="AN40" s="6">
        <v>4680000</v>
      </c>
      <c r="AO40" s="6">
        <v>10374560</v>
      </c>
      <c r="AP40" s="3">
        <v>3.7789033190885819</v>
      </c>
      <c r="AQ40">
        <v>426</v>
      </c>
      <c r="AR40">
        <v>11</v>
      </c>
      <c r="AS40">
        <v>0</v>
      </c>
      <c r="AT40">
        <v>437</v>
      </c>
      <c r="AU40" s="2">
        <v>6014258.4651435278</v>
      </c>
      <c r="AV40" s="6">
        <v>3782880</v>
      </c>
      <c r="AW40" s="6">
        <v>2024000</v>
      </c>
      <c r="AX40" s="6">
        <v>0</v>
      </c>
      <c r="AY40" s="6">
        <v>5806880</v>
      </c>
      <c r="AZ40" s="3">
        <v>187.49305009162848</v>
      </c>
      <c r="BA40">
        <v>375</v>
      </c>
      <c r="BB40">
        <v>15</v>
      </c>
      <c r="BC40">
        <v>0</v>
      </c>
      <c r="BD40">
        <v>390</v>
      </c>
      <c r="BE40" s="2">
        <v>8855976.1368046552</v>
      </c>
      <c r="BF40" s="6">
        <v>2171925</v>
      </c>
      <c r="BG40" s="6">
        <v>1252500</v>
      </c>
      <c r="BH40" s="6">
        <v>0</v>
      </c>
      <c r="BI40" s="6">
        <v>3424425</v>
      </c>
      <c r="BJ40" s="3">
        <v>826.85491227788953</v>
      </c>
      <c r="BK40" s="6">
        <v>26354965</v>
      </c>
      <c r="BL40" s="6">
        <v>6019500</v>
      </c>
      <c r="BM40" s="6">
        <v>16470000</v>
      </c>
      <c r="BN40" s="6">
        <v>48844465</v>
      </c>
      <c r="BO40" s="3">
        <v>1135.4854082124352</v>
      </c>
      <c r="BP40" s="7">
        <v>1122867365</v>
      </c>
      <c r="BQ40" s="2">
        <v>457.06522246373061</v>
      </c>
      <c r="BR40" s="2">
        <v>1980.6159640094993</v>
      </c>
    </row>
    <row r="41" spans="1:70">
      <c r="A41">
        <v>2014</v>
      </c>
      <c r="B41" s="1">
        <v>1143161</v>
      </c>
      <c r="C41" s="2">
        <v>158992950.54137146</v>
      </c>
      <c r="D41" s="3">
        <v>139.08185333594434</v>
      </c>
      <c r="E41" s="1">
        <v>685895</v>
      </c>
      <c r="F41" s="4">
        <v>0.73579744222819565</v>
      </c>
      <c r="G41" s="4">
        <v>0.51377207017366922</v>
      </c>
      <c r="H41" s="4">
        <v>0.54255564204071116</v>
      </c>
      <c r="I41" s="4">
        <v>0.58973605879230873</v>
      </c>
      <c r="J41" s="5">
        <v>7.7065810526050385</v>
      </c>
      <c r="K41">
        <v>63950</v>
      </c>
      <c r="L41">
        <v>193282</v>
      </c>
      <c r="M41">
        <v>109936</v>
      </c>
      <c r="N41">
        <v>367168</v>
      </c>
      <c r="O41" s="6">
        <v>479625000</v>
      </c>
      <c r="P41" s="6">
        <v>483205000</v>
      </c>
      <c r="Q41" s="6">
        <v>131923200</v>
      </c>
      <c r="R41" s="6">
        <v>1094753200</v>
      </c>
      <c r="S41" s="2">
        <v>242.90166666666664</v>
      </c>
      <c r="T41" s="2">
        <v>125.67666666666666</v>
      </c>
      <c r="U41" s="2">
        <v>28.7912</v>
      </c>
      <c r="V41" s="2">
        <v>397.36953333333332</v>
      </c>
      <c r="W41">
        <v>657</v>
      </c>
      <c r="X41">
        <v>8</v>
      </c>
      <c r="Y41">
        <v>7</v>
      </c>
      <c r="Z41">
        <v>672</v>
      </c>
      <c r="AA41" s="2">
        <v>65549815.117434382</v>
      </c>
      <c r="AB41" s="6">
        <v>16112500</v>
      </c>
      <c r="AC41" s="6">
        <v>1922000</v>
      </c>
      <c r="AD41" s="6">
        <v>11475000</v>
      </c>
      <c r="AE41" s="6">
        <v>29509500</v>
      </c>
      <c r="AF41" s="3">
        <v>121.68269962171163</v>
      </c>
      <c r="AG41">
        <v>657</v>
      </c>
      <c r="AH41">
        <v>8</v>
      </c>
      <c r="AI41">
        <v>4</v>
      </c>
      <c r="AJ41">
        <v>669</v>
      </c>
      <c r="AK41" s="2">
        <v>77717542.575971231</v>
      </c>
      <c r="AL41" s="6">
        <v>5116760</v>
      </c>
      <c r="AM41" s="6">
        <v>780000</v>
      </c>
      <c r="AN41" s="6">
        <v>4614000</v>
      </c>
      <c r="AO41" s="6">
        <v>10510760</v>
      </c>
      <c r="AP41" s="3">
        <v>3.9710649735297072</v>
      </c>
      <c r="AQ41">
        <v>457</v>
      </c>
      <c r="AR41">
        <v>12</v>
      </c>
      <c r="AS41">
        <v>0</v>
      </c>
      <c r="AT41">
        <v>469</v>
      </c>
      <c r="AU41" s="2">
        <v>6492098.7837171452</v>
      </c>
      <c r="AV41" s="6">
        <v>3857080</v>
      </c>
      <c r="AW41" s="6">
        <v>1536000</v>
      </c>
      <c r="AX41" s="6">
        <v>0</v>
      </c>
      <c r="AY41" s="6">
        <v>5393080</v>
      </c>
      <c r="AZ41" s="3">
        <v>189.67959849757344</v>
      </c>
      <c r="BA41">
        <v>389</v>
      </c>
      <c r="BB41">
        <v>15</v>
      </c>
      <c r="BC41">
        <v>0</v>
      </c>
      <c r="BD41">
        <v>404</v>
      </c>
      <c r="BE41" s="2">
        <v>9233494.0642486773</v>
      </c>
      <c r="BF41" s="6">
        <v>2214705</v>
      </c>
      <c r="BG41" s="6">
        <v>1272000</v>
      </c>
      <c r="BH41" s="6">
        <v>0</v>
      </c>
      <c r="BI41" s="6">
        <v>3486705</v>
      </c>
      <c r="BJ41" s="3">
        <v>851.10448495492437</v>
      </c>
      <c r="BK41" s="6">
        <v>27301045</v>
      </c>
      <c r="BL41" s="6">
        <v>5510000</v>
      </c>
      <c r="BM41" s="6">
        <v>16089000</v>
      </c>
      <c r="BN41" s="6">
        <v>48900045</v>
      </c>
      <c r="BO41" s="3">
        <v>1166.4378480477392</v>
      </c>
      <c r="BP41" s="7">
        <v>1143653245</v>
      </c>
      <c r="BQ41" s="2">
        <v>469.1422144143217</v>
      </c>
      <c r="BR41" s="2">
        <v>2032.9495957953941</v>
      </c>
    </row>
    <row r="42" spans="1:70">
      <c r="A42">
        <v>2015</v>
      </c>
      <c r="B42" s="1">
        <v>1162166</v>
      </c>
      <c r="C42" s="2">
        <v>172059308.73148659</v>
      </c>
      <c r="D42" s="3">
        <v>148.05054418343556</v>
      </c>
      <c r="E42" s="1">
        <v>697298</v>
      </c>
      <c r="F42" s="4">
        <v>0.74436376975544472</v>
      </c>
      <c r="G42" s="4">
        <v>0.51550627082118816</v>
      </c>
      <c r="H42" s="4">
        <v>0.54896531440095186</v>
      </c>
      <c r="I42" s="4">
        <v>0.5950060223009771</v>
      </c>
      <c r="J42" s="5">
        <v>7.7325940623178226</v>
      </c>
      <c r="K42">
        <v>65617</v>
      </c>
      <c r="L42">
        <v>196401</v>
      </c>
      <c r="M42">
        <v>110602</v>
      </c>
      <c r="N42">
        <v>372620</v>
      </c>
      <c r="O42" s="6">
        <v>492127500</v>
      </c>
      <c r="P42" s="6">
        <v>491002500</v>
      </c>
      <c r="Q42" s="6">
        <v>132722400</v>
      </c>
      <c r="R42" s="6">
        <v>1115852400</v>
      </c>
      <c r="S42" s="2">
        <v>249.69499999999999</v>
      </c>
      <c r="T42" s="2">
        <v>128.10622222222221</v>
      </c>
      <c r="U42" s="2">
        <v>29.057600000000001</v>
      </c>
      <c r="V42" s="2">
        <v>406.85882222222222</v>
      </c>
      <c r="W42">
        <v>684</v>
      </c>
      <c r="X42">
        <v>8</v>
      </c>
      <c r="Y42">
        <v>7</v>
      </c>
      <c r="Z42">
        <v>699</v>
      </c>
      <c r="AA42" s="2">
        <v>68867126.410932645</v>
      </c>
      <c r="AB42" s="6">
        <v>16562600</v>
      </c>
      <c r="AC42" s="6">
        <v>1952000</v>
      </c>
      <c r="AD42" s="6">
        <v>11835000</v>
      </c>
      <c r="AE42" s="6">
        <v>30349600</v>
      </c>
      <c r="AF42" s="3">
        <v>126.16713431422967</v>
      </c>
      <c r="AG42">
        <v>684</v>
      </c>
      <c r="AH42">
        <v>8</v>
      </c>
      <c r="AI42">
        <v>4</v>
      </c>
      <c r="AJ42">
        <v>696</v>
      </c>
      <c r="AK42" s="2">
        <v>86554417.887805447</v>
      </c>
      <c r="AL42" s="6">
        <v>5345480</v>
      </c>
      <c r="AM42" s="6">
        <v>779000</v>
      </c>
      <c r="AN42" s="6">
        <v>4722000</v>
      </c>
      <c r="AO42" s="6">
        <v>10846480</v>
      </c>
      <c r="AP42" s="3">
        <v>4.1687447627598564</v>
      </c>
      <c r="AQ42">
        <v>491</v>
      </c>
      <c r="AR42">
        <v>14</v>
      </c>
      <c r="AS42">
        <v>0</v>
      </c>
      <c r="AT42">
        <v>505</v>
      </c>
      <c r="AU42" s="2">
        <v>7005726.8398571955</v>
      </c>
      <c r="AV42" s="6">
        <v>4468100</v>
      </c>
      <c r="AW42" s="6">
        <v>2380000</v>
      </c>
      <c r="AX42" s="6">
        <v>0</v>
      </c>
      <c r="AY42" s="6">
        <v>6848100</v>
      </c>
      <c r="AZ42" s="3">
        <v>192.32589090479485</v>
      </c>
      <c r="BA42">
        <v>403</v>
      </c>
      <c r="BB42">
        <v>17</v>
      </c>
      <c r="BC42">
        <v>0</v>
      </c>
      <c r="BD42">
        <v>420</v>
      </c>
      <c r="BE42" s="2">
        <v>9632037.5928913057</v>
      </c>
      <c r="BF42" s="6">
        <v>2238180</v>
      </c>
      <c r="BG42" s="6">
        <v>1446800</v>
      </c>
      <c r="BH42" s="6">
        <v>0</v>
      </c>
      <c r="BI42" s="6">
        <v>3684980</v>
      </c>
      <c r="BJ42" s="3">
        <v>876.87814491204631</v>
      </c>
      <c r="BK42" s="6">
        <v>28614360</v>
      </c>
      <c r="BL42" s="6">
        <v>6557800</v>
      </c>
      <c r="BM42" s="6">
        <v>16557000</v>
      </c>
      <c r="BN42" s="6">
        <v>51729160</v>
      </c>
      <c r="BO42" s="3">
        <v>1199.5399148938307</v>
      </c>
      <c r="BP42" s="7">
        <v>1167581560</v>
      </c>
      <c r="BQ42" s="2">
        <v>481.91962113481583</v>
      </c>
      <c r="BR42" s="2">
        <v>2088.3183582508686</v>
      </c>
    </row>
    <row r="43" spans="1:70">
      <c r="A43">
        <v>2016</v>
      </c>
      <c r="B43" s="1">
        <v>1181663</v>
      </c>
      <c r="C43" s="2">
        <v>181229018.86109266</v>
      </c>
      <c r="D43" s="3">
        <v>153.36776971191674</v>
      </c>
      <c r="E43" s="1">
        <v>708997</v>
      </c>
      <c r="F43" s="4">
        <v>0.74881916023054862</v>
      </c>
      <c r="G43" s="4">
        <v>0.51712473155617866</v>
      </c>
      <c r="H43" s="4">
        <v>0.55617012055814363</v>
      </c>
      <c r="I43" s="4">
        <v>0.59941366117174844</v>
      </c>
      <c r="J43" s="5">
        <v>7.7568709733426795</v>
      </c>
      <c r="K43">
        <v>67302</v>
      </c>
      <c r="L43">
        <v>199624</v>
      </c>
      <c r="M43">
        <v>111312</v>
      </c>
      <c r="N43">
        <v>378238</v>
      </c>
      <c r="O43" s="6">
        <v>504765000</v>
      </c>
      <c r="P43" s="6">
        <v>499060000</v>
      </c>
      <c r="Q43" s="6">
        <v>133574400</v>
      </c>
      <c r="R43" s="6">
        <v>1137399400</v>
      </c>
      <c r="S43" s="2">
        <v>256.61333333333329</v>
      </c>
      <c r="T43" s="2">
        <v>130.61266666666666</v>
      </c>
      <c r="U43" s="2">
        <v>29.32866666666667</v>
      </c>
      <c r="V43" s="2">
        <v>416.55466666666666</v>
      </c>
      <c r="W43">
        <v>714</v>
      </c>
      <c r="X43">
        <v>10</v>
      </c>
      <c r="Y43">
        <v>8</v>
      </c>
      <c r="Z43">
        <v>732</v>
      </c>
      <c r="AA43" s="2">
        <v>72338752.853542894</v>
      </c>
      <c r="AB43" s="6">
        <v>17426400</v>
      </c>
      <c r="AC43" s="6">
        <v>2421000</v>
      </c>
      <c r="AD43" s="6">
        <v>14280000</v>
      </c>
      <c r="AE43" s="6">
        <v>34127400</v>
      </c>
      <c r="AF43" s="3">
        <v>130.81288642266543</v>
      </c>
      <c r="AG43">
        <v>714</v>
      </c>
      <c r="AH43">
        <v>10</v>
      </c>
      <c r="AI43">
        <v>5</v>
      </c>
      <c r="AJ43">
        <v>729</v>
      </c>
      <c r="AK43" s="2">
        <v>91279733.370377719</v>
      </c>
      <c r="AL43" s="6">
        <v>5538200</v>
      </c>
      <c r="AM43" s="6">
        <v>966500</v>
      </c>
      <c r="AN43" s="6">
        <v>5790000</v>
      </c>
      <c r="AO43" s="6">
        <v>12294700</v>
      </c>
      <c r="AP43" s="3">
        <v>4.3720636071697907</v>
      </c>
      <c r="AQ43">
        <v>527</v>
      </c>
      <c r="AR43">
        <v>15</v>
      </c>
      <c r="AS43">
        <v>0</v>
      </c>
      <c r="AT43">
        <v>542</v>
      </c>
      <c r="AU43" s="2">
        <v>7557565.973718876</v>
      </c>
      <c r="AV43" s="6">
        <v>4795700</v>
      </c>
      <c r="AW43" s="6">
        <v>2550000</v>
      </c>
      <c r="AX43" s="6">
        <v>0</v>
      </c>
      <c r="AY43" s="6">
        <v>7345700</v>
      </c>
      <c r="AZ43" s="3">
        <v>195.41126141762729</v>
      </c>
      <c r="BA43">
        <v>419</v>
      </c>
      <c r="BB43">
        <v>17</v>
      </c>
      <c r="BC43">
        <v>0</v>
      </c>
      <c r="BD43">
        <v>436</v>
      </c>
      <c r="BE43" s="2">
        <v>10052966.663453169</v>
      </c>
      <c r="BF43" s="6">
        <v>2350020</v>
      </c>
      <c r="BG43" s="6">
        <v>1461100</v>
      </c>
      <c r="BH43" s="6">
        <v>0</v>
      </c>
      <c r="BI43" s="6">
        <v>3811120</v>
      </c>
      <c r="BJ43" s="3">
        <v>904.12374597329699</v>
      </c>
      <c r="BK43" s="6">
        <v>30110320</v>
      </c>
      <c r="BL43" s="6">
        <v>7398600</v>
      </c>
      <c r="BM43" s="6">
        <v>20070000</v>
      </c>
      <c r="BN43" s="6">
        <v>57578920</v>
      </c>
      <c r="BO43" s="3">
        <v>1234.7199574207596</v>
      </c>
      <c r="BP43" s="7">
        <v>1194978320</v>
      </c>
      <c r="BQ43" s="2">
        <v>495.38238722622782</v>
      </c>
      <c r="BR43" s="2">
        <v>2146.657011313654</v>
      </c>
    </row>
    <row r="44" spans="1:70">
      <c r="A44">
        <v>2017</v>
      </c>
      <c r="B44" s="1">
        <v>1201639</v>
      </c>
      <c r="C44" s="2">
        <v>190919636.18183857</v>
      </c>
      <c r="D44" s="3">
        <v>158.88268954472898</v>
      </c>
      <c r="E44" s="1">
        <v>720981</v>
      </c>
      <c r="F44" s="4">
        <v>0.75325541673381702</v>
      </c>
      <c r="G44" s="4">
        <v>0.51863014081283454</v>
      </c>
      <c r="H44" s="4">
        <v>0.56388136139982559</v>
      </c>
      <c r="I44" s="4">
        <v>0.60394295359879568</v>
      </c>
      <c r="J44" s="5">
        <v>7.7794521121925184</v>
      </c>
      <c r="K44">
        <v>69007</v>
      </c>
      <c r="L44">
        <v>202951</v>
      </c>
      <c r="M44">
        <v>112064</v>
      </c>
      <c r="N44">
        <v>384022</v>
      </c>
      <c r="O44" s="6">
        <v>517552500</v>
      </c>
      <c r="P44" s="6">
        <v>507377500</v>
      </c>
      <c r="Q44" s="6">
        <v>134476800</v>
      </c>
      <c r="R44" s="6">
        <v>1159406800</v>
      </c>
      <c r="S44" s="2">
        <v>263.6516666666667</v>
      </c>
      <c r="T44" s="2">
        <v>133.19088888888888</v>
      </c>
      <c r="U44" s="2">
        <v>29.605466666666668</v>
      </c>
      <c r="V44" s="2">
        <v>426.44802222222222</v>
      </c>
      <c r="W44">
        <v>745</v>
      </c>
      <c r="X44">
        <v>11</v>
      </c>
      <c r="Y44">
        <v>8</v>
      </c>
      <c r="Z44">
        <v>764</v>
      </c>
      <c r="AA44" s="2">
        <v>75972257.464302033</v>
      </c>
      <c r="AB44" s="6">
        <v>18101800</v>
      </c>
      <c r="AC44" s="6">
        <v>2698000</v>
      </c>
      <c r="AD44" s="6">
        <v>14520000</v>
      </c>
      <c r="AE44" s="6">
        <v>35319800</v>
      </c>
      <c r="AF44" s="3">
        <v>135.62114717393183</v>
      </c>
      <c r="AG44">
        <v>745</v>
      </c>
      <c r="AH44">
        <v>11</v>
      </c>
      <c r="AI44">
        <v>5</v>
      </c>
      <c r="AJ44">
        <v>761</v>
      </c>
      <c r="AK44" s="2">
        <v>96300412.396798223</v>
      </c>
      <c r="AL44" s="6">
        <v>5792280</v>
      </c>
      <c r="AM44" s="6">
        <v>1072500</v>
      </c>
      <c r="AN44" s="6">
        <v>5772000</v>
      </c>
      <c r="AO44" s="6">
        <v>12636780</v>
      </c>
      <c r="AP44" s="3">
        <v>4.5811445467134693</v>
      </c>
      <c r="AQ44">
        <v>566</v>
      </c>
      <c r="AR44">
        <v>16</v>
      </c>
      <c r="AS44">
        <v>0</v>
      </c>
      <c r="AT44">
        <v>582</v>
      </c>
      <c r="AU44" s="2">
        <v>8149426.5997846052</v>
      </c>
      <c r="AV44" s="6">
        <v>5026080</v>
      </c>
      <c r="AW44" s="6">
        <v>2944000</v>
      </c>
      <c r="AX44" s="6">
        <v>0</v>
      </c>
      <c r="AY44" s="6">
        <v>7970080</v>
      </c>
      <c r="AZ44" s="3">
        <v>198.91702069064806</v>
      </c>
      <c r="BA44">
        <v>433</v>
      </c>
      <c r="BB44">
        <v>18</v>
      </c>
      <c r="BC44">
        <v>0</v>
      </c>
      <c r="BD44">
        <v>451</v>
      </c>
      <c r="BE44" s="2">
        <v>10497539.720953695</v>
      </c>
      <c r="BF44" s="6">
        <v>2495580</v>
      </c>
      <c r="BG44" s="6">
        <v>1536800</v>
      </c>
      <c r="BH44" s="6">
        <v>0</v>
      </c>
      <c r="BI44" s="6">
        <v>4032380</v>
      </c>
      <c r="BJ44" s="3">
        <v>932.79636809153772</v>
      </c>
      <c r="BK44" s="6">
        <v>31415740</v>
      </c>
      <c r="BL44" s="6">
        <v>8251300</v>
      </c>
      <c r="BM44" s="6">
        <v>20292000</v>
      </c>
      <c r="BN44" s="6">
        <v>59959040</v>
      </c>
      <c r="BO44" s="3">
        <v>1271.915680502831</v>
      </c>
      <c r="BP44" s="7">
        <v>1219365840</v>
      </c>
      <c r="BQ44" s="2">
        <v>509.50911081751599</v>
      </c>
      <c r="BR44" s="2">
        <v>2207.8728135425695</v>
      </c>
    </row>
    <row r="45" spans="1:70">
      <c r="A45">
        <v>2018</v>
      </c>
      <c r="B45" s="1">
        <v>1222063</v>
      </c>
      <c r="C45" s="2">
        <v>201178189.98195484</v>
      </c>
      <c r="D45" s="3">
        <v>164.6217829866012</v>
      </c>
      <c r="E45" s="1">
        <v>733236</v>
      </c>
      <c r="F45" s="4">
        <v>0.75768934159580248</v>
      </c>
      <c r="G45" s="4">
        <v>0.5200250433237722</v>
      </c>
      <c r="H45" s="4">
        <v>0.57170812879061539</v>
      </c>
      <c r="I45" s="4">
        <v>0.60845706012072076</v>
      </c>
      <c r="J45" s="5">
        <v>7.8003756498565826</v>
      </c>
      <c r="K45">
        <v>70734</v>
      </c>
      <c r="L45">
        <v>206391</v>
      </c>
      <c r="M45">
        <v>112860</v>
      </c>
      <c r="N45">
        <v>389985</v>
      </c>
      <c r="O45" s="6">
        <v>530505000</v>
      </c>
      <c r="P45" s="6">
        <v>515977500</v>
      </c>
      <c r="Q45" s="6">
        <v>135432000</v>
      </c>
      <c r="R45" s="6">
        <v>1181914500</v>
      </c>
      <c r="S45" s="2">
        <v>270.80833333333328</v>
      </c>
      <c r="T45" s="2">
        <v>135.83866666666665</v>
      </c>
      <c r="U45" s="2">
        <v>29.886333333333333</v>
      </c>
      <c r="V45" s="2">
        <v>436.5333333333333</v>
      </c>
      <c r="W45">
        <v>776</v>
      </c>
      <c r="X45">
        <v>12</v>
      </c>
      <c r="Y45">
        <v>9</v>
      </c>
      <c r="Z45">
        <v>797</v>
      </c>
      <c r="AA45" s="2">
        <v>79776374.098342702</v>
      </c>
      <c r="AB45" s="6">
        <v>18858700</v>
      </c>
      <c r="AC45" s="6">
        <v>2970000</v>
      </c>
      <c r="AD45" s="6">
        <v>14310000</v>
      </c>
      <c r="AE45" s="6">
        <v>36138700</v>
      </c>
      <c r="AF45" s="3">
        <v>140.59319082213864</v>
      </c>
      <c r="AG45">
        <v>776</v>
      </c>
      <c r="AH45">
        <v>12</v>
      </c>
      <c r="AI45">
        <v>5</v>
      </c>
      <c r="AJ45">
        <v>793</v>
      </c>
      <c r="AK45" s="2">
        <v>101651039.55119246</v>
      </c>
      <c r="AL45" s="6">
        <v>6034560</v>
      </c>
      <c r="AM45" s="6">
        <v>1163000</v>
      </c>
      <c r="AN45" s="6">
        <v>5868000</v>
      </c>
      <c r="AO45" s="6">
        <v>13065560</v>
      </c>
      <c r="AP45" s="3">
        <v>4.7961110833938587</v>
      </c>
      <c r="AQ45">
        <v>608</v>
      </c>
      <c r="AR45">
        <v>18</v>
      </c>
      <c r="AS45">
        <v>0</v>
      </c>
      <c r="AT45">
        <v>626</v>
      </c>
      <c r="AU45" s="2">
        <v>8783819.5266615693</v>
      </c>
      <c r="AV45" s="6">
        <v>5131520</v>
      </c>
      <c r="AW45" s="6">
        <v>3816000</v>
      </c>
      <c r="AX45" s="6">
        <v>0</v>
      </c>
      <c r="AY45" s="6">
        <v>8947520</v>
      </c>
      <c r="AZ45" s="3">
        <v>202.82620814624713</v>
      </c>
      <c r="BA45">
        <v>450</v>
      </c>
      <c r="BB45">
        <v>18</v>
      </c>
      <c r="BC45">
        <v>0</v>
      </c>
      <c r="BD45">
        <v>468</v>
      </c>
      <c r="BE45" s="2">
        <v>10966956.805758126</v>
      </c>
      <c r="BF45" s="6">
        <v>2561760</v>
      </c>
      <c r="BG45" s="6">
        <v>1554350</v>
      </c>
      <c r="BH45" s="6">
        <v>0</v>
      </c>
      <c r="BI45" s="6">
        <v>4116110</v>
      </c>
      <c r="BJ45" s="3">
        <v>962.85703686101169</v>
      </c>
      <c r="BK45" s="6">
        <v>32586540</v>
      </c>
      <c r="BL45" s="6">
        <v>9503350</v>
      </c>
      <c r="BM45" s="6">
        <v>20178000</v>
      </c>
      <c r="BN45" s="6">
        <v>62267890</v>
      </c>
      <c r="BO45" s="3">
        <v>1311.0725469127913</v>
      </c>
      <c r="BP45" s="7">
        <v>1244182390</v>
      </c>
      <c r="BQ45" s="2">
        <v>524.28176407383739</v>
      </c>
      <c r="BR45" s="2">
        <v>2271.887644319962</v>
      </c>
    </row>
    <row r="46" spans="1:70">
      <c r="A46">
        <v>2019</v>
      </c>
      <c r="B46" s="1">
        <v>1242881</v>
      </c>
      <c r="C46" s="2">
        <v>212053091.15023792</v>
      </c>
      <c r="D46" s="3">
        <v>170.61415465377451</v>
      </c>
      <c r="E46" s="1">
        <v>745727</v>
      </c>
      <c r="F46" s="4">
        <v>0.76213754788365062</v>
      </c>
      <c r="G46" s="4">
        <v>0.52130786957719444</v>
      </c>
      <c r="H46" s="4">
        <v>0.5792121723405137</v>
      </c>
      <c r="I46" s="4">
        <v>0.61280425642258818</v>
      </c>
      <c r="J46" s="5">
        <v>7.8196180436579166</v>
      </c>
      <c r="K46">
        <v>72481</v>
      </c>
      <c r="L46">
        <v>209937</v>
      </c>
      <c r="M46">
        <v>113692</v>
      </c>
      <c r="N46">
        <v>396110</v>
      </c>
      <c r="O46" s="6">
        <v>543607500</v>
      </c>
      <c r="P46" s="6">
        <v>524842500</v>
      </c>
      <c r="Q46" s="6">
        <v>136430400</v>
      </c>
      <c r="R46" s="6">
        <v>1204880400</v>
      </c>
      <c r="S46" s="2">
        <v>278.0866666666667</v>
      </c>
      <c r="T46" s="2">
        <v>138.54955555555554</v>
      </c>
      <c r="U46" s="2">
        <v>30.169866666666667</v>
      </c>
      <c r="V46" s="2">
        <v>446.80608888888889</v>
      </c>
      <c r="W46">
        <v>811</v>
      </c>
      <c r="X46">
        <v>12</v>
      </c>
      <c r="Y46">
        <v>9</v>
      </c>
      <c r="Z46">
        <v>832</v>
      </c>
      <c r="AA46" s="2">
        <v>83759677.045885116</v>
      </c>
      <c r="AB46" s="6">
        <v>19688700</v>
      </c>
      <c r="AC46" s="6">
        <v>2935000</v>
      </c>
      <c r="AD46" s="6">
        <v>14460000</v>
      </c>
      <c r="AE46" s="6">
        <v>37083700</v>
      </c>
      <c r="AF46" s="3">
        <v>145.73049753437226</v>
      </c>
      <c r="AG46">
        <v>811</v>
      </c>
      <c r="AH46">
        <v>12</v>
      </c>
      <c r="AI46">
        <v>5</v>
      </c>
      <c r="AJ46">
        <v>828</v>
      </c>
      <c r="AK46" s="2">
        <v>107368605.15089886</v>
      </c>
      <c r="AL46" s="6">
        <v>6238160</v>
      </c>
      <c r="AM46" s="6">
        <v>1155000</v>
      </c>
      <c r="AN46" s="6">
        <v>5880000</v>
      </c>
      <c r="AO46" s="6">
        <v>13273160</v>
      </c>
      <c r="AP46" s="3">
        <v>5.0170906046974713</v>
      </c>
      <c r="AQ46">
        <v>653</v>
      </c>
      <c r="AR46">
        <v>19</v>
      </c>
      <c r="AS46">
        <v>0</v>
      </c>
      <c r="AT46">
        <v>672</v>
      </c>
      <c r="AU46" s="2">
        <v>9462719.706302749</v>
      </c>
      <c r="AV46" s="6">
        <v>6085960</v>
      </c>
      <c r="AW46" s="6">
        <v>4560000</v>
      </c>
      <c r="AX46" s="6">
        <v>0</v>
      </c>
      <c r="AY46" s="6">
        <v>10645960</v>
      </c>
      <c r="AZ46" s="3">
        <v>207.12364702110273</v>
      </c>
      <c r="BA46">
        <v>469</v>
      </c>
      <c r="BB46">
        <v>20</v>
      </c>
      <c r="BC46">
        <v>0</v>
      </c>
      <c r="BD46">
        <v>489</v>
      </c>
      <c r="BE46" s="2">
        <v>11462089.247151189</v>
      </c>
      <c r="BF46" s="6">
        <v>2647365</v>
      </c>
      <c r="BG46" s="6">
        <v>1741500</v>
      </c>
      <c r="BH46" s="6">
        <v>0</v>
      </c>
      <c r="BI46" s="6">
        <v>4388865</v>
      </c>
      <c r="BJ46" s="3">
        <v>994.27333200681073</v>
      </c>
      <c r="BK46" s="6">
        <v>34660185</v>
      </c>
      <c r="BL46" s="6">
        <v>10391500</v>
      </c>
      <c r="BM46" s="6">
        <v>20340000</v>
      </c>
      <c r="BN46" s="6">
        <v>65391685</v>
      </c>
      <c r="BO46" s="3">
        <v>1352.1445671669831</v>
      </c>
      <c r="BP46" s="7">
        <v>1270272085</v>
      </c>
      <c r="BQ46" s="2">
        <v>539.68519681676162</v>
      </c>
      <c r="BR46" s="2">
        <v>2338.6358528726337</v>
      </c>
    </row>
    <row r="47" spans="1:70">
      <c r="A47">
        <v>2020</v>
      </c>
      <c r="B47" s="1">
        <v>1264008</v>
      </c>
      <c r="C47" s="2">
        <v>223595760.79742384</v>
      </c>
      <c r="D47" s="3">
        <v>176.89426079377967</v>
      </c>
      <c r="E47" s="1">
        <v>758403</v>
      </c>
      <c r="F47" s="4">
        <v>0.76661868561117164</v>
      </c>
      <c r="G47" s="4">
        <v>0.5224737320369135</v>
      </c>
      <c r="H47" s="4">
        <v>0.58599563074908712</v>
      </c>
      <c r="I47" s="4">
        <v>0.61684977838724031</v>
      </c>
      <c r="J47" s="5">
        <v>7.8371059805537024</v>
      </c>
      <c r="K47">
        <v>74254</v>
      </c>
      <c r="L47">
        <v>213586</v>
      </c>
      <c r="M47">
        <v>114552</v>
      </c>
      <c r="N47">
        <v>402392</v>
      </c>
      <c r="O47" s="6">
        <v>556905000</v>
      </c>
      <c r="P47" s="6">
        <v>533965000</v>
      </c>
      <c r="Q47" s="6">
        <v>137462400</v>
      </c>
      <c r="R47" s="6">
        <v>1228332400</v>
      </c>
      <c r="S47" s="2">
        <v>285.46499999999997</v>
      </c>
      <c r="T47" s="2">
        <v>141.31466666666668</v>
      </c>
      <c r="U47" s="2">
        <v>30.453600000000002</v>
      </c>
      <c r="V47" s="2">
        <v>457.23326666666674</v>
      </c>
      <c r="W47">
        <v>847</v>
      </c>
      <c r="X47">
        <v>12</v>
      </c>
      <c r="Y47">
        <v>9</v>
      </c>
      <c r="Z47">
        <v>868</v>
      </c>
      <c r="AA47" s="2">
        <v>87930580.681220651</v>
      </c>
      <c r="AB47" s="6">
        <v>20485600</v>
      </c>
      <c r="AC47" s="6">
        <v>2949000</v>
      </c>
      <c r="AD47" s="6">
        <v>17820000</v>
      </c>
      <c r="AE47" s="6">
        <v>41254600</v>
      </c>
      <c r="AF47" s="3">
        <v>151.03468741469356</v>
      </c>
      <c r="AG47">
        <v>847</v>
      </c>
      <c r="AH47">
        <v>12</v>
      </c>
      <c r="AI47">
        <v>6</v>
      </c>
      <c r="AJ47">
        <v>865</v>
      </c>
      <c r="AK47" s="2">
        <v>113493544.24620414</v>
      </c>
      <c r="AL47" s="6">
        <v>6562800</v>
      </c>
      <c r="AM47" s="6">
        <v>1150000</v>
      </c>
      <c r="AN47" s="6">
        <v>6882000</v>
      </c>
      <c r="AO47" s="6">
        <v>14594800</v>
      </c>
      <c r="AP47" s="3">
        <v>5.2442128255991181</v>
      </c>
      <c r="AQ47">
        <v>700</v>
      </c>
      <c r="AR47">
        <v>21</v>
      </c>
      <c r="AS47">
        <v>0</v>
      </c>
      <c r="AT47">
        <v>721</v>
      </c>
      <c r="AU47" s="2">
        <v>10188012.319621133</v>
      </c>
      <c r="AV47" s="6">
        <v>6216000</v>
      </c>
      <c r="AW47" s="6">
        <v>2688000</v>
      </c>
      <c r="AX47" s="6">
        <v>0</v>
      </c>
      <c r="AY47" s="6">
        <v>8904000</v>
      </c>
      <c r="AZ47" s="3">
        <v>211.79572058055911</v>
      </c>
      <c r="BA47">
        <v>487</v>
      </c>
      <c r="BB47">
        <v>20</v>
      </c>
      <c r="BC47">
        <v>1</v>
      </c>
      <c r="BD47">
        <v>508</v>
      </c>
      <c r="BE47" s="2">
        <v>11983623.550377913</v>
      </c>
      <c r="BF47" s="6">
        <v>2834970</v>
      </c>
      <c r="BG47" s="6">
        <v>1719400</v>
      </c>
      <c r="BH47" s="6">
        <v>2395000</v>
      </c>
      <c r="BI47" s="6">
        <v>6949370</v>
      </c>
      <c r="BJ47" s="3">
        <v>1027.0182274710294</v>
      </c>
      <c r="BK47" s="6">
        <v>36099370</v>
      </c>
      <c r="BL47" s="6">
        <v>8506400</v>
      </c>
      <c r="BM47" s="6">
        <v>27097000</v>
      </c>
      <c r="BN47" s="6">
        <v>71702770</v>
      </c>
      <c r="BO47" s="3">
        <v>1395.0928482918812</v>
      </c>
      <c r="BP47" s="7">
        <v>1300035170</v>
      </c>
      <c r="BQ47" s="2">
        <v>555.69783448756436</v>
      </c>
      <c r="BR47" s="2">
        <v>2408.0239494461121</v>
      </c>
    </row>
    <row r="48" spans="1:70">
      <c r="A48">
        <v>2021</v>
      </c>
      <c r="B48" s="1">
        <v>1285339</v>
      </c>
      <c r="C48" s="2">
        <v>235864106.90920815</v>
      </c>
      <c r="D48" s="3">
        <v>183.50342353978846</v>
      </c>
      <c r="E48" s="1">
        <v>771201</v>
      </c>
      <c r="F48" s="4">
        <v>0.77115409692517489</v>
      </c>
      <c r="G48" s="4">
        <v>0.52351691501032682</v>
      </c>
      <c r="H48" s="4">
        <v>0.59178476280948389</v>
      </c>
      <c r="I48" s="4">
        <v>0.62050491015627252</v>
      </c>
      <c r="J48" s="5">
        <v>7.8527537251549031</v>
      </c>
      <c r="K48">
        <v>76049</v>
      </c>
      <c r="L48">
        <v>217329</v>
      </c>
      <c r="M48">
        <v>115422</v>
      </c>
      <c r="N48">
        <v>408800</v>
      </c>
      <c r="O48" s="6">
        <v>570367500</v>
      </c>
      <c r="P48" s="6">
        <v>543322500</v>
      </c>
      <c r="Q48" s="6">
        <v>138506400</v>
      </c>
      <c r="R48" s="6">
        <v>1252196400</v>
      </c>
      <c r="S48" s="2">
        <v>292.93166666666667</v>
      </c>
      <c r="T48" s="2">
        <v>144.12222222222223</v>
      </c>
      <c r="U48" s="2">
        <v>30.7348</v>
      </c>
      <c r="V48" s="2">
        <v>467.78868888888888</v>
      </c>
      <c r="W48">
        <v>885</v>
      </c>
      <c r="X48">
        <v>13</v>
      </c>
      <c r="Y48">
        <v>11</v>
      </c>
      <c r="Z48">
        <v>909</v>
      </c>
      <c r="AA48" s="2">
        <v>92298786.669593066</v>
      </c>
      <c r="AB48" s="6">
        <v>21834300</v>
      </c>
      <c r="AC48" s="6">
        <v>3153000</v>
      </c>
      <c r="AD48" s="6">
        <v>20130000</v>
      </c>
      <c r="AE48" s="6">
        <v>45117300</v>
      </c>
      <c r="AF48" s="3">
        <v>156.50744641588562</v>
      </c>
      <c r="AG48">
        <v>885</v>
      </c>
      <c r="AH48">
        <v>13</v>
      </c>
      <c r="AI48">
        <v>7</v>
      </c>
      <c r="AJ48">
        <v>905</v>
      </c>
      <c r="AK48" s="2">
        <v>120071214.68952732</v>
      </c>
      <c r="AL48" s="6">
        <v>6866640</v>
      </c>
      <c r="AM48" s="6">
        <v>1259000</v>
      </c>
      <c r="AN48" s="6">
        <v>8040000</v>
      </c>
      <c r="AO48" s="6">
        <v>16165640</v>
      </c>
      <c r="AP48" s="3">
        <v>5.477607952822372</v>
      </c>
      <c r="AQ48">
        <v>752</v>
      </c>
      <c r="AR48">
        <v>23</v>
      </c>
      <c r="AS48">
        <v>0</v>
      </c>
      <c r="AT48">
        <v>775</v>
      </c>
      <c r="AU48" s="2">
        <v>10962181.656798955</v>
      </c>
      <c r="AV48" s="6">
        <v>6677760</v>
      </c>
      <c r="AW48" s="6">
        <v>5520000</v>
      </c>
      <c r="AX48" s="6">
        <v>0</v>
      </c>
      <c r="AY48" s="6">
        <v>12197760</v>
      </c>
      <c r="AZ48" s="3">
        <v>216.83014798362095</v>
      </c>
      <c r="BA48">
        <v>507</v>
      </c>
      <c r="BB48">
        <v>21</v>
      </c>
      <c r="BC48">
        <v>1</v>
      </c>
      <c r="BD48">
        <v>529</v>
      </c>
      <c r="BE48" s="2">
        <v>12531923.893288802</v>
      </c>
      <c r="BF48" s="6">
        <v>2920455</v>
      </c>
      <c r="BG48" s="6">
        <v>1843200</v>
      </c>
      <c r="BH48" s="6">
        <v>2458000</v>
      </c>
      <c r="BI48" s="6">
        <v>7221655</v>
      </c>
      <c r="BJ48" s="3">
        <v>1061.0689339208564</v>
      </c>
      <c r="BK48" s="6">
        <v>38299155</v>
      </c>
      <c r="BL48" s="6">
        <v>11775200</v>
      </c>
      <c r="BM48" s="6">
        <v>30628000</v>
      </c>
      <c r="BN48" s="6">
        <v>80702355</v>
      </c>
      <c r="BO48" s="3">
        <v>1439.8841362731853</v>
      </c>
      <c r="BP48" s="7">
        <v>1332898755</v>
      </c>
      <c r="BQ48" s="2">
        <v>572.30184754862216</v>
      </c>
      <c r="BR48" s="2">
        <v>2479.9746727106963</v>
      </c>
    </row>
    <row r="49" spans="1:70">
      <c r="A49">
        <v>2022</v>
      </c>
      <c r="B49" s="1">
        <v>1306757</v>
      </c>
      <c r="C49" s="2">
        <v>248921685.88347417</v>
      </c>
      <c r="D49" s="3">
        <v>190.48812126774462</v>
      </c>
      <c r="E49" s="1">
        <v>784052</v>
      </c>
      <c r="F49" s="4">
        <v>0.77576562865610799</v>
      </c>
      <c r="G49" s="4">
        <v>0.52442747499187015</v>
      </c>
      <c r="H49" s="4">
        <v>0.59647904842092458</v>
      </c>
      <c r="I49" s="4">
        <v>0.62374017994110387</v>
      </c>
      <c r="J49" s="5">
        <v>7.8664121248780523</v>
      </c>
      <c r="K49">
        <v>77867</v>
      </c>
      <c r="L49">
        <v>221152</v>
      </c>
      <c r="M49">
        <v>116296</v>
      </c>
      <c r="N49">
        <v>415315</v>
      </c>
      <c r="O49" s="6">
        <v>584002500</v>
      </c>
      <c r="P49" s="6">
        <v>552880000</v>
      </c>
      <c r="Q49" s="6">
        <v>139555200</v>
      </c>
      <c r="R49" s="6">
        <v>1276437700</v>
      </c>
      <c r="S49" s="2">
        <v>300.45666666666665</v>
      </c>
      <c r="T49" s="2">
        <v>146.95755555555553</v>
      </c>
      <c r="U49" s="2">
        <v>31.011066666666665</v>
      </c>
      <c r="V49" s="2">
        <v>478.42528888888887</v>
      </c>
      <c r="W49">
        <v>926</v>
      </c>
      <c r="X49">
        <v>14</v>
      </c>
      <c r="Y49">
        <v>11</v>
      </c>
      <c r="Z49">
        <v>951</v>
      </c>
      <c r="AA49" s="2">
        <v>96874228.336949646</v>
      </c>
      <c r="AB49" s="6">
        <v>22624100</v>
      </c>
      <c r="AC49" s="6">
        <v>3441000</v>
      </c>
      <c r="AD49" s="6">
        <v>20760000</v>
      </c>
      <c r="AE49" s="6">
        <v>46825100</v>
      </c>
      <c r="AF49" s="3">
        <v>162.15066246246789</v>
      </c>
      <c r="AG49">
        <v>926</v>
      </c>
      <c r="AH49">
        <v>14</v>
      </c>
      <c r="AI49">
        <v>7</v>
      </c>
      <c r="AJ49">
        <v>947</v>
      </c>
      <c r="AK49" s="2">
        <v>127153120.09867863</v>
      </c>
      <c r="AL49" s="6">
        <v>7272840</v>
      </c>
      <c r="AM49" s="6">
        <v>1344500</v>
      </c>
      <c r="AN49" s="6">
        <v>8058000</v>
      </c>
      <c r="AO49" s="6">
        <v>16675340</v>
      </c>
      <c r="AP49" s="3">
        <v>5.717410435515534</v>
      </c>
      <c r="AQ49">
        <v>806</v>
      </c>
      <c r="AR49">
        <v>24</v>
      </c>
      <c r="AS49">
        <v>0</v>
      </c>
      <c r="AT49">
        <v>830</v>
      </c>
      <c r="AU49" s="2">
        <v>11786959.502522949</v>
      </c>
      <c r="AV49" s="6">
        <v>7334600</v>
      </c>
      <c r="AW49" s="6">
        <v>3744000</v>
      </c>
      <c r="AX49" s="6">
        <v>0</v>
      </c>
      <c r="AY49" s="6">
        <v>11078600</v>
      </c>
      <c r="AZ49" s="3">
        <v>222.21608921680939</v>
      </c>
      <c r="BA49">
        <v>527</v>
      </c>
      <c r="BB49">
        <v>22</v>
      </c>
      <c r="BC49">
        <v>1</v>
      </c>
      <c r="BD49">
        <v>550</v>
      </c>
      <c r="BE49" s="2">
        <v>13107377.945322972</v>
      </c>
      <c r="BF49" s="6">
        <v>2997930</v>
      </c>
      <c r="BG49" s="6">
        <v>1856500</v>
      </c>
      <c r="BH49" s="6">
        <v>2416000</v>
      </c>
      <c r="BI49" s="6">
        <v>7270430</v>
      </c>
      <c r="BJ49" s="3">
        <v>1096.4077929760124</v>
      </c>
      <c r="BK49" s="6">
        <v>40229470</v>
      </c>
      <c r="BL49" s="6">
        <v>10386000</v>
      </c>
      <c r="BM49" s="6">
        <v>31234000</v>
      </c>
      <c r="BN49" s="6">
        <v>81849470</v>
      </c>
      <c r="BO49" s="3">
        <v>1486.4919550908053</v>
      </c>
      <c r="BP49" s="7">
        <v>1358287170</v>
      </c>
      <c r="BQ49" s="2">
        <v>589.47517319390818</v>
      </c>
      <c r="BR49" s="2">
        <v>2554.3924171736026</v>
      </c>
    </row>
    <row r="50" spans="1:70">
      <c r="A50">
        <v>2023</v>
      </c>
      <c r="B50" s="1">
        <v>1328152</v>
      </c>
      <c r="C50" s="2">
        <v>262843478.66225308</v>
      </c>
      <c r="D50" s="3">
        <v>197.90165482734889</v>
      </c>
      <c r="E50" s="1">
        <v>796890</v>
      </c>
      <c r="F50" s="4">
        <v>0.78047646972202189</v>
      </c>
      <c r="G50" s="4">
        <v>0.52519596905050758</v>
      </c>
      <c r="H50" s="4">
        <v>0.60014796351011213</v>
      </c>
      <c r="I50" s="4">
        <v>0.6265847851330798</v>
      </c>
      <c r="J50" s="5">
        <v>7.8779395357576139</v>
      </c>
      <c r="K50">
        <v>79704</v>
      </c>
      <c r="L50">
        <v>225042</v>
      </c>
      <c r="M50">
        <v>117158</v>
      </c>
      <c r="N50">
        <v>421904</v>
      </c>
      <c r="O50" s="6">
        <v>597780000</v>
      </c>
      <c r="P50" s="6">
        <v>562605000</v>
      </c>
      <c r="Q50" s="6">
        <v>140589600</v>
      </c>
      <c r="R50" s="6">
        <v>1300974600</v>
      </c>
      <c r="S50" s="2">
        <v>308.01333333333332</v>
      </c>
      <c r="T50" s="2">
        <v>149.80666666666664</v>
      </c>
      <c r="U50" s="2">
        <v>31.280466666666666</v>
      </c>
      <c r="V50" s="2">
        <v>489.1004666666667</v>
      </c>
      <c r="W50">
        <v>968</v>
      </c>
      <c r="X50">
        <v>15</v>
      </c>
      <c r="Y50">
        <v>12</v>
      </c>
      <c r="Z50">
        <v>995</v>
      </c>
      <c r="AA50" s="2">
        <v>101667421.27121684</v>
      </c>
      <c r="AB50" s="6">
        <v>23480000</v>
      </c>
      <c r="AC50" s="6">
        <v>3665000</v>
      </c>
      <c r="AD50" s="6">
        <v>20265000</v>
      </c>
      <c r="AE50" s="6">
        <v>47410000</v>
      </c>
      <c r="AF50" s="3">
        <v>167.96635347497008</v>
      </c>
      <c r="AG50">
        <v>968</v>
      </c>
      <c r="AH50">
        <v>15</v>
      </c>
      <c r="AI50">
        <v>7</v>
      </c>
      <c r="AJ50">
        <v>990</v>
      </c>
      <c r="AK50" s="2">
        <v>134801481.89040601</v>
      </c>
      <c r="AL50" s="6">
        <v>7453600</v>
      </c>
      <c r="AM50" s="6">
        <v>1438000</v>
      </c>
      <c r="AN50" s="6">
        <v>8286000</v>
      </c>
      <c r="AO50" s="6">
        <v>17177600</v>
      </c>
      <c r="AP50" s="3">
        <v>5.9637572289084098</v>
      </c>
      <c r="AQ50">
        <v>864</v>
      </c>
      <c r="AR50">
        <v>26</v>
      </c>
      <c r="AS50">
        <v>0</v>
      </c>
      <c r="AT50">
        <v>890</v>
      </c>
      <c r="AU50" s="2">
        <v>12663863.938472096</v>
      </c>
      <c r="AV50" s="6">
        <v>8432640</v>
      </c>
      <c r="AW50" s="6">
        <v>4420000</v>
      </c>
      <c r="AX50" s="6">
        <v>0</v>
      </c>
      <c r="AY50" s="6">
        <v>12852640</v>
      </c>
      <c r="AZ50" s="3">
        <v>227.94393931774636</v>
      </c>
      <c r="BA50">
        <v>549</v>
      </c>
      <c r="BB50">
        <v>23</v>
      </c>
      <c r="BC50">
        <v>1</v>
      </c>
      <c r="BD50">
        <v>573</v>
      </c>
      <c r="BE50" s="2">
        <v>13710711.562158197</v>
      </c>
      <c r="BF50" s="6">
        <v>3203550</v>
      </c>
      <c r="BG50" s="6">
        <v>1944550</v>
      </c>
      <c r="BH50" s="6">
        <v>2437000</v>
      </c>
      <c r="BI50" s="6">
        <v>7585100</v>
      </c>
      <c r="BJ50" s="3">
        <v>1133.0212009388308</v>
      </c>
      <c r="BK50" s="6">
        <v>42569790</v>
      </c>
      <c r="BL50" s="6">
        <v>11467550</v>
      </c>
      <c r="BM50" s="6">
        <v>30988000</v>
      </c>
      <c r="BN50" s="6">
        <v>85025340</v>
      </c>
      <c r="BO50" s="3">
        <v>1534.8952509604555</v>
      </c>
      <c r="BP50" s="7">
        <v>1385999940</v>
      </c>
      <c r="BQ50" s="2">
        <v>607.19871528813667</v>
      </c>
      <c r="BR50" s="2">
        <v>2631.1944329152589</v>
      </c>
    </row>
    <row r="51" spans="1:70">
      <c r="A51">
        <v>2024</v>
      </c>
      <c r="B51" s="1">
        <v>1349458</v>
      </c>
      <c r="C51" s="2">
        <v>277727017.26678634</v>
      </c>
      <c r="D51" s="3">
        <v>205.80634392977501</v>
      </c>
      <c r="E51" s="1">
        <v>809674</v>
      </c>
      <c r="F51" s="4">
        <v>0.78531203142165851</v>
      </c>
      <c r="G51" s="4">
        <v>0.52581630221043174</v>
      </c>
      <c r="H51" s="4">
        <v>0.60298913444511693</v>
      </c>
      <c r="I51" s="4">
        <v>0.62911290614702653</v>
      </c>
      <c r="J51" s="5">
        <v>7.8872445331564762</v>
      </c>
      <c r="K51">
        <v>81560</v>
      </c>
      <c r="L51">
        <v>228986</v>
      </c>
      <c r="M51">
        <v>118000</v>
      </c>
      <c r="N51">
        <v>428546</v>
      </c>
      <c r="O51" s="6">
        <v>611700000</v>
      </c>
      <c r="P51" s="6">
        <v>572465000</v>
      </c>
      <c r="Q51" s="6">
        <v>141600000</v>
      </c>
      <c r="R51" s="6">
        <v>1325765000</v>
      </c>
      <c r="S51" s="2">
        <v>315.57499999999999</v>
      </c>
      <c r="T51" s="2">
        <v>152.66066666666666</v>
      </c>
      <c r="U51" s="2">
        <v>31.542200000000001</v>
      </c>
      <c r="V51" s="2">
        <v>499.77786666666668</v>
      </c>
      <c r="W51">
        <v>1013</v>
      </c>
      <c r="X51">
        <v>15</v>
      </c>
      <c r="Y51">
        <v>12</v>
      </c>
      <c r="Z51">
        <v>1040</v>
      </c>
      <c r="AA51" s="2">
        <v>106691731.39711902</v>
      </c>
      <c r="AB51" s="6">
        <v>24913400</v>
      </c>
      <c r="AC51" s="6">
        <v>3665000</v>
      </c>
      <c r="AD51" s="6">
        <v>23040000</v>
      </c>
      <c r="AE51" s="6">
        <v>51618400</v>
      </c>
      <c r="AF51" s="3">
        <v>173.95666412844164</v>
      </c>
      <c r="AG51">
        <v>1013</v>
      </c>
      <c r="AH51">
        <v>15</v>
      </c>
      <c r="AI51">
        <v>8</v>
      </c>
      <c r="AJ51">
        <v>1036</v>
      </c>
      <c r="AK51" s="2">
        <v>143096700.99954048</v>
      </c>
      <c r="AL51" s="6">
        <v>7919280</v>
      </c>
      <c r="AM51" s="6">
        <v>1468000</v>
      </c>
      <c r="AN51" s="6">
        <v>9216000</v>
      </c>
      <c r="AO51" s="6">
        <v>18603280</v>
      </c>
      <c r="AP51" s="3">
        <v>6.2167878416640008</v>
      </c>
      <c r="AQ51">
        <v>926</v>
      </c>
      <c r="AR51">
        <v>28</v>
      </c>
      <c r="AS51">
        <v>0</v>
      </c>
      <c r="AT51">
        <v>954</v>
      </c>
      <c r="AU51" s="2">
        <v>13595027.393238297</v>
      </c>
      <c r="AV51" s="6">
        <v>9241480</v>
      </c>
      <c r="AW51" s="6">
        <v>5544000</v>
      </c>
      <c r="AX51" s="6">
        <v>0</v>
      </c>
      <c r="AY51" s="6">
        <v>14785480</v>
      </c>
      <c r="AZ51" s="3">
        <v>234.00523646361162</v>
      </c>
      <c r="BA51">
        <v>571</v>
      </c>
      <c r="BB51">
        <v>24</v>
      </c>
      <c r="BC51">
        <v>2</v>
      </c>
      <c r="BD51">
        <v>597</v>
      </c>
      <c r="BE51" s="2">
        <v>14343557.476888519</v>
      </c>
      <c r="BF51" s="6">
        <v>3347250</v>
      </c>
      <c r="BG51" s="6">
        <v>2128800</v>
      </c>
      <c r="BH51" s="6">
        <v>4706000</v>
      </c>
      <c r="BI51" s="6">
        <v>10182050</v>
      </c>
      <c r="BJ51" s="3">
        <v>1170.8992462129431</v>
      </c>
      <c r="BK51" s="6">
        <v>45421410</v>
      </c>
      <c r="BL51" s="6">
        <v>12805800</v>
      </c>
      <c r="BM51" s="6">
        <v>36962000</v>
      </c>
      <c r="BN51" s="6">
        <v>95189210</v>
      </c>
      <c r="BO51" s="3">
        <v>1585.0779346466604</v>
      </c>
      <c r="BP51" s="7">
        <v>1420954210</v>
      </c>
      <c r="BQ51" s="2">
        <v>625.45674039399807</v>
      </c>
      <c r="BR51" s="2">
        <v>2710.3125417073252</v>
      </c>
    </row>
    <row r="52" spans="1:70">
      <c r="A52">
        <v>2025</v>
      </c>
      <c r="B52" s="1">
        <v>1370663</v>
      </c>
      <c r="C52" s="2">
        <v>293698199.59737206</v>
      </c>
      <c r="D52" s="3">
        <v>214.27455151074483</v>
      </c>
      <c r="E52" s="1">
        <v>822395</v>
      </c>
      <c r="F52" s="4">
        <v>0.79029958902107611</v>
      </c>
      <c r="G52" s="4">
        <v>0.52628699230041287</v>
      </c>
      <c r="H52" s="4">
        <v>0.60526692633905255</v>
      </c>
      <c r="I52" s="4">
        <v>0.63142306962744976</v>
      </c>
      <c r="J52" s="5">
        <v>7.8943048845061936</v>
      </c>
      <c r="K52">
        <v>83431</v>
      </c>
      <c r="L52">
        <v>232976</v>
      </c>
      <c r="M52">
        <v>118821</v>
      </c>
      <c r="N52">
        <v>435228</v>
      </c>
      <c r="O52" s="6">
        <v>625732500</v>
      </c>
      <c r="P52" s="6">
        <v>582440000</v>
      </c>
      <c r="Q52" s="6">
        <v>142585200</v>
      </c>
      <c r="R52" s="6">
        <v>1350757700</v>
      </c>
      <c r="S52" s="2">
        <v>323.12333333333333</v>
      </c>
      <c r="T52" s="2">
        <v>155.51555555555555</v>
      </c>
      <c r="U52" s="2">
        <v>31.797399999999996</v>
      </c>
      <c r="V52" s="2">
        <v>510.4362888888889</v>
      </c>
      <c r="W52">
        <v>1060</v>
      </c>
      <c r="X52">
        <v>17</v>
      </c>
      <c r="Y52">
        <v>13</v>
      </c>
      <c r="Z52">
        <v>1090</v>
      </c>
      <c r="AA52" s="2">
        <v>111962106.13497686</v>
      </c>
      <c r="AB52" s="6">
        <v>26158000</v>
      </c>
      <c r="AC52" s="6">
        <v>4128000</v>
      </c>
      <c r="AD52" s="6">
        <v>23550000</v>
      </c>
      <c r="AE52" s="6">
        <v>53836000</v>
      </c>
      <c r="AF52" s="3">
        <v>180.12378262122553</v>
      </c>
      <c r="AG52">
        <v>1060</v>
      </c>
      <c r="AH52">
        <v>17</v>
      </c>
      <c r="AI52">
        <v>8</v>
      </c>
      <c r="AJ52">
        <v>1085</v>
      </c>
      <c r="AK52" s="2">
        <v>152145957.6306963</v>
      </c>
      <c r="AL52" s="6">
        <v>8242320</v>
      </c>
      <c r="AM52" s="6">
        <v>1674000</v>
      </c>
      <c r="AN52" s="6">
        <v>9192000</v>
      </c>
      <c r="AO52" s="6">
        <v>19108320</v>
      </c>
      <c r="AP52" s="3">
        <v>6.4766422263197372</v>
      </c>
      <c r="AQ52">
        <v>991</v>
      </c>
      <c r="AR52">
        <v>31</v>
      </c>
      <c r="AS52">
        <v>0</v>
      </c>
      <c r="AT52">
        <v>1022</v>
      </c>
      <c r="AU52" s="2">
        <v>14581203.111837072</v>
      </c>
      <c r="AV52" s="6">
        <v>10108200</v>
      </c>
      <c r="AW52" s="6">
        <v>6138000</v>
      </c>
      <c r="AX52" s="6">
        <v>0</v>
      </c>
      <c r="AY52" s="6">
        <v>16246200</v>
      </c>
      <c r="AZ52" s="3">
        <v>240.39245616621579</v>
      </c>
      <c r="BA52">
        <v>594</v>
      </c>
      <c r="BB52">
        <v>26</v>
      </c>
      <c r="BC52">
        <v>2</v>
      </c>
      <c r="BD52">
        <v>622</v>
      </c>
      <c r="BE52" s="2">
        <v>15008932.719861865</v>
      </c>
      <c r="BF52" s="6">
        <v>3474315</v>
      </c>
      <c r="BG52" s="6">
        <v>2256800</v>
      </c>
      <c r="BH52" s="6">
        <v>4853000</v>
      </c>
      <c r="BI52" s="6">
        <v>10584115</v>
      </c>
      <c r="BJ52" s="3">
        <v>1210.0346285586281</v>
      </c>
      <c r="BK52" s="6">
        <v>47982835</v>
      </c>
      <c r="BL52" s="6">
        <v>14196800</v>
      </c>
      <c r="BM52" s="6">
        <v>37595000</v>
      </c>
      <c r="BN52" s="6">
        <v>99774635</v>
      </c>
      <c r="BO52" s="3">
        <v>1637.0275095723891</v>
      </c>
      <c r="BP52" s="7">
        <v>1450532335</v>
      </c>
      <c r="BQ52" s="2">
        <v>644.23913953838348</v>
      </c>
      <c r="BR52" s="2">
        <v>2791.7029379996616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Walber Braga</dc:creator>
  <cp:keywords/>
  <dc:description/>
  <cp:lastModifiedBy/>
  <cp:revision/>
  <dcterms:created xsi:type="dcterms:W3CDTF">2026-04-09T14:20:21Z</dcterms:created>
  <dcterms:modified xsi:type="dcterms:W3CDTF">2026-06-15T10:50:00Z</dcterms:modified>
  <cp:category/>
  <cp:contentStatus/>
</cp:coreProperties>
</file>